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0.xml.rels" ContentType="application/vnd.openxmlformats-package.relationships+xml"/>
  <Override PartName="/xl/worksheets/_rels/sheet14.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9.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6.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Contents" sheetId="2" state="visible" r:id="rId4"/>
    <sheet name="Summary" sheetId="3" state="visible" r:id="rId5"/>
    <sheet name="Package Structure" sheetId="4" state="visible" r:id="rId6"/>
    <sheet name="System Data Path" sheetId="5" state="visible" r:id="rId7"/>
    <sheet name="Calculations" sheetId="6" state="visible" r:id="rId8"/>
    <sheet name="Calc Tables" sheetId="7" state="visible" r:id="rId9"/>
    <sheet name="Math DSP" sheetId="8" state="visible" r:id="rId10"/>
    <sheet name="GUI Qt" sheetId="9" state="visible" r:id="rId11"/>
    <sheet name="App Core" sheetId="10" state="visible" r:id="rId12"/>
    <sheet name="Platform Libs" sheetId="11" state="visible" r:id="rId13"/>
    <sheet name="QDMA Driver" sheetId="12" state="visible" r:id="rId14"/>
    <sheet name="QDMA Registers" sheetId="13" state="visible" r:id="rId15"/>
    <sheet name="QDMA Helpers" sheetId="14" state="visible" r:id="rId16"/>
    <sheet name="QDMA Host" sheetId="15" state="visible" r:id="rId17"/>
    <sheet name="Firmware" sheetId="16" state="visible" r:id="rId18"/>
    <sheet name="PCIe Control" sheetId="17" state="visible" r:id="rId19"/>
    <sheet name="Xilinx BSP" sheetId="18" state="visible" r:id="rId20"/>
    <sheet name="Host CLI Client" sheetId="19" state="visible" r:id="rId21"/>
    <sheet name="Test Coverage" sheetId="20" state="visible" r:id="rId22"/>
    <sheet name="Glossary" sheetId="21" state="visible" r:id="rId23"/>
    <sheet name="Revision History" sheetId="22" state="visible" r:id="rId24"/>
  </sheets>
  <definedNames>
    <definedName function="false" hidden="false" localSheetId="9" name="_xlnm.Print_Titles" vbProcedure="false">'App Core'!$4:$4</definedName>
    <definedName function="false" hidden="true" localSheetId="9" name="_xlnm._FilterDatabase" vbProcedure="false">'App Core'!$A$4:$P$307</definedName>
    <definedName function="false" hidden="false" localSheetId="5" name="_xlnm.Print_Titles" vbProcedure="false">Calculations!$5:$5</definedName>
    <definedName function="false" hidden="false" localSheetId="15" name="_xlnm.Print_Titles" vbProcedure="false">Firmware!$4:$4</definedName>
    <definedName function="false" hidden="true" localSheetId="15" name="_xlnm._FilterDatabase" vbProcedure="false">Firmware!$A$4:$P$94</definedName>
    <definedName function="false" hidden="false" localSheetId="8" name="_xlnm.Print_Titles" vbProcedure="false">'GUI Qt'!$4:$4</definedName>
    <definedName function="false" hidden="true" localSheetId="8" name="_xlnm._FilterDatabase" vbProcedure="false">'GUI Qt'!$A$4:$P$201</definedName>
    <definedName function="false" hidden="false" localSheetId="18" name="_xlnm.Print_Titles" vbProcedure="false">'Host CLI Client'!$4:$4</definedName>
    <definedName function="false" hidden="true" localSheetId="18" name="_xlnm._FilterDatabase" vbProcedure="false">'Host CLI Client'!$A$4:$P$68</definedName>
    <definedName function="false" hidden="false" localSheetId="7" name="_xlnm.Print_Titles" vbProcedure="false">'Math DSP'!$4:$4</definedName>
    <definedName function="false" hidden="true" localSheetId="7" name="_xlnm._FilterDatabase" vbProcedure="false">'Math DSP'!$A$4:$P$242</definedName>
    <definedName function="false" hidden="false" localSheetId="16" name="_xlnm.Print_Titles" vbProcedure="false">'PCIe Control'!$4:$4</definedName>
    <definedName function="false" hidden="true" localSheetId="16" name="_xlnm._FilterDatabase" vbProcedure="false">'PCIe Control'!$A$4:$P$107</definedName>
    <definedName function="false" hidden="false" localSheetId="10" name="_xlnm.Print_Titles" vbProcedure="false">'Platform Libs'!$4:$4</definedName>
    <definedName function="false" hidden="true" localSheetId="10" name="_xlnm._FilterDatabase" vbProcedure="false">'Platform Libs'!$A$4:$P$47</definedName>
    <definedName function="false" hidden="false" localSheetId="11" name="_xlnm.Print_Titles" vbProcedure="false">'QDMA Driver'!$4:$4</definedName>
    <definedName function="false" hidden="true" localSheetId="11" name="_xlnm._FilterDatabase" vbProcedure="false">'QDMA Driver'!$A$4:$P$318</definedName>
    <definedName function="false" hidden="false" localSheetId="13" name="_xlnm.Print_Titles" vbProcedure="false">'QDMA Helpers'!$4:$4</definedName>
    <definedName function="false" hidden="true" localSheetId="13" name="_xlnm._FilterDatabase" vbProcedure="false">'QDMA Helpers'!$A$4:$P$105</definedName>
    <definedName function="false" hidden="false" localSheetId="14" name="_xlnm.Print_Titles" vbProcedure="false">'QDMA Host'!$4:$4</definedName>
    <definedName function="false" hidden="true" localSheetId="14" name="_xlnm._FilterDatabase" vbProcedure="false">'QDMA Host'!$A$4:$P$96</definedName>
    <definedName function="false" hidden="false" localSheetId="12" name="_xlnm.Print_Titles" vbProcedure="false">'QDMA Registers'!$4:$4</definedName>
    <definedName function="false" hidden="true" localSheetId="12" name="_xlnm._FilterDatabase" vbProcedure="false">'QDMA Registers'!$A$4:$P$137</definedName>
    <definedName function="false" hidden="false" localSheetId="4" name="_xlnm.Print_Titles" vbProcedure="false">'System Data Path'!$4:$4</definedName>
    <definedName function="false" hidden="false" localSheetId="19" name="_xlnm.Print_Titles" vbProcedure="false">'Test Coverage'!$4:$4</definedName>
    <definedName function="false" hidden="false" localSheetId="17" name="_xlnm.Print_Titles" vbProcedure="false">'Xilinx BSP'!$4:$4</definedName>
    <definedName function="false" hidden="true" localSheetId="17" name="_xlnm._FilterDatabase" vbProcedure="false">'Xilinx BSP'!$A$4:$P$63</definedName>
  </definedName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Unknown Author</author>
  </authors>
  <commentList>
    <comment ref="C60" authorId="0">
      <text>
        <r>
          <rPr>
            <sz val="10"/>
            <rFont val="Arial"/>
            <family val="2"/>
          </rPr>
          <t xml:space="preserve">Assumption / bench value - replace with the figure measured on your host.</t>
        </r>
      </text>
    </comment>
    <comment ref="C90" authorId="0">
      <text>
        <r>
          <rPr>
            <sz val="10"/>
            <rFont val="Arial"/>
            <family val="2"/>
          </rPr>
          <t xml:space="preserve">Assumption / bench value - replace with the figure measured on your host.</t>
        </r>
      </text>
    </comment>
    <comment ref="C99" authorId="0">
      <text>
        <r>
          <rPr>
            <sz val="10"/>
            <rFont val="Arial"/>
            <family val="2"/>
          </rPr>
          <t xml:space="preserve">Assumption / bench value - replace with the figure measured on your host.</t>
        </r>
      </text>
    </comment>
    <comment ref="C154" authorId="0">
      <text>
        <r>
          <rPr>
            <sz val="10"/>
            <rFont val="Arial"/>
            <family val="2"/>
          </rPr>
          <t xml:space="preserve">Assumption / bench value - replace with the figure measured on your host.</t>
        </r>
      </text>
    </comment>
    <comment ref="C155" authorId="0">
      <text>
        <r>
          <rPr>
            <sz val="10"/>
            <rFont val="Arial"/>
            <family val="2"/>
          </rPr>
          <t xml:space="preserve">Assumption / bench value - replace with the figure measured on your host.</t>
        </r>
      </text>
    </comment>
    <comment ref="C157" authorId="0">
      <text>
        <r>
          <rPr>
            <sz val="10"/>
            <rFont val="Arial"/>
            <family val="2"/>
          </rPr>
          <t xml:space="preserve">Assumption / bench value - replace with the figure measured on your host.</t>
        </r>
      </text>
    </comment>
    <comment ref="C158" authorId="0">
      <text>
        <r>
          <rPr>
            <sz val="10"/>
            <rFont val="Arial"/>
            <family val="2"/>
          </rPr>
          <t xml:space="preserve">Assumption / bench value - replace with the figure measured on your host.</t>
        </r>
      </text>
    </comment>
  </commentList>
</comments>
</file>

<file path=xl/sharedStrings.xml><?xml version="1.0" encoding="utf-8"?>
<sst xmlns="http://schemas.openxmlformats.org/spreadsheetml/2006/main" count="22836" uniqueCount="11637">
  <si>
    <t xml:space="preserve">iWave SDR Platform - ZU47DR RFSoC</t>
  </si>
  <si>
    <t xml:space="preserve">API &amp; Engineering Calculation Reference</t>
  </si>
  <si>
    <t xml:space="preserve">Mathematics / DSP  |  GUI  |  QDMA &amp; driver  |  Firmware &amp; PCIe control</t>
  </si>
  <si>
    <t xml:space="preserve">Document number</t>
  </si>
  <si>
    <t xml:space="preserve">iW-ASCEJ-01-API-Reference-R1.0-REL1.0</t>
  </si>
  <si>
    <t xml:space="preserve">Project code</t>
  </si>
  <si>
    <t xml:space="preserve">iW-ASCEJ-01</t>
  </si>
  <si>
    <t xml:space="preserve">Document revision</t>
  </si>
  <si>
    <t xml:space="preserve">R1.0</t>
  </si>
  <si>
    <t xml:space="preserve">Package release</t>
  </si>
  <si>
    <t xml:space="preserve">REL1.0  (software release 1.2.5)</t>
  </si>
  <si>
    <t xml:space="preserve">Package</t>
  </si>
  <si>
    <t xml:space="preserve">iW-ASCEJ-01-DF-R1.0-REL1.0</t>
  </si>
  <si>
    <t xml:space="preserve">Target device</t>
  </si>
  <si>
    <t xml:space="preserve">AMD/Xilinx Zynq UltraScale+ RFSoC xczu47dr-ffvg1517-2-i</t>
  </si>
  <si>
    <t xml:space="preserve">Host</t>
  </si>
  <si>
    <t xml:space="preserve">x86-64 Linux, Qt 5.15 (Qt 6 supported), iwfg QDMA driver</t>
  </si>
  <si>
    <t xml:space="preserve">Date</t>
  </si>
  <si>
    <t xml:space="preserve">05 Oct 2026</t>
  </si>
  <si>
    <t xml:space="preserve">Classification</t>
  </si>
  <si>
    <t xml:space="preserve">Company confidential - for project use</t>
  </si>
  <si>
    <t xml:space="preserve">APIs catalogued</t>
  </si>
  <si>
    <t xml:space="preserve">Calculations (live formulas)</t>
  </si>
  <si>
    <t xml:space="preserve">Editable inputs</t>
  </si>
  <si>
    <t xml:space="preserve">Document control</t>
  </si>
  <si>
    <t xml:space="preserve">Prepared by</t>
  </si>
  <si>
    <t xml:space="preserve">Reviewed by</t>
  </si>
  <si>
    <t xml:space="preserve">Approved by</t>
  </si>
  <si>
    <t xml:space="preserve">Yellow cells are for the signatories to fill in.</t>
  </si>
  <si>
    <t xml:space="preserve">How to use this workbook</t>
  </si>
  <si>
    <t xml:space="preserve">•</t>
  </si>
  <si>
    <t xml:space="preserve">Contents lists every sheet with a hyperlink and its live row count.</t>
  </si>
  <si>
    <t xml:space="preserve">Each API sheet has one row per function, method, macro, register, ioctl, struct, constant or GUI signal/slot, with the source file and line in the delivered package (Pkg column: SC = Source Code folder, FF = Firmware Files folder).</t>
  </si>
  <si>
    <t xml:space="preserve">Use the filter arrows in the header row to search by sub-category, kind or file. Panes are frozen on the header and the API name.</t>
  </si>
  <si>
    <t xml:space="preserve">Calculations holds every derived number (data rates, capture budget, H2C chunk ladder, register encodings, DAC packing, FFT/ENBW, link budget) as live formulas. Edit the blue-on-yellow inputs to plan a configuration.</t>
  </si>
  <si>
    <t xml:space="preserve">System Data Path walks the transmit, receive and control chains stage by stage with the APIs involved.</t>
  </si>
  <si>
    <t xml:space="preserve">Test Coverage maps each automated test to the APIs it exercises and its recorded result in this release.</t>
  </si>
  <si>
    <t xml:space="preserve">Contents</t>
  </si>
  <si>
    <t xml:space="preserve">Click a sheet name to open it. Row counts are live formulas.</t>
  </si>
  <si>
    <t xml:space="preserve">#</t>
  </si>
  <si>
    <t xml:space="preserve">Sheet</t>
  </si>
  <si>
    <t xml:space="preserve">What it contains</t>
  </si>
  <si>
    <t xml:space="preserve">Rows</t>
  </si>
  <si>
    <t xml:space="preserve">Summary</t>
  </si>
  <si>
    <t xml:space="preserve">Entry counts per sheet, sub-category and kind (live COUNTIF formulas).</t>
  </si>
  <si>
    <t xml:space="preserve">Package Structure</t>
  </si>
  <si>
    <t xml:space="preserve">The iW-ASCEJ-01 delivery folder tree: DF &gt; HF, FF, SF &gt; BN, SC, UM, AT, TS - what each folder holds.</t>
  </si>
  <si>
    <t xml:space="preserve">System Data Path</t>
  </si>
  <si>
    <t xml:space="preserve">Transmit (host &gt; H2C &gt; DAC), receive (ADC &gt; C2H &gt; GUI) and control (GUI &gt; PCIe mailbox &gt; firmware) chains, stage by stage.</t>
  </si>
  <si>
    <t xml:space="preserve">Calculations</t>
  </si>
  <si>
    <t xml:space="preserve">Live engineering calculator: converter rates, register encodings, capture budget, H2C ladder, DAC packing, FFT/ENBW, recording guard, PCIe link, simulator.</t>
  </si>
  <si>
    <t xml:space="preserve">Calc Tables</t>
  </si>
  <si>
    <t xml:space="preserve">Window ENBW / coherent-gain table and the H2C chunk step-down ladder (live formulas).</t>
  </si>
  <si>
    <t xml:space="preserve">Math DSP</t>
  </si>
  <si>
    <t xml:space="preserve">Every mathematical routine, constant and derived quantity in the host GUI: FFT, windows, spectral metrics (SINAD/SNR/THD/SFDR/ENOB), EVM, DDC/NCO, waveform generation, DAC packing, sample codecs, rate/bandwidth, display scaling, GPU kernels, simulation model, validation.</t>
  </si>
  <si>
    <t xml:space="preserve">GUI Qt</t>
  </si>
  <si>
    <t xml:space="preserve">Qt widgets, windows, dialogs, plots and their signals/slots: MainWindow, ControlWindow3D (H2C/RFDC window), SourcePanel, plots, dialogs, theme.</t>
  </si>
  <si>
    <t xml:space="preserve">App Core</t>
  </si>
  <si>
    <t xml:space="preserve">Application core (non-visual) classes: entry point, BackendLauncher, RfdcControl, IqGenerator, DspEngine, sources, recorder, guards, probes, types.</t>
  </si>
  <si>
    <t xml:space="preserve">Platform Libs</t>
  </si>
  <si>
    <t xml:space="preserve">External platform and library APIs the GUI calls: Qt Core/GUI/Widgets, POSIX, Linux tools, CUDA, RDMA/RoCEv2, C/C++ runtime.</t>
  </si>
  <si>
    <t xml:space="preserve">QDMA Driver</t>
  </si>
  <si>
    <t xml:space="preserve">iwfg Linux kernel driver (QDMA): ioctls, UAPI structs, file operations, H2C/C2H paths, rings, doorbells, interrupts, DMA-BUF, overflow recovery, QDMA context programming.</t>
  </si>
  <si>
    <t xml:space="preserve">QDMA Registers</t>
  </si>
  <si>
    <t xml:space="preserve">QDMA register map, descriptor formats and PL user registers used by the driver.</t>
  </si>
  <si>
    <t xml:space="preserve">QDMA Helpers</t>
  </si>
  <si>
    <t xml:space="preserve">User-space DMA helpers launched by the GUI: c2h_stream (fifo_pipe.c, capture) and iwfg_h2c (transmit ping-pong / replay / watchdog).</t>
  </si>
  <si>
    <t xml:space="preserve">QDMA Host</t>
  </si>
  <si>
    <t xml:space="preserve">How the GUI drives QDMA: BackendLauncher (helper lifecycle, ordered stop, reset, step-down, restart) and DmaSource (FIFO reader).</t>
  </si>
  <si>
    <t xml:space="preserve">Firmware</t>
  </si>
  <si>
    <t xml:space="preserve">Bare-metal A53 firmware (ZU47DR): init sequence, clocking (LMK04828/LMX2594), RFDC control, calibration, DSA/VOP, Nyquist, MTS, DDS, AXIS routing, DAC source switch, UART menu.</t>
  </si>
  <si>
    <t xml:space="preserve">PCIe Control</t>
  </si>
  <si>
    <t xml:space="preserve">PCIe register mailbox (ABI 4): ring_register / RFDC_configuration layout, events, readbacks, error codes, capabilities, defaults, unit conversions, firmware handler.</t>
  </si>
  <si>
    <t xml:space="preserve">Xilinx BSP</t>
  </si>
  <si>
    <t xml:space="preserve">Xilinx standalone BSP / driver APIs the firmware calls: XRFdc, XGpio, XAxisScr, calibration, MTS, NCO, DSA/VOP, register access, timing.</t>
  </si>
  <si>
    <t xml:space="preserve">Host CLI Client</t>
  </si>
  <si>
    <t xml:space="preserve">Host-side control clients of the PCIe mailbox: rfdc_ctl CLI with pcie_access, and the GUI's RfdcControl client.</t>
  </si>
  <si>
    <t xml:space="preserve">Test Coverage</t>
  </si>
  <si>
    <t xml:space="preserve">Automated test suites, the APIs they exercise and their results in REL1.0.</t>
  </si>
  <si>
    <t xml:space="preserve">Glossary</t>
  </si>
  <si>
    <t xml:space="preserve">Abbreviations and terms.</t>
  </si>
  <si>
    <t xml:space="preserve">Revision History</t>
  </si>
  <si>
    <t xml:space="preserve">Document and package revision record.</t>
  </si>
  <si>
    <t xml:space="preserve">Total API entries</t>
  </si>
  <si>
    <t xml:space="preserve">Counts recalculate from the API sheets (COUNTIF on the Sub-category / Kind columns).</t>
  </si>
  <si>
    <t xml:space="preserve">Scope</t>
  </si>
  <si>
    <t xml:space="preserve">Entries</t>
  </si>
  <si>
    <t xml:space="preserve">Share</t>
  </si>
  <si>
    <t xml:space="preserve">Sub-categories</t>
  </si>
  <si>
    <t xml:space="preserve">Source folders</t>
  </si>
  <si>
    <t xml:space="preserve">Every mathematical routine, constant and derived quantity in the host GUI: FFT, windows, spectral metrics (SINAD/SNR/THD/SFDR/ENOB), EVM, DDC/NCO, waveform gene...</t>
  </si>
  <si>
    <t xml:space="preserve">SC</t>
  </si>
  <si>
    <t xml:space="preserve">iwfg Linux kernel driver (QDMA): ioctls, UAPI structs, file operations, H2C/C2H paths, rings, doorbells, interrupts, DMA-BUF, overflow recovery, QDMA context pr...</t>
  </si>
  <si>
    <t xml:space="preserve">Bare-metal A53 firmware (ZU47DR): init sequence, clocking (LMK04828/LMX2594), RFDC control, calibration, DSA/VOP, Nyquist, MTS, DDS, AXIS routing, DAC source sw...</t>
  </si>
  <si>
    <t xml:space="preserve">FF</t>
  </si>
  <si>
    <t xml:space="preserve">PCIe register mailbox (ABI 4): ring_register / RFDC_configuration layout, events, readbacks, error codes, capabilities, defaults, unit conversions, firmware han...</t>
  </si>
  <si>
    <t xml:space="preserve">Total</t>
  </si>
  <si>
    <t xml:space="preserve">Entries by sheet and sub-category</t>
  </si>
  <si>
    <t xml:space="preserve">Sub-category</t>
  </si>
  <si>
    <t xml:space="preserve">Share of sheet</t>
  </si>
  <si>
    <t xml:space="preserve">DAC packing</t>
  </si>
  <si>
    <t xml:space="preserve">DDC / NCO</t>
  </si>
  <si>
    <t xml:space="preserve">Display scaling</t>
  </si>
  <si>
    <t xml:space="preserve">FFT</t>
  </si>
  <si>
    <t xml:space="preserve">GPU</t>
  </si>
  <si>
    <t xml:space="preserve">Loopback verification</t>
  </si>
  <si>
    <t xml:space="preserve">Modulation / EVM</t>
  </si>
  <si>
    <t xml:space="preserve">Rate &amp; bandwidth</t>
  </si>
  <si>
    <t xml:space="preserve">Sample codec</t>
  </si>
  <si>
    <t xml:space="preserve">Simulation model</t>
  </si>
  <si>
    <t xml:space="preserve">Spectral averaging</t>
  </si>
  <si>
    <t xml:space="preserve">Spectral metrics</t>
  </si>
  <si>
    <t xml:space="preserve">Time-domain metrics</t>
  </si>
  <si>
    <t xml:space="preserve">Unit formatting</t>
  </si>
  <si>
    <t xml:space="preserve">Validation</t>
  </si>
  <si>
    <t xml:space="preserve">Waveform generation</t>
  </si>
  <si>
    <t xml:space="preserve">Windowing</t>
  </si>
  <si>
    <t xml:space="preserve">BackendModeDialog</t>
  </si>
  <si>
    <t xml:space="preserve">ChannelDialog</t>
  </si>
  <si>
    <t xml:space="preserve">ColorMap</t>
  </si>
  <si>
    <t xml:space="preserve">ConfigDialog</t>
  </si>
  <si>
    <t xml:space="preserve">ConstellationPlot</t>
  </si>
  <si>
    <t xml:space="preserve">ControlWindow3D</t>
  </si>
  <si>
    <t xml:space="preserve">DisplayPanel</t>
  </si>
  <si>
    <t xml:space="preserve">InstrumentPlot</t>
  </si>
  <si>
    <t xml:space="preserve">MainWindow</t>
  </si>
  <si>
    <t xml:space="preserve">MeasurementPanel</t>
  </si>
  <si>
    <t xml:space="preserve">PcieDiscoveryDialog</t>
  </si>
  <si>
    <t xml:space="preserve">PlotBase</t>
  </si>
  <si>
    <t xml:space="preserve">ResourceBar</t>
  </si>
  <si>
    <t xml:space="preserve">SourcePanel</t>
  </si>
  <si>
    <t xml:space="preserve">SpectrumPlot</t>
  </si>
  <si>
    <t xml:space="preserve">StatusPanel</t>
  </si>
  <si>
    <t xml:space="preserve">Theme</t>
  </si>
  <si>
    <t xml:space="preserve">TimeDomainPlot</t>
  </si>
  <si>
    <t xml:space="preserve">TitleBar</t>
  </si>
  <si>
    <t xml:space="preserve">WaterfallPlot</t>
  </si>
  <si>
    <t xml:space="preserve">BackendLauncher</t>
  </si>
  <si>
    <t xml:space="preserve">CaptureBudget</t>
  </si>
  <si>
    <t xml:space="preserve">ConfigValidator</t>
  </si>
  <si>
    <t xml:space="preserve">DmaSource</t>
  </si>
  <si>
    <t xml:space="preserve">DriverManager</t>
  </si>
  <si>
    <t xml:space="preserve">DspEngine</t>
  </si>
  <si>
    <t xml:space="preserve">FileSource</t>
  </si>
  <si>
    <t xml:space="preserve">GpuFft</t>
  </si>
  <si>
    <t xml:space="preserve">GpuNetProbe</t>
  </si>
  <si>
    <t xml:space="preserve">H2cControl</t>
  </si>
  <si>
    <t xml:space="preserve">HardwareDb</t>
  </si>
  <si>
    <t xml:space="preserve">ISignalSource</t>
  </si>
  <si>
    <t xml:space="preserve">IqGenerator</t>
  </si>
  <si>
    <t xml:space="preserve">PcapExtract</t>
  </si>
  <si>
    <t xml:space="preserve">Recorder</t>
  </si>
  <si>
    <t xml:space="preserve">RecordingGuard</t>
  </si>
  <si>
    <t xml:space="preserve">ResourceMonitor</t>
  </si>
  <si>
    <t xml:space="preserve">RfdcControl</t>
  </si>
  <si>
    <t xml:space="preserve">RoceShmSource</t>
  </si>
  <si>
    <t xml:space="preserve">SampleCodec</t>
  </si>
  <si>
    <t xml:space="preserve">SimulatedSource</t>
  </si>
  <si>
    <t xml:space="preserve">SystemProbe</t>
  </si>
  <si>
    <t xml:space="preserve">Types.h</t>
  </si>
  <si>
    <t xml:space="preserve">Waveform</t>
  </si>
  <si>
    <t xml:space="preserve">main.cpp</t>
  </si>
  <si>
    <t xml:space="preserve">C/C++ runtime</t>
  </si>
  <si>
    <t xml:space="preserve">CUDA</t>
  </si>
  <si>
    <t xml:space="preserve">Linux tools</t>
  </si>
  <si>
    <t xml:space="preserve">POSIX</t>
  </si>
  <si>
    <t xml:space="preserve">Qt Core</t>
  </si>
  <si>
    <t xml:space="preserve">Qt GUI</t>
  </si>
  <si>
    <t xml:space="preserve">Qt Widgets</t>
  </si>
  <si>
    <t xml:space="preserve">RDMA / RoCEv2</t>
  </si>
  <si>
    <t xml:space="preserve">Buffer management</t>
  </si>
  <si>
    <t xml:space="preserve">C2H path</t>
  </si>
  <si>
    <t xml:space="preserve">DMA-BUF</t>
  </si>
  <si>
    <t xml:space="preserve">Descriptor pack/unpack</t>
  </si>
  <si>
    <t xml:space="preserve">Doorbells</t>
  </si>
  <si>
    <t xml:space="preserve">Driver helpers</t>
  </si>
  <si>
    <t xml:space="preserve">Driver structs</t>
  </si>
  <si>
    <t xml:space="preserve">File operations</t>
  </si>
  <si>
    <t xml:space="preserve">H2C path</t>
  </si>
  <si>
    <t xml:space="preserve">Hardware init</t>
  </si>
  <si>
    <t xml:space="preserve">IOCTL</t>
  </si>
  <si>
    <t xml:space="preserve">IOCTL handler</t>
  </si>
  <si>
    <t xml:space="preserve">Interrupts</t>
  </si>
  <si>
    <t xml:space="preserve">Overflow recovery</t>
  </si>
  <si>
    <t xml:space="preserve">QDMA context</t>
  </si>
  <si>
    <t xml:space="preserve">Queue management</t>
  </si>
  <si>
    <t xml:space="preserve">Ring helpers</t>
  </si>
  <si>
    <t xml:space="preserve">UAPI struct</t>
  </si>
  <si>
    <t xml:space="preserve">Descriptor format</t>
  </si>
  <si>
    <t xml:space="preserve">PL user registers</t>
  </si>
  <si>
    <t xml:space="preserve">QDMA registers</t>
  </si>
  <si>
    <t xml:space="preserve">c2h_stream</t>
  </si>
  <si>
    <t xml:space="preserve">iwfg_h2c</t>
  </si>
  <si>
    <t xml:space="preserve">AXIS routing</t>
  </si>
  <si>
    <t xml:space="preserve">Calibration</t>
  </si>
  <si>
    <t xml:space="preserve">Clocking</t>
  </si>
  <si>
    <t xml:space="preserve">DAC source switch</t>
  </si>
  <si>
    <t xml:space="preserve">DDS</t>
  </si>
  <si>
    <t xml:space="preserve">DSA / VOP</t>
  </si>
  <si>
    <t xml:space="preserve">Init sequence</t>
  </si>
  <si>
    <t xml:space="preserve">MTS</t>
  </si>
  <si>
    <t xml:space="preserve">NCO / mixer</t>
  </si>
  <si>
    <t xml:space="preserve">Nyquist zone</t>
  </si>
  <si>
    <t xml:space="preserve">Platform IDs</t>
  </si>
  <si>
    <t xml:space="preserve">RF data converter</t>
  </si>
  <si>
    <t xml:space="preserve">UART menu</t>
  </si>
  <si>
    <t xml:space="preserve">Capability</t>
  </si>
  <si>
    <t xml:space="preserve">Defaults</t>
  </si>
  <si>
    <t xml:space="preserve">Error code</t>
  </si>
  <si>
    <t xml:space="preserve">Event</t>
  </si>
  <si>
    <t xml:space="preserve">Firmware handler</t>
  </si>
  <si>
    <t xml:space="preserve">Readback</t>
  </si>
  <si>
    <t xml:space="preserve">Register layout</t>
  </si>
  <si>
    <t xml:space="preserve">Unit conversion</t>
  </si>
  <si>
    <t xml:space="preserve">AXI GPIO</t>
  </si>
  <si>
    <t xml:space="preserve">Register access</t>
  </si>
  <si>
    <t xml:space="preserve">Timing</t>
  </si>
  <si>
    <t xml:space="preserve">pcie_access</t>
  </si>
  <si>
    <t xml:space="preserve">rfdc_ctl</t>
  </si>
  <si>
    <t xml:space="preserve">Entries by kind (all API sheets)</t>
  </si>
  <si>
    <t xml:space="preserve">Kind</t>
  </si>
  <si>
    <t xml:space="preserve">method</t>
  </si>
  <si>
    <t xml:space="preserve">function</t>
  </si>
  <si>
    <t xml:space="preserve">constant</t>
  </si>
  <si>
    <t xml:space="preserve">struct</t>
  </si>
  <si>
    <t xml:space="preserve">slot</t>
  </si>
  <si>
    <t xml:space="preserve">static function</t>
  </si>
  <si>
    <t xml:space="preserve">signal</t>
  </si>
  <si>
    <t xml:space="preserve">bitfield</t>
  </si>
  <si>
    <t xml:space="preserve">lambda/block</t>
  </si>
  <si>
    <t xml:space="preserve">BSP API</t>
  </si>
  <si>
    <t xml:space="preserve">status line</t>
  </si>
  <si>
    <t xml:space="preserve">library API</t>
  </si>
  <si>
    <t xml:space="preserve">register</t>
  </si>
  <si>
    <t xml:space="preserve">free function</t>
  </si>
  <si>
    <t xml:space="preserve">class</t>
  </si>
  <si>
    <t xml:space="preserve">inline</t>
  </si>
  <si>
    <t xml:space="preserve">CLI command</t>
  </si>
  <si>
    <t xml:space="preserve">event</t>
  </si>
  <si>
    <t xml:space="preserve">ioctl</t>
  </si>
  <si>
    <t xml:space="preserve">readback</t>
  </si>
  <si>
    <t xml:space="preserve">menu option</t>
  </si>
  <si>
    <t xml:space="preserve">macro</t>
  </si>
  <si>
    <t xml:space="preserve">enum</t>
  </si>
  <si>
    <t xml:space="preserve">error code</t>
  </si>
  <si>
    <t xml:space="preserve">register field</t>
  </si>
  <si>
    <t xml:space="preserve">capability</t>
  </si>
  <si>
    <t xml:space="preserve">kernel</t>
  </si>
  <si>
    <t xml:space="preserve">CLI</t>
  </si>
  <si>
    <t xml:space="preserve">Folder naming: iW-ASCEJ-01-&lt;code&gt;-R1.0-REL1.0  (R1.0 = document/folder revision, REL1.0 = package release). REL1.0 carries software 1.2.5.</t>
  </si>
  <si>
    <t xml:space="preserve">Code</t>
  </si>
  <si>
    <t xml:space="preserve">Level</t>
  </si>
  <si>
    <t xml:space="preserve">Folder name</t>
  </si>
  <si>
    <t xml:space="preserve">Meaning</t>
  </si>
  <si>
    <t xml:space="preserve">DF</t>
  </si>
  <si>
    <t xml:space="preserve">Deliverable Folder - package root</t>
  </si>
  <si>
    <t xml:space="preserve">README.md (folder legend, quick start), iW-ASCEJ-01-ReleaseNotes-R1.0-REL1.0 (.md/.pdf), this API workbook, VERSION, MANIFEST.sha256</t>
  </si>
  <si>
    <t xml:space="preserve">HF</t>
  </si>
  <si>
    <t xml:space="preserve">    iW-ASCEJ-01-HF-R1.0-REL1.0</t>
  </si>
  <si>
    <t xml:space="preserve">Hardware Files</t>
  </si>
  <si>
    <t xml:space="preserve">01_PS_Configuration: psu_init.c / psu_init.html (Zynq MPSoC PS config: clocks, DDR4, MIO, GT lanes). 02_Vitis_Platform: export.json (zu47dr_plat / standalone_domain). 03_PL_Design: list of PL files to be supplied (XSA, bitstream, hwh). Hardware Interface Summary (.md/.pdf).</t>
  </si>
  <si>
    <t xml:space="preserve">    iW-ASCEJ-01-FF-R1.0-REL1.0</t>
  </si>
  <si>
    <t xml:space="preserve">Firmware Files</t>
  </si>
  <si>
    <t xml:space="preserve">01_Source: 37 bare-metal C sources/headers (main.c, pcie_cfg.c, pcie_regs.h, rfdc_*.c, adc*.c, cli.c, dac_waves.c ...). 02_Boot: boot.bif, make_boot.sh, boot_probe.tcl, jtag_boot_test.tcl, linker fragment. 03_Documentation: boot/flash/porting/RFDC guides, register header reference. 04_Binaries: where BOOT.BIN / ELF go after the Vitis build.</t>
  </si>
  <si>
    <t xml:space="preserve">SF</t>
  </si>
  <si>
    <t xml:space="preserve">    iW-ASCEJ-01-SF-R1.0-REL1.0</t>
  </si>
  <si>
    <t xml:space="preserve">Software Files</t>
  </si>
  <si>
    <t xml:space="preserve">Host software, split into the five folders below.</t>
  </si>
  <si>
    <t xml:space="preserve">BN</t>
  </si>
  <si>
    <t xml:space="preserve">        iW-ASCEJ-01-BN-R1.0-REL1.0</t>
  </si>
  <si>
    <t xml:space="preserve">Binaries</t>
  </si>
  <si>
    <t xml:space="preserve">01_Host_x86-64: sdr_workstation (GUI) and rfdc_ctl (CLI), prebuilt on Ubuntu 24.04 (glibc &gt;= 2.38), with SHA-256 sums. Backend helpers are built per host by the GUI build.</t>
  </si>
  <si>
    <t xml:space="preserve">        iW-ASCEJ-01-SC-R1.0-REL1.0</t>
  </si>
  <si>
    <t xml:space="preserve">Source Code</t>
  </si>
  <si>
    <t xml:space="preserve">01_sdr_workstation_GUI: Qt GUI (src/core, src/ui), backend helpers (C2H c2h_stream, H2C iwfg_h2c, UDP receiver), iwfg QDMA kernel driver (drivers/), resources, CMake. 02_host_tools: rfdc_ctl + pcie_access.</t>
  </si>
  <si>
    <t xml:space="preserve">UM</t>
  </si>
  <si>
    <t xml:space="preserve">        iW-ASCEJ-01-UM-R1.0-REL1.0</t>
  </si>
  <si>
    <t xml:space="preserve">User Manual</t>
  </si>
  <si>
    <t xml:space="preserve">iW-ASCEJ-01-User-Manual-R1.0-REL1.0.pdf (installation, quick start, operation, RFDC control, transmit/receive, troubleshooting). 01_Reference_Guides: topic guides. 02_Developer_Notes: design notes, root-cause reports, changelog.</t>
  </si>
  <si>
    <t xml:space="preserve">AT</t>
  </si>
  <si>
    <t xml:space="preserve">        iW-ASCEJ-01-AT-R1.0-REL1.0</t>
  </si>
  <si>
    <t xml:space="preserve">Acceptance Test</t>
  </si>
  <si>
    <t xml:space="preserve">iW-ASCEJ-01-ATP-R1.0-REL1.0.pdf (procedure), iW-ASCEJ-01-ATR-R1.0-REL1.0.xlsx (automated results + bench record sheet). 01_Logs: raw logs of every automated test in this release.</t>
  </si>
  <si>
    <t xml:space="preserve">TS</t>
  </si>
  <si>
    <t xml:space="preserve">        iW-ASCEJ-01-TS-R1.0-REL1.0</t>
  </si>
  <si>
    <t xml:space="preserve">Test Suite</t>
  </si>
  <si>
    <t xml:space="preserve">01_Host_Test_Suite: run_all.sh + firmware, pcie_emu, gui, h2c_emu suites (no board needed). 02_Scripts: verify.sh, audit_sync.sh, make_manifest.sh, inventory.sh, gpu_p2p_check.sh.</t>
  </si>
  <si>
    <t xml:space="preserve">Tree</t>
  </si>
  <si>
    <t xml:space="preserve">iW-ASCEJ-01-DF-R1.0-REL1.0/
|-- iW-ASCEJ-01-HF-R1.0-REL1.0/            Hardware Files
|-- iW-ASCEJ-01-FF-R1.0-REL1.0/            Firmware Files
|-- iW-ASCEJ-01-SF-R1.0-REL1.0/            Software Files
|   |-- iW-ASCEJ-01-BN-R1.0-REL1.0/        Binaries
|   |-- iW-ASCEJ-01-SC-R1.0-REL1.0/        Source Code
|   |-- iW-ASCEJ-01-UM-R1.0-REL1.0/        User Manual
|   |-- iW-ASCEJ-01-AT-R1.0-REL1.0/        Acceptance Test
|   `-- iW-ASCEJ-01-TS-R1.0-REL1.0/        Test Suite
|-- iW-ASCEJ-01-API-Reference-R1.0-REL1.0.xlsx
|-- iW-ASCEJ-01-ReleaseNotes-R1.0-REL1.0.pdf
|-- README.md  VERSION  MANIFEST.sha256</t>
  </si>
  <si>
    <t xml:space="preserve">Stage-by-stage view of the three chains with the APIs involved. Rates link live to the Calculations sheet (green).</t>
  </si>
  <si>
    <t xml:space="preserve">Chain</t>
  </si>
  <si>
    <t xml:space="preserve">Stage</t>
  </si>
  <si>
    <t xml:space="preserve">Function</t>
  </si>
  <si>
    <t xml:space="preserve">Where it runs</t>
  </si>
  <si>
    <t xml:space="preserve">APIs involved</t>
  </si>
  <si>
    <t xml:space="preserve">Data / rule</t>
  </si>
  <si>
    <t xml:space="preserve">Source</t>
  </si>
  <si>
    <t xml:space="preserve">TRANSMIT  host &gt; H2C &gt; DAC</t>
  </si>
  <si>
    <t xml:space="preserve">TX</t>
  </si>
  <si>
    <t xml:space="preserve">GUI generator</t>
  </si>
  <si>
    <t xml:space="preserve">IqGenerator::renderLoop / fillChunk, Waveform::shape, coherentHz</t>
  </si>
  <si>
    <t xml:space="preserve">Loop of N = chunk/4 I/Q pairs, coherent tone k*fs/N</t>
  </si>
  <si>
    <t xml:space="preserve">SC GUI src/core/IqGenerator.cpp</t>
  </si>
  <si>
    <t xml:space="preserve">packDac (14-bit &lt;&lt; 2), sanitiseChunkBytes</t>
  </si>
  <si>
    <t xml:space="preserve">int16 I + int16 Q, bits[1:0] = 0, peak 32764</t>
  </si>
  <si>
    <t xml:space="preserve">FIFO to helper</t>
  </si>
  <si>
    <t xml:space="preserve">GUI &gt; named pipe</t>
  </si>
  <si>
    <t xml:space="preserve">IqGenerator::streamUntilBroken, writeSilence</t>
  </si>
  <si>
    <t xml:space="preserve">Writes the loop once; GR_updates = 0/s when unchanged</t>
  </si>
  <si>
    <t xml:space="preserve">H2C helper</t>
  </si>
  <si>
    <t xml:space="preserve">ping-pong buffers, replay last chunk, watchdog</t>
  </si>
  <si>
    <t xml:space="preserve">One blocking DMA_DATA per chunk; replays until new data</t>
  </si>
  <si>
    <t xml:space="preserve">SC GUI backend/H2C/iwfg_h2c.c</t>
  </si>
  <si>
    <t xml:space="preserve">Kernel H2C</t>
  </si>
  <si>
    <t xml:space="preserve">iwfg driver /dev/iwfg1</t>
  </si>
  <si>
    <t xml:space="preserve">IWFG_IOCTL_ADD_BUF, IWFG_IOCTL_DMA_DATA, iwfg_xmit_data, iwfg_tx_roll, iwfg_wait_for_tx</t>
  </si>
  <si>
    <t xml:space="preserve">Descriptors (&lt;= 256 per batch), 100 ms wait slices, 2 s timeout</t>
  </si>
  <si>
    <t xml:space="preserve">SC GUI drivers/iwfg_dma.c</t>
  </si>
  <si>
    <t xml:space="preserve">QDMA H2C &gt; AXIS</t>
  </si>
  <si>
    <t xml:space="preserve">FPGA</t>
  </si>
  <si>
    <t xml:space="preserve">H2C_CTRL.VID_OUT_SEL, AXIS switch S00 (host)</t>
  </si>
  <si>
    <t xml:space="preserve">DDS_H2C_switch: S00 = host H2C_data_in, S01 = DDS (platform_ids.h)</t>
  </si>
  <si>
    <t xml:space="preserve">FF 01_Source/main.c (routing)</t>
  </si>
  <si>
    <t xml:space="preserve">RF-DAC</t>
  </si>
  <si>
    <t xml:space="preserve">RFSoC</t>
  </si>
  <si>
    <t xml:space="preserve">XRFdc NCO / interpolation, clk_wiz_dac 200 MHz</t>
  </si>
  <si>
    <t xml:space="preserve">One 32-bit I/Q word per 200 MHz clock = 762.9 MiB/s, no TREADY</t>
  </si>
  <si>
    <t xml:space="preserve">FF 01_Source/rfdc_*.c</t>
  </si>
  <si>
    <t xml:space="preserve">RECEIVE  ADC &gt; C2H &gt; GUI</t>
  </si>
  <si>
    <t xml:space="preserve">RX</t>
  </si>
  <si>
    <t xml:space="preserve">RF-ADC + DDC</t>
  </si>
  <si>
    <t xml:space="preserve">XRFdc decimation, NCO, DSA, QMC</t>
  </si>
  <si>
    <t xml:space="preserve">fs_ADC / decimation per channel (4800/24 = 200 MSPS)</t>
  </si>
  <si>
    <t xml:space="preserve">AXIS routing / PL GPIO</t>
  </si>
  <si>
    <t xml:space="preserve">AXIS routing 0x1237 (ch0=7 ch1=3 ch2=2 ch3=1), PL GPIO mode 1/2/3</t>
  </si>
  <si>
    <t xml:space="preserve">1, 2 or 4 channels into the C2H stream</t>
  </si>
  <si>
    <t xml:space="preserve">FF 01_Source/main.c</t>
  </si>
  <si>
    <t xml:space="preserve">QDMA C2H</t>
  </si>
  <si>
    <t xml:space="preserve">iwfg driver /dev/iwfg0</t>
  </si>
  <si>
    <t xml:space="preserve">iwfg_rx_poll, C2H ring (16384 entries), usr_ovf recovery</t>
  </si>
  <si>
    <t xml:space="preserve">Overflow &gt; QDMA soft reset (affects H2C) - see DRIVER_OVERFLOW_RECOVERY.md</t>
  </si>
  <si>
    <t xml:space="preserve">C2H helper</t>
  </si>
  <si>
    <t xml:space="preserve">fifo_pipe.c: 4 x 16 MiB pre-armed buffers</t>
  </si>
  <si>
    <t xml:space="preserve">Streams to the capture FIFO</t>
  </si>
  <si>
    <t xml:space="preserve">SC GUI backend/C2H/fifo_pipe.c</t>
  </si>
  <si>
    <t xml:space="preserve">Host reader</t>
  </si>
  <si>
    <t xml:space="preserve">GUI DmaSource</t>
  </si>
  <si>
    <t xml:space="preserve">O_NONBLOCK open, poll, F_SETPIPE_SZ, re-attach</t>
  </si>
  <si>
    <t xml:space="preserve">SampleBlock to the DSP thread</t>
  </si>
  <si>
    <t xml:space="preserve">SC GUI src/core/Sources.cpp</t>
  </si>
  <si>
    <t xml:space="preserve">DSP</t>
  </si>
  <si>
    <t xml:space="preserve">GUI DspEngine</t>
  </si>
  <si>
    <t xml:space="preserve">applyDdc, computeSpectrum, computeMetrics, computeConstellation</t>
  </si>
  <si>
    <t xml:space="preserve">FFT / windows / metrics / EVM</t>
  </si>
  <si>
    <t xml:space="preserve">SC GUI src/core/DspEngine.cpp</t>
  </si>
  <si>
    <t xml:space="preserve">Display</t>
  </si>
  <si>
    <t xml:space="preserve">GUI plots</t>
  </si>
  <si>
    <t xml:space="preserve">SpectrumPlot, WaterfallPlot, TimeDomainPlot, ConstellationPlot, MeasurementPanel</t>
  </si>
  <si>
    <t xml:space="preserve">30 fps max (minFrameMs 33)</t>
  </si>
  <si>
    <t xml:space="preserve">SC GUI src/ui/*</t>
  </si>
  <si>
    <t xml:space="preserve">CONTROL  GUI / CLI &gt; PCIe mailbox &gt; firmware</t>
  </si>
  <si>
    <t xml:space="preserve">CTRL</t>
  </si>
  <si>
    <t xml:space="preserve">User action</t>
  </si>
  <si>
    <t xml:space="preserve">GUI RFDC tab / rfdc_ctl</t>
  </si>
  <si>
    <t xml:space="preserve">RfdcControl::send..., rfdc_ctl commands</t>
  </si>
  <si>
    <t xml:space="preserve">Async (no device I/O on the GUI thread)</t>
  </si>
  <si>
    <t xml:space="preserve">SC GUI src/core/RfdcControl.cpp</t>
  </si>
  <si>
    <t xml:space="preserve">Mailbox write</t>
  </si>
  <si>
    <t xml:space="preserve">BAR 2</t>
  </si>
  <si>
    <t xml:space="preserve">RFDC_configuration (0xAC) payload, then ring_register (0xA8) with NEW_CMD</t>
  </si>
  <si>
    <t xml:space="preserve">ring = NEW&lt;&lt;31|TGT&lt;&lt;28|LAST&lt;&lt;27|TILE&lt;&lt;24|CH&lt;&lt;20|EVT</t>
  </si>
  <si>
    <t xml:space="preserve">SC host_tools pcie_access.c</t>
  </si>
  <si>
    <t xml:space="preserve">Firmware poll</t>
  </si>
  <si>
    <t xml:space="preserve">A53 bare-metal</t>
  </si>
  <si>
    <t xml:space="preserve">pcie_cfg.c poll / dispatch, XRFdc_* calls</t>
  </si>
  <si>
    <t xml:space="preserve">Executes the event on the RFDC / GPIO / switch</t>
  </si>
  <si>
    <t xml:space="preserve">FF 01_Source/pcie_cfg.c</t>
  </si>
  <si>
    <t xml:space="preserve">Acknowledge</t>
  </si>
  <si>
    <t xml:space="preserve">A53 &gt; BAR 2</t>
  </si>
  <si>
    <t xml:space="preserve">RING_ACK_BUILD (0x2A&lt;&lt;24 | err&lt;&lt;20 | evt)</t>
  </si>
  <si>
    <t xml:space="preserve">NEW_CMD cleared = ACK; status rides in the same write</t>
  </si>
  <si>
    <t xml:space="preserve">FF 01_Source/pcie_regs.h</t>
  </si>
  <si>
    <t xml:space="preserve">PCIE_RB_REQUEST (0x5242&lt;&lt;16 | id), PCIE_RB_* answers</t>
  </si>
  <si>
    <t xml:space="preserve">Still 0x5242xxxx = unanswered</t>
  </si>
  <si>
    <t xml:space="preserve">Key rates (live links to Calculations)</t>
  </si>
  <si>
    <t xml:space="preserve">DAC demand (MiB/s)</t>
  </si>
  <si>
    <t xml:space="preserve">ADC stream rate per channel (MSPS)</t>
  </si>
  <si>
    <t xml:space="preserve">Capture need at the requested channels (MiB/s)</t>
  </si>
  <si>
    <t xml:space="preserve">Transmit-guard capture budget (MiB/s)</t>
  </si>
  <si>
    <t xml:space="preserve">Channels allowed while transmitting</t>
  </si>
  <si>
    <t xml:space="preserve">Host tone resolution at the current chunk (Hz)</t>
  </si>
  <si>
    <t xml:space="preserve">H2C transfer efficiency</t>
  </si>
  <si>
    <t xml:space="preserve">Engineering Calculations (live formulas)</t>
  </si>
  <si>
    <t xml:space="preserve">Every number the firmware, driver and GUI derive, as live Excel formulas tied to the code that computes it. Blue on yellow = input you may edit; black = formula; green = link to another cell. Change an input and the sheet recalculates.</t>
  </si>
  <si>
    <t xml:space="preserve">Legend:</t>
  </si>
  <si>
    <t xml:space="preserve">Input (edit)</t>
  </si>
  <si>
    <t xml:space="preserve">Formula</t>
  </si>
  <si>
    <t xml:space="preserve">Link</t>
  </si>
  <si>
    <t xml:space="preserve">ID</t>
  </si>
  <si>
    <t xml:space="preserve">Parameter</t>
  </si>
  <si>
    <t xml:space="preserve">Value</t>
  </si>
  <si>
    <t xml:space="preserve">Unit</t>
  </si>
  <si>
    <t xml:space="preserve">Formula / rule</t>
  </si>
  <si>
    <t xml:space="preserve">Code reference (package folder : file : symbol)</t>
  </si>
  <si>
    <t xml:space="preserve">1. RF data converter rates  (firmware defaults, pcie_regs.h PCIE_DEF_*)</t>
  </si>
  <si>
    <t xml:space="preserve">C-001</t>
  </si>
  <si>
    <t xml:space="preserve">ADC sampling rate fs_ADC</t>
  </si>
  <si>
    <t xml:space="preserve">MSPS</t>
  </si>
  <si>
    <t xml:space="preserve">Input. Boot default PCIE_DEF_ADC_FS_MHZ.</t>
  </si>
  <si>
    <t xml:space="preserve">FF 01_Source/pcie_regs.h : PCIE_DEF_ADC_FS_MHZ</t>
  </si>
  <si>
    <t xml:space="preserve">Input</t>
  </si>
  <si>
    <t xml:space="preserve">C-002</t>
  </si>
  <si>
    <t xml:space="preserve">ADC decimation factor</t>
  </si>
  <si>
    <t xml:space="preserve">x</t>
  </si>
  <si>
    <t xml:space="preserve">Input. Boot default PCIE_DEF_DECIMATION.</t>
  </si>
  <si>
    <t xml:space="preserve">FF 01_Source/pcie_regs.h : PCIE_DEF_DECIMATION</t>
  </si>
  <si>
    <t xml:space="preserve">C-003</t>
  </si>
  <si>
    <t xml:space="preserve">Decimation factor accepted by firmware?</t>
  </si>
  <si>
    <t xml:space="preserve">-</t>
  </si>
  <si>
    <t xml:space="preserve">is_valid_adc_factor(): factor in {4,5,6,8,10,12,16,20,24,40}</t>
  </si>
  <si>
    <t xml:space="preserve">FF 01_Source/main.c : is_valid_adc_factor</t>
  </si>
  <si>
    <t xml:space="preserve">C-004</t>
  </si>
  <si>
    <t xml:space="preserve">ADC stream rate per channel</t>
  </si>
  <si>
    <t xml:space="preserve">fs_stream = fs_ADC / decimation</t>
  </si>
  <si>
    <t xml:space="preserve">FF 01_Source/pcie_cfg.c : PCIE_RB_ADC_STREAM_KHZ</t>
  </si>
  <si>
    <t xml:space="preserve">C-005</t>
  </si>
  <si>
    <t xml:space="preserve">ADC stream readback word (adc_stream_khz)</t>
  </si>
  <si>
    <t xml:space="preserve">kHz</t>
  </si>
  <si>
    <t xml:space="preserve">(u32)(gsps*1e6/f + 0.5) - what the GUI reads back</t>
  </si>
  <si>
    <t xml:space="preserve">C-006</t>
  </si>
  <si>
    <t xml:space="preserve">DAC sampling rate fs_DAC</t>
  </si>
  <si>
    <t xml:space="preserve">Input. Boot default PCIE_DEF_DAC_FS_MHZ.</t>
  </si>
  <si>
    <t xml:space="preserve">FF 01_Source/pcie_regs.h : PCIE_DEF_DAC_FS_MHZ</t>
  </si>
  <si>
    <t xml:space="preserve">C-007</t>
  </si>
  <si>
    <t xml:space="preserve">DAC interpolation factor</t>
  </si>
  <si>
    <t xml:space="preserve">Input. Boot default PCIE_DEF_INTERPOLATION.</t>
  </si>
  <si>
    <t xml:space="preserve">FF 01_Source/pcie_regs.h : PCIE_DEF_INTERPOLATION</t>
  </si>
  <si>
    <t xml:space="preserve">C-008</t>
  </si>
  <si>
    <t xml:space="preserve">DAC stream clock (clk_wiz_dac)</t>
  </si>
  <si>
    <t xml:space="preserve">MHz</t>
  </si>
  <si>
    <t xml:space="preserve">Input. Read back as current_dac_stream_clk_mhz; one 32-bit I/Q word per clock.</t>
  </si>
  <si>
    <t xml:space="preserve">FF 01_Source/pcie_cfg.c : PCIE_RB_DAC_STREAM_KHZ</t>
  </si>
  <si>
    <t xml:space="preserve">C-009</t>
  </si>
  <si>
    <t xml:space="preserve">GUI display decimation</t>
  </si>
  <si>
    <t xml:space="preserve">Input. AcqConfig.decimation (default 1).</t>
  </si>
  <si>
    <t xml:space="preserve">SC GUI src/core/Types.h : AcqConfig</t>
  </si>
  <si>
    <t xml:space="preserve">C-010</t>
  </si>
  <si>
    <t xml:space="preserve">GUI display interpolation</t>
  </si>
  <si>
    <t xml:space="preserve">Input. AcqConfig.interpolation (default 1).</t>
  </si>
  <si>
    <t xml:space="preserve">C-011</t>
  </si>
  <si>
    <t xml:space="preserve">Display / analysis rate Fs</t>
  </si>
  <si>
    <t xml:space="preserve">displayRateHz = sampleRateMsps*1e6*interp/decim</t>
  </si>
  <si>
    <t xml:space="preserve">SC GUI src/core/Types.h : AcqConfig::displayRateHz</t>
  </si>
  <si>
    <t xml:space="preserve">C-012</t>
  </si>
  <si>
    <t xml:space="preserve">NCO frequency (ADC and DAC)</t>
  </si>
  <si>
    <t xml:space="preserve">Input. Boot default PCIE_DEF_NCO_MHZ.</t>
  </si>
  <si>
    <t xml:space="preserve">FF 01_Source/pcie_regs.h : PCIE_DEF_NCO_MHZ</t>
  </si>
  <si>
    <t xml:space="preserve">C-013</t>
  </si>
  <si>
    <t xml:space="preserve">Nyquist zone of the NCO frequency at fs_ADC</t>
  </si>
  <si>
    <t xml:space="preserve">zone</t>
  </si>
  <si>
    <t xml:space="preserve">zone = floor(f / (fs/2)) + 1 (RFSoC convention; firmware accepts 1 or 2)</t>
  </si>
  <si>
    <t xml:space="preserve">FF 01_Source/rfdc_nyquistzone.c</t>
  </si>
  <si>
    <t xml:space="preserve">C-014</t>
  </si>
  <si>
    <t xml:space="preserve">Nyquist zone of the NCO frequency at fs_DAC</t>
  </si>
  <si>
    <t xml:space="preserve">zone = floor(f / (fs/2)) + 1</t>
  </si>
  <si>
    <t xml:space="preserve">2. PCIe control-register encodings  (ring_register 0xA8 / RFDC_configuration 0xAC, BAR 2)</t>
  </si>
  <si>
    <t xml:space="preserve">C-015</t>
  </si>
  <si>
    <t xml:space="preserve">NCO payload (EVENT 1): magnitude in kHz</t>
  </si>
  <si>
    <t xml:space="preserve">u32</t>
  </si>
  <si>
    <t xml:space="preserve">|f| in kHz, bit31 = sign. 4.5 GHz -&gt; 0x0044AA20 (pcie_regs.h example)</t>
  </si>
  <si>
    <t xml:space="preserve">FF 01_Source/pcie_regs.h : EVENT 1</t>
  </si>
  <si>
    <t xml:space="preserve">C-016</t>
  </si>
  <si>
    <t xml:space="preserve">NCO payload, hex</t>
  </si>
  <si>
    <t xml:space="preserve">hex</t>
  </si>
  <si>
    <t xml:space="preserve">Display only</t>
  </si>
  <si>
    <t xml:space="preserve">C-017</t>
  </si>
  <si>
    <t xml:space="preserve">NCO decoded back (PCIE_NCO_KHZ_TO_MHZ)</t>
  </si>
  <si>
    <t xml:space="preserve">Must equal the input: proves the conversion is inverse (audit_sync.sh)</t>
  </si>
  <si>
    <t xml:space="preserve">FF 01_Source/pcie_regs.h : PCIE_NCO_KHZ_TO_MHZ</t>
  </si>
  <si>
    <t xml:space="preserve">C-018</t>
  </si>
  <si>
    <t xml:space="preserve">DDS tone frequency</t>
  </si>
  <si>
    <t xml:space="preserve">Input. Boot default PCIE_DEF_DDS_MHZ.</t>
  </si>
  <si>
    <t xml:space="preserve">FF 01_Source/pcie_regs.h : PCIE_DEF_DDS_MHZ</t>
  </si>
  <si>
    <t xml:space="preserve">C-019</t>
  </si>
  <si>
    <t xml:space="preserve">DDS payload (EVENT 5): Hz</t>
  </si>
  <si>
    <t xml:space="preserve">Hz</t>
  </si>
  <si>
    <t xml:space="preserve">10 MHz -&gt; 10000000 -&gt; 0x00989680 (pcie_regs.h example)</t>
  </si>
  <si>
    <t xml:space="preserve">FF 01_Source/pcie_regs.h : EVENT 5</t>
  </si>
  <si>
    <t xml:space="preserve">C-020</t>
  </si>
  <si>
    <t xml:space="preserve">DDS payload, hex</t>
  </si>
  <si>
    <t xml:space="preserve">C-021</t>
  </si>
  <si>
    <t xml:space="preserve">ADC DSA attenuation</t>
  </si>
  <si>
    <t xml:space="preserve">dB</t>
  </si>
  <si>
    <t xml:space="preserve">Input. 0..27 dB.</t>
  </si>
  <si>
    <t xml:space="preserve">FF 01_Source/pcie_regs.h : PCIE_EVT_ADC_DSA</t>
  </si>
  <si>
    <t xml:space="preserve">C-022</t>
  </si>
  <si>
    <t xml:space="preserve">DSA payload (dB x 10)</t>
  </si>
  <si>
    <t xml:space="preserve">dBx10</t>
  </si>
  <si>
    <t xml:space="preserve">payload 0..270</t>
  </si>
  <si>
    <t xml:space="preserve">C-023</t>
  </si>
  <si>
    <t xml:space="preserve">DSA payload in range?</t>
  </si>
  <si>
    <t xml:space="preserve">0 &lt;= payload &lt;= 270</t>
  </si>
  <si>
    <t xml:space="preserve">C-024</t>
  </si>
  <si>
    <t xml:space="preserve">ADC QMC gain</t>
  </si>
  <si>
    <t xml:space="preserve">Input. A read-back of 0.0000 means the QMC gain is zeroed - set 1.0 (1.2.5 check).</t>
  </si>
  <si>
    <t xml:space="preserve">FF 01_Source/pcie_regs.h : PCIE_EVT_QMC_GAIN</t>
  </si>
  <si>
    <t xml:space="preserve">C-025</t>
  </si>
  <si>
    <t xml:space="preserve">QMC payload (gain x 10000)</t>
  </si>
  <si>
    <t xml:space="preserve">x1e4</t>
  </si>
  <si>
    <t xml:space="preserve">FF 01_Source/pcie_regs.h : PCIE_RB_QMC_GAIN_10000</t>
  </si>
  <si>
    <t xml:space="preserve">C-026</t>
  </si>
  <si>
    <t xml:space="preserve">DAC VOP output current</t>
  </si>
  <si>
    <t xml:space="preserve">uA</t>
  </si>
  <si>
    <t xml:space="preserve">Input. Boot default PCIE_DEF_DAC_VOP_UA (32 mA).</t>
  </si>
  <si>
    <t xml:space="preserve">FF 01_Source/pcie_regs.h : PCIE_DEF_DAC_VOP_UA</t>
  </si>
  <si>
    <t xml:space="preserve">C-027</t>
  </si>
  <si>
    <t xml:space="preserve">DAC VOP in mA</t>
  </si>
  <si>
    <t xml:space="preserve">mA</t>
  </si>
  <si>
    <t xml:space="preserve">C-028</t>
  </si>
  <si>
    <t xml:space="preserve">ring NEW_CMD bit [31]</t>
  </si>
  <si>
    <t xml:space="preserve">bit</t>
  </si>
  <si>
    <t xml:space="preserve">Input. Host writes 1; PS clears it (= the ACK).</t>
  </si>
  <si>
    <t xml:space="preserve">FF 01_Source/pcie_regs.h : RING_NEWCMD_MASK</t>
  </si>
  <si>
    <t xml:space="preserve">C-029</t>
  </si>
  <si>
    <t xml:space="preserve">ring TARGET [30:28]</t>
  </si>
  <si>
    <t xml:space="preserve">code</t>
  </si>
  <si>
    <t xml:space="preserve">Input. 0 ADC, 1 DAC, 2 DDS, 4 ADC+DAC</t>
  </si>
  <si>
    <t xml:space="preserve">FF 01_Source/pcie_regs.h : RING_TARGET_MASK</t>
  </si>
  <si>
    <t xml:space="preserve">C-030</t>
  </si>
  <si>
    <t xml:space="preserve">ring LAST_TILE [27]</t>
  </si>
  <si>
    <t xml:space="preserve">Input.</t>
  </si>
  <si>
    <t xml:space="preserve">FF 01_Source/pcie_regs.h : RING_LASTTILE_MASK</t>
  </si>
  <si>
    <t xml:space="preserve">C-031</t>
  </si>
  <si>
    <t xml:space="preserve">ring TILE [26:24]</t>
  </si>
  <si>
    <t xml:space="preserve">Input. 0..3 tile, 7 all (4 = back-to-back is rejected)</t>
  </si>
  <si>
    <t xml:space="preserve">FF 01_Source/pcie_regs.h : RING_TILE_MASK</t>
  </si>
  <si>
    <t xml:space="preserve">C-032</t>
  </si>
  <si>
    <t xml:space="preserve">ring CHANNEL [23:20]</t>
  </si>
  <si>
    <t xml:space="preserve">Input. 0 Ch0, 1 Ch1, 2 both</t>
  </si>
  <si>
    <t xml:space="preserve">FF 01_Source/pcie_regs.h : RING_CHANNEL_MASK</t>
  </si>
  <si>
    <t xml:space="preserve">C-033</t>
  </si>
  <si>
    <t xml:space="preserve">ring EVENT [19:0]</t>
  </si>
  <si>
    <t xml:space="preserve">Input. 1 NCO freq ... 0x17 MTS realign</t>
  </si>
  <si>
    <t xml:space="preserve">FF 01_Source/pcie_regs.h : PCIE_EVT_*</t>
  </si>
  <si>
    <t xml:space="preserve">C-034</t>
  </si>
  <si>
    <t xml:space="preserve">ring_register word</t>
  </si>
  <si>
    <t xml:space="preserve">NEW_CMD&lt;&lt;31 | TARGET&lt;&lt;28 | LAST&lt;&lt;27 | TILE&lt;&lt;24 | CH&lt;&lt;20 | EVENT</t>
  </si>
  <si>
    <t xml:space="preserve">FF 01_Source/pcie_regs.h : RING_SET</t>
  </si>
  <si>
    <t xml:space="preserve">C-035</t>
  </si>
  <si>
    <t xml:space="preserve">ring_register word, hex</t>
  </si>
  <si>
    <t xml:space="preserve">C-036</t>
  </si>
  <si>
    <t xml:space="preserve">ACK error code (0 = OK)</t>
  </si>
  <si>
    <t xml:space="preserve">Input. PCIE_ERR_* (0..15)</t>
  </si>
  <si>
    <t xml:space="preserve">FF 01_Source/pcie_regs.h : PCIE_ERR_*</t>
  </si>
  <si>
    <t xml:space="preserve">C-037</t>
  </si>
  <si>
    <t xml:space="preserve">ACK word written back by the PS</t>
  </si>
  <si>
    <t xml:space="preserve">RING_ACK_BUILD = (0x2A&lt;&lt;24)|(err&lt;&lt;20)|evt  (NEW_CMD = 0)</t>
  </si>
  <si>
    <t xml:space="preserve">FF 01_Source/pcie_regs.h : RING_ACK_BUILD</t>
  </si>
  <si>
    <t xml:space="preserve">C-038</t>
  </si>
  <si>
    <t xml:space="preserve">ACK word, hex</t>
  </si>
  <si>
    <t xml:space="preserve">Host checks bits[31:24] == 0x2A</t>
  </si>
  <si>
    <t xml:space="preserve">C-039</t>
  </si>
  <si>
    <t xml:space="preserve">Readback id</t>
  </si>
  <si>
    <t xml:space="preserve">id</t>
  </si>
  <si>
    <t xml:space="preserve">Input. e.g. 0x0D = QMC gain x10000</t>
  </si>
  <si>
    <t xml:space="preserve">FF 01_Source/pcie_regs.h : PCIE_RB_*</t>
  </si>
  <si>
    <t xml:space="preserve">C-040</t>
  </si>
  <si>
    <t xml:space="preserve">Readback request word</t>
  </si>
  <si>
    <t xml:space="preserve">PCIE_RB_REQUEST = (0x5242&lt;&lt;16) | id ; still 0x5242xxxx = unanswered</t>
  </si>
  <si>
    <t xml:space="preserve">FF 01_Source/pcie_regs.h : PCIE_RB_REQUEST</t>
  </si>
  <si>
    <t xml:space="preserve">C-041</t>
  </si>
  <si>
    <t xml:space="preserve">Readback request, hex</t>
  </si>
  <si>
    <t xml:space="preserve">C-042</t>
  </si>
  <si>
    <t xml:space="preserve">AXIS routing: output 0 source</t>
  </si>
  <si>
    <t xml:space="preserve">Input. Boot default ch0=7</t>
  </si>
  <si>
    <t xml:space="preserve">FF 01_Source/pcie_regs.h : PCIE_DEF_AXIS_ROUTING</t>
  </si>
  <si>
    <t xml:space="preserve">C-043</t>
  </si>
  <si>
    <t xml:space="preserve">AXIS routing: output 1 source</t>
  </si>
  <si>
    <t xml:space="preserve">Input. ch1=3</t>
  </si>
  <si>
    <t xml:space="preserve">C-044</t>
  </si>
  <si>
    <t xml:space="preserve">AXIS routing: output 2 source</t>
  </si>
  <si>
    <t xml:space="preserve">Input. ch2=2</t>
  </si>
  <si>
    <t xml:space="preserve">C-045</t>
  </si>
  <si>
    <t xml:space="preserve">AXIS routing: output 3 source</t>
  </si>
  <si>
    <t xml:space="preserve">Input. ch3=1</t>
  </si>
  <si>
    <t xml:space="preserve">C-046</t>
  </si>
  <si>
    <t xml:space="preserve">AXIS routing payload</t>
  </si>
  <si>
    <t xml:space="preserve">ch0 | ch1&lt;&lt;4 | ch2&lt;&lt;8 | ch3&lt;&lt;12 ; default 0x1237</t>
  </si>
  <si>
    <t xml:space="preserve">FF 01_Source/pcie_regs.h : PCIE_EVT_AXIS_ROUTING</t>
  </si>
  <si>
    <t xml:space="preserve">C-047</t>
  </si>
  <si>
    <t xml:space="preserve">AXIS routing payload, hex</t>
  </si>
  <si>
    <t xml:space="preserve">3. Capture (C2H) bandwidth and the 1.2.5 transmit guard</t>
  </si>
  <si>
    <t xml:space="preserve">C-048</t>
  </si>
  <si>
    <t xml:space="preserve">Capture channels requested</t>
  </si>
  <si>
    <t xml:space="preserve">ch</t>
  </si>
  <si>
    <t xml:space="preserve">Input. 1, 2 or 4 (PL GPIO mode 1/2/3).</t>
  </si>
  <si>
    <t xml:space="preserve">SC GUI src/core/CaptureBudget.h</t>
  </si>
  <si>
    <t xml:space="preserve">C-049</t>
  </si>
  <si>
    <t xml:space="preserve">Capture rate per channel</t>
  </si>
  <si>
    <t xml:space="preserve">Link to section 1 (ADC stream rate).</t>
  </si>
  <si>
    <t xml:space="preserve">C-050</t>
  </si>
  <si>
    <t xml:space="preserve">Bytes per complex sample (Cs16)</t>
  </si>
  <si>
    <t xml:space="preserve">B</t>
  </si>
  <si>
    <t xml:space="preserve">Input. int16 I + int16 Q</t>
  </si>
  <si>
    <t xml:space="preserve">SC GUI src/core/SampleCodec.h : bytesPerSample</t>
  </si>
  <si>
    <t xml:space="preserve">C-051</t>
  </si>
  <si>
    <t xml:space="preserve">Capture budget while transmitting</t>
  </si>
  <si>
    <t xml:space="preserve">MiB/s</t>
  </si>
  <si>
    <t xml:space="preserve">Input. kCaptureBudgetMib</t>
  </si>
  <si>
    <t xml:space="preserve">SC GUI src/core/CaptureBudget.h : kCaptureBudgetMib</t>
  </si>
  <si>
    <t xml:space="preserve">C-052</t>
  </si>
  <si>
    <t xml:space="preserve">Host drain rate measured on the bench</t>
  </si>
  <si>
    <t xml:space="preserve">Input. Bench measurement (DRIVER_OVERFLOW_RECOVERY.md).</t>
  </si>
  <si>
    <t xml:space="preserve">UM 02_Developer_Notes/DRIVER_OVERFLOW_RECOVERY.md</t>
  </si>
  <si>
    <t xml:space="preserve">C-053</t>
  </si>
  <si>
    <t xml:space="preserve">Capture need</t>
  </si>
  <si>
    <t xml:space="preserve">captureNeedMib = ch*rate*1e6*bps/2^20 (4 x 200 MSPS x 4 B = 3051.8)</t>
  </si>
  <si>
    <t xml:space="preserve">SC GUI src/core/CaptureBudget.h : captureNeedMib</t>
  </si>
  <si>
    <t xml:space="preserve">C-054</t>
  </si>
  <si>
    <t xml:space="preserve">Need at 2 channels</t>
  </si>
  <si>
    <t xml:space="preserve">C-055</t>
  </si>
  <si>
    <t xml:space="preserve">Need at 1 channel</t>
  </si>
  <si>
    <t xml:space="preserve">C-056</t>
  </si>
  <si>
    <t xml:space="preserve">Fits the transmit budget?</t>
  </si>
  <si>
    <t xml:space="preserve">need &lt;= budget</t>
  </si>
  <si>
    <t xml:space="preserve">C-057</t>
  </si>
  <si>
    <t xml:space="preserve">Channels the guard allows while transmitting</t>
  </si>
  <si>
    <t xml:space="preserve">captureChannelsWithinBudget(): ch if it fits, else 2 if it fits, else 1</t>
  </si>
  <si>
    <t xml:space="preserve">SC GUI src/core/CaptureBudget.h : captureChannelsWithinBudget</t>
  </si>
  <si>
    <t xml:space="preserve">C-058</t>
  </si>
  <si>
    <t xml:space="preserve">PL GPIO mode the guard selects</t>
  </si>
  <si>
    <t xml:space="preserve">mode</t>
  </si>
  <si>
    <t xml:space="preserve">plGpioModeForChannels(): &gt;=4 -&gt; 3, &gt;=2 -&gt; 2, else 1</t>
  </si>
  <si>
    <t xml:space="preserve">SC GUI src/core/CaptureBudget.h : plGpioModeForChannels</t>
  </si>
  <si>
    <t xml:space="preserve">C-059</t>
  </si>
  <si>
    <t xml:space="preserve">Drain margin at the requested channels</t>
  </si>
  <si>
    <t xml:space="preserve">negative = the C2H FIFO overflows continuously</t>
  </si>
  <si>
    <t xml:space="preserve">C-060</t>
  </si>
  <si>
    <t xml:space="preserve">C2H FIFO state</t>
  </si>
  <si>
    <t xml:space="preserve">See DRIVER_OVERFLOW_RECOVERY.md</t>
  </si>
  <si>
    <t xml:space="preserve">SC GUI drivers/iwfg_dma.c : iwfg_rx_poll (usr_ovf)</t>
  </si>
  <si>
    <t xml:space="preserve">C-061</t>
  </si>
  <si>
    <t xml:space="preserve">Measured capture rate (for the implied-channel check)</t>
  </si>
  <si>
    <t xml:space="preserve">Input. The rate the GUI status bar shows.</t>
  </si>
  <si>
    <t xml:space="preserve">C-062</t>
  </si>
  <si>
    <t xml:space="preserve">Delivered / one channel's worth</t>
  </si>
  <si>
    <t xml:space="preserve">C-063</t>
  </si>
  <si>
    <t xml:space="preserve">Implied channel count (+-15 %)</t>
  </si>
  <si>
    <t xml:space="preserve">impliedCaptureChannels(): |x-c| &lt;= 0.15c for c in {1,2,4,8}</t>
  </si>
  <si>
    <t xml:space="preserve">SC GUI src/core/CaptureBudget.h : impliedCaptureChannels</t>
  </si>
  <si>
    <t xml:space="preserve">C-064</t>
  </si>
  <si>
    <t xml:space="preserve">c2h_stream ring (4 x 16 MiB)</t>
  </si>
  <si>
    <t xml:space="preserve">MiB</t>
  </si>
  <si>
    <t xml:space="preserve">Input. fifo_pipe.c pre-armed buffers</t>
  </si>
  <si>
    <t xml:space="preserve">C-065</t>
  </si>
  <si>
    <t xml:space="preserve">Time the ring absorbs a stalled reader</t>
  </si>
  <si>
    <t xml:space="preserve">ms</t>
  </si>
  <si>
    <t xml:space="preserve">ring / need</t>
  </si>
  <si>
    <t xml:space="preserve">C-066</t>
  </si>
  <si>
    <t xml:space="preserve">Capture FIFO pipe size (F_SETPIPE_SZ)</t>
  </si>
  <si>
    <t xml:space="preserve">KiB</t>
  </si>
  <si>
    <t xml:space="preserve">Input. 1.2.5: 1 MiB (was 64 KiB)</t>
  </si>
  <si>
    <t xml:space="preserve">SC GUI src/core/Sources.cpp : DmaSource</t>
  </si>
  <si>
    <t xml:space="preserve">C-067</t>
  </si>
  <si>
    <t xml:space="preserve">Time the pipe absorbs at the capture need</t>
  </si>
  <si>
    <t xml:space="preserve">us</t>
  </si>
  <si>
    <t xml:space="preserve">4. H2C transmit: DAC demand, replay loop and per-transfer overhead</t>
  </si>
  <si>
    <t xml:space="preserve">C-068</t>
  </si>
  <si>
    <t xml:space="preserve">Bytes per DAC I/Q word</t>
  </si>
  <si>
    <t xml:space="preserve">SC GUI src/core/IqGenerator.h</t>
  </si>
  <si>
    <t xml:space="preserve">C-069</t>
  </si>
  <si>
    <t xml:space="preserve">DAC stream rate</t>
  </si>
  <si>
    <t xml:space="preserve">S/s</t>
  </si>
  <si>
    <t xml:space="preserve">Link: DAC stream clock x 1e6</t>
  </si>
  <si>
    <t xml:space="preserve">C-070</t>
  </si>
  <si>
    <t xml:space="preserve">DAC demand</t>
  </si>
  <si>
    <t xml:space="preserve">200 MHz x 4 B = 762.9 MiB/s; DAC input has no TREADY</t>
  </si>
  <si>
    <t xml:space="preserve">SC GUI src/core/BackendLauncher.h</t>
  </si>
  <si>
    <t xml:space="preserve">C-071</t>
  </si>
  <si>
    <t xml:space="preserve">H2C chunk size (iwfg_h2c chunk_bytes)</t>
  </si>
  <si>
    <t xml:space="preserve">Input. kH2cChunkDefault = 1 MiB; IWFG_H2C_CHUNK_BYTES overrides</t>
  </si>
  <si>
    <t xml:space="preserve">SC GUI src/core/BackendLauncher.h : kH2cChunkDefault</t>
  </si>
  <si>
    <t xml:space="preserve">C-072</t>
  </si>
  <si>
    <t xml:space="preserve">Sanitised chunk</t>
  </si>
  <si>
    <t xml:space="preserve">sanitiseChunkBytes(): multiple of 4, 1 KiB .. 64 MiB</t>
  </si>
  <si>
    <t xml:space="preserve">SC GUI src/core/IqGenerator.cpp : sanitiseChunkBytes</t>
  </si>
  <si>
    <t xml:space="preserve">C-073</t>
  </si>
  <si>
    <t xml:space="preserve">Replay loop length N</t>
  </si>
  <si>
    <t xml:space="preserve">pairs</t>
  </si>
  <si>
    <t xml:space="preserve">loopPairsFor() = bytes / 4</t>
  </si>
  <si>
    <t xml:space="preserve">SC GUI src/core/IqGenerator.cpp : loopPairsFor</t>
  </si>
  <si>
    <t xml:space="preserve">C-074</t>
  </si>
  <si>
    <t xml:space="preserve">Host tone resolution  df = fs / N</t>
  </si>
  <si>
    <t xml:space="preserve">loopResolutionHz(); 762.9 Hz at 1 MiB, 200 MSPS</t>
  </si>
  <si>
    <t xml:space="preserve">SC GUI src/core/Waveform.h : loopResolutionHz</t>
  </si>
  <si>
    <t xml:space="preserve">C-075</t>
  </si>
  <si>
    <t xml:space="preserve">Chunk play time</t>
  </si>
  <si>
    <t xml:space="preserve">N / fs</t>
  </si>
  <si>
    <t xml:space="preserve">C-076</t>
  </si>
  <si>
    <t xml:space="preserve">Pages (descriptors) per transfer</t>
  </si>
  <si>
    <t xml:space="preserve">pages</t>
  </si>
  <si>
    <t xml:space="preserve">16 MiB = 4096 pages did not complete on the bench</t>
  </si>
  <si>
    <t xml:space="preserve">C-077</t>
  </si>
  <si>
    <t xml:space="preserve">Requested host tone</t>
  </si>
  <si>
    <t xml:space="preserve">Input. IqGenerator::Config.frequencyHz (default 10 MHz)</t>
  </si>
  <si>
    <t xml:space="preserve">C-078</t>
  </si>
  <si>
    <t xml:space="preserve">Whole cycles in the loop  k</t>
  </si>
  <si>
    <t xml:space="preserve">cycles</t>
  </si>
  <si>
    <t xml:space="preserve">loopCycles() = round(f*N/fs)</t>
  </si>
  <si>
    <t xml:space="preserve">SC GUI src/core/Waveform.h : loopCycles</t>
  </si>
  <si>
    <t xml:space="preserve">C-079</t>
  </si>
  <si>
    <t xml:space="preserve">Frequency actually transmitted (coherent)</t>
  </si>
  <si>
    <t xml:space="preserve">coherentHz() = k*fs/N - seamless at the loop boundary</t>
  </si>
  <si>
    <t xml:space="preserve">SC GUI src/core/Waveform.h : coherentHz</t>
  </si>
  <si>
    <t xml:space="preserve">C-080</t>
  </si>
  <si>
    <t xml:space="preserve">Coherent snap error</t>
  </si>
  <si>
    <t xml:space="preserve">|error| &lt;= df/2</t>
  </si>
  <si>
    <t xml:space="preserve">C-081</t>
  </si>
  <si>
    <t xml:space="preserve">Per-transfer overhead (DMA_DATA round trip)</t>
  </si>
  <si>
    <t xml:space="preserve">Input. Derived from the bench: 16 KiB chunks capped delivery at ~640 MiB/s (BackendLauncher.h). Edit to your host.</t>
  </si>
  <si>
    <t xml:space="preserve">C-082</t>
  </si>
  <si>
    <t xml:space="preserve">Transfer efficiency</t>
  </si>
  <si>
    <t xml:space="preserve">%</t>
  </si>
  <si>
    <t xml:space="preserve">t_chunk / (t_chunk + t_oh) ; 99.7 % at 1 MiB</t>
  </si>
  <si>
    <t xml:space="preserve">C-083</t>
  </si>
  <si>
    <t xml:space="preserve">Deliverable H2C rate</t>
  </si>
  <si>
    <t xml:space="preserve">demand x efficiency</t>
  </si>
  <si>
    <t xml:space="preserve">C-084</t>
  </si>
  <si>
    <t xml:space="preserve">Shortfall vs DAC demand</t>
  </si>
  <si>
    <t xml:space="preserve">plays as broadband interference when &gt; 0.5 %</t>
  </si>
  <si>
    <t xml:space="preserve">C-085</t>
  </si>
  <si>
    <t xml:space="preserve">DAC kept fed?</t>
  </si>
  <si>
    <t xml:space="preserve">C-086</t>
  </si>
  <si>
    <t xml:space="preserve">Driver TX wait slice</t>
  </si>
  <si>
    <t xml:space="preserve">Input. iwfg_wait_for_tx() reclaim slice</t>
  </si>
  <si>
    <t xml:space="preserve">SC GUI drivers/iwfg_dma.c : iwfg_wait_for_tx</t>
  </si>
  <si>
    <t xml:space="preserve">C-087</t>
  </si>
  <si>
    <t xml:space="preserve">Driver TX wait timeout</t>
  </si>
  <si>
    <t xml:space="preserve">C-088</t>
  </si>
  <si>
    <t xml:space="preserve">Reclaim slices before timeout</t>
  </si>
  <si>
    <t xml:space="preserve">slices</t>
  </si>
  <si>
    <t xml:space="preserve">C-089</t>
  </si>
  <si>
    <t xml:space="preserve">DAC outage per C2H overflow recovery</t>
  </si>
  <si>
    <t xml:space="preserve">Input. udelay(17000) in the reset work item</t>
  </si>
  <si>
    <t xml:space="preserve">SC GUI drivers/iwfg_dma.c : iwfg_reset_hardware</t>
  </si>
  <si>
    <t xml:space="preserve">C-090</t>
  </si>
  <si>
    <t xml:space="preserve">C2H overflows per second</t>
  </si>
  <si>
    <t xml:space="preserve">1/s</t>
  </si>
  <si>
    <t xml:space="preserve">Input. Example value - set to what dmesg shows.</t>
  </si>
  <si>
    <t xml:space="preserve">C-091</t>
  </si>
  <si>
    <t xml:space="preserve">Fraction of time the DAC plays stale data</t>
  </si>
  <si>
    <t xml:space="preserve">C-092</t>
  </si>
  <si>
    <t xml:space="preserve">Stale samples per recovery</t>
  </si>
  <si>
    <t xml:space="preserve">samples</t>
  </si>
  <si>
    <t xml:space="preserve">5. DAC sample packing (14-bit DAC in a 16-bit word)</t>
  </si>
  <si>
    <t xml:space="preserve">C-093</t>
  </si>
  <si>
    <t xml:space="preserve">Generator amplitude</t>
  </si>
  <si>
    <t xml:space="preserve">FS</t>
  </si>
  <si>
    <t xml:space="preserve">Input. IqGenerator::Config.amplitude</t>
  </si>
  <si>
    <t xml:space="preserve">C-094</t>
  </si>
  <si>
    <t xml:space="preserve">Waveform value shape(phi)</t>
  </si>
  <si>
    <t xml:space="preserve">Input. -1 .. +1</t>
  </si>
  <si>
    <t xml:space="preserve">SC GUI src/core/Waveform.h : shape</t>
  </si>
  <si>
    <t xml:space="preserve">C-095</t>
  </si>
  <si>
    <t xml:space="preserve">14-bit code</t>
  </si>
  <si>
    <t xml:space="preserve">LSB14</t>
  </si>
  <si>
    <t xml:space="preserve">clamp(round(v*8191), -8191, 8191)</t>
  </si>
  <si>
    <t xml:space="preserve">SC GUI src/core/IqGenerator.cpp : packDac</t>
  </si>
  <si>
    <t xml:space="preserve">C-096</t>
  </si>
  <si>
    <t xml:space="preserve">16-bit DAC word</t>
  </si>
  <si>
    <t xml:space="preserve">int16</t>
  </si>
  <si>
    <t xml:space="preserve">i14 &lt;&lt; 2 ; bits[1:0] = 0</t>
  </si>
  <si>
    <t xml:space="preserve">C-097</t>
  </si>
  <si>
    <t xml:space="preserve">16-bit DAC word, hex (two's complement)</t>
  </si>
  <si>
    <t xml:space="preserve">C-098</t>
  </si>
  <si>
    <t xml:space="preserve">bits[1:0] of the word</t>
  </si>
  <si>
    <t xml:space="preserve">must be 0 (tested: 200 000 samples)</t>
  </si>
  <si>
    <t xml:space="preserve">TS 01_Host_Test_Suite/gui/tx_path_test.cpp</t>
  </si>
  <si>
    <t xml:space="preserve">C-099</t>
  </si>
  <si>
    <t xml:space="preserve">Full-scale peak word</t>
  </si>
  <si>
    <t xml:space="preserve">kPeak14 &lt;&lt; 2 = 32764</t>
  </si>
  <si>
    <t xml:space="preserve">SC GUI src/core/IqGenerator.h : peakInt16</t>
  </si>
  <si>
    <t xml:space="preserve">C-100</t>
  </si>
  <si>
    <t xml:space="preserve">Amplitude relative to full scale</t>
  </si>
  <si>
    <t xml:space="preserve">dBFS</t>
  </si>
  <si>
    <t xml:space="preserve">6. Spectrum analysis (DspEngine)</t>
  </si>
  <si>
    <t xml:space="preserve">C-101</t>
  </si>
  <si>
    <t xml:space="preserve">FFT size N</t>
  </si>
  <si>
    <t xml:space="preserve">bins</t>
  </si>
  <si>
    <t xml:space="preserve">Input. DisplayConfig.fftSize (power of two)</t>
  </si>
  <si>
    <t xml:space="preserve">SC GUI src/core/Types.h : DisplayConfig</t>
  </si>
  <si>
    <t xml:space="preserve">C-102</t>
  </si>
  <si>
    <t xml:space="preserve">FFT size is a power of two?</t>
  </si>
  <si>
    <t xml:space="preserve">GpuFft::setWindow: n &gt;= 2 and n &amp; (n-1) == 0</t>
  </si>
  <si>
    <t xml:space="preserve">SC GUI src/core/GpuFft.cpp</t>
  </si>
  <si>
    <t xml:space="preserve">C-103</t>
  </si>
  <si>
    <t xml:space="preserve">Window</t>
  </si>
  <si>
    <t xml:space="preserve">Blackman-Harris</t>
  </si>
  <si>
    <t xml:space="preserve">Input (drop-down). Default WindowType::BlackmanHarris</t>
  </si>
  <si>
    <t xml:space="preserve">SC GUI src/core/Fft.h : makeWindow</t>
  </si>
  <si>
    <t xml:space="preserve">C-104</t>
  </si>
  <si>
    <t xml:space="preserve">Bin width  Fs/N</t>
  </si>
  <si>
    <t xml:space="preserve">binHz = Fs / N</t>
  </si>
  <si>
    <t xml:space="preserve">SC GUI src/core/DspEngine.cpp : computeMetrics</t>
  </si>
  <si>
    <t xml:space="preserve">C-105</t>
  </si>
  <si>
    <t xml:space="preserve">Window ENBW (from the window table below)</t>
  </si>
  <si>
    <t xml:space="preserve">ENBW = N*sum(w^2)/(sum w)^2</t>
  </si>
  <si>
    <t xml:space="preserve">SC GUI src/core/Fft.h : windowEnbw</t>
  </si>
  <si>
    <t xml:space="preserve">C-106</t>
  </si>
  <si>
    <t xml:space="preserve">Window coherent gain (from the table)</t>
  </si>
  <si>
    <t xml:space="preserve">CG = sum(w)/N</t>
  </si>
  <si>
    <t xml:space="preserve">SC GUI src/core/GpuMathRef.h : coherentGain</t>
  </si>
  <si>
    <t xml:space="preserve">C-107</t>
  </si>
  <si>
    <t xml:space="preserve">Resolution bandwidth  ENBW x bin</t>
  </si>
  <si>
    <t xml:space="preserve">C-108</t>
  </si>
  <si>
    <t xml:space="preserve">Noise floor below full-band power</t>
  </si>
  <si>
    <t xml:space="preserve">per-bin noise = total x ENBW/N</t>
  </si>
  <si>
    <t xml:space="preserve">C-109</t>
  </si>
  <si>
    <t xml:space="preserve">DC guard half-width</t>
  </si>
  <si>
    <t xml:space="preserve">guard = max(2, ceil(1.5*ENBW)) + 1</t>
  </si>
  <si>
    <t xml:space="preserve">SC GUI src/core/DspEngine.cpp : computeMetrics [DC guard]</t>
  </si>
  <si>
    <t xml:space="preserve">C-110</t>
  </si>
  <si>
    <t xml:space="preserve">Samples per channel in a block</t>
  </si>
  <si>
    <t xml:space="preserve">C-111</t>
  </si>
  <si>
    <t xml:space="preserve">Analysis window</t>
  </si>
  <si>
    <t xml:space="preserve">analysisN = min(spc, max(4N, 16384))</t>
  </si>
  <si>
    <t xml:space="preserve">SC GUI src/core/DspEngine.cpp : processBlock</t>
  </si>
  <si>
    <t xml:space="preserve">C-112</t>
  </si>
  <si>
    <t xml:space="preserve">One FFT frame spans</t>
  </si>
  <si>
    <t xml:space="preserve">N / Fs</t>
  </si>
  <si>
    <t xml:space="preserve">C-113</t>
  </si>
  <si>
    <t xml:space="preserve">Refresh rate</t>
  </si>
  <si>
    <t xml:space="preserve">fps</t>
  </si>
  <si>
    <t xml:space="preserve">Input. DisplayConfig.refreshFps</t>
  </si>
  <si>
    <t xml:space="preserve">C-114</t>
  </si>
  <si>
    <t xml:space="preserve">Minimum frame interval</t>
  </si>
  <si>
    <t xml:space="preserve">m_minFrameMs = floor(1000/fps)</t>
  </si>
  <si>
    <t xml:space="preserve">SC GUI src/core/DspEngine.cpp : applyConfig</t>
  </si>
  <si>
    <t xml:space="preserve">C-115</t>
  </si>
  <si>
    <t xml:space="preserve">Time-domain visible window (512 points)</t>
  </si>
  <si>
    <t xml:space="preserve">kMaxTimePoints / Fs (2.56 us at 200 MSPS)</t>
  </si>
  <si>
    <t xml:space="preserve">SC GUI src/core/DspEngine.cpp : kMaxTimePoints</t>
  </si>
  <si>
    <t xml:space="preserve">C-116</t>
  </si>
  <si>
    <t xml:space="preserve">Tone amplitude A (input to the FFT)</t>
  </si>
  <si>
    <t xml:space="preserve">C-117</t>
  </si>
  <si>
    <t xml:space="preserve">Expected peak, complex tone A*e^(jwn)</t>
  </si>
  <si>
    <t xml:space="preserve">S = 10log10(P/(G^2*0.25)), P = (A*G)^2  -&gt;  10log10(4A^2)</t>
  </si>
  <si>
    <t xml:space="preserve">SC GUI src/core/DspEngine.cpp : computeSpectrum</t>
  </si>
  <si>
    <t xml:space="preserve">C-118</t>
  </si>
  <si>
    <t xml:space="preserve">Expected peak, real sine A*sin(wn)</t>
  </si>
  <si>
    <t xml:space="preserve">real sine splits into two bins of A*G/2  -&gt;  20log10(A)</t>
  </si>
  <si>
    <t xml:space="preserve">C-119</t>
  </si>
  <si>
    <t xml:space="preserve">Converter resolution</t>
  </si>
  <si>
    <t xml:space="preserve">bits</t>
  </si>
  <si>
    <t xml:space="preserve">Input. ZU47DR RF-ADC: 14-bit</t>
  </si>
  <si>
    <t xml:space="preserve">C-120</t>
  </si>
  <si>
    <t xml:space="preserve">Ideal quantisation SNR</t>
  </si>
  <si>
    <t xml:space="preserve">6.02N + 1.76</t>
  </si>
  <si>
    <t xml:space="preserve">C-121</t>
  </si>
  <si>
    <t xml:space="preserve">Measured SINAD</t>
  </si>
  <si>
    <t xml:space="preserve">Input. From the Measurements panel</t>
  </si>
  <si>
    <t xml:space="preserve">C-122</t>
  </si>
  <si>
    <t xml:space="preserve">ENOB</t>
  </si>
  <si>
    <t xml:space="preserve">ENOB = (SINAD - 1.76)/6.02</t>
  </si>
  <si>
    <t xml:space="preserve">SC GUI src/core/DspEngine.cpp : computeMetrics [ENOB]</t>
  </si>
  <si>
    <t xml:space="preserve">C-123</t>
  </si>
  <si>
    <t xml:space="preserve">H2 level</t>
  </si>
  <si>
    <t xml:space="preserve">dBc</t>
  </si>
  <si>
    <t xml:space="preserve">C-124</t>
  </si>
  <si>
    <t xml:space="preserve">H3 level</t>
  </si>
  <si>
    <t xml:space="preserve">C-125</t>
  </si>
  <si>
    <t xml:space="preserve">H4 level</t>
  </si>
  <si>
    <t xml:space="preserve">C-126</t>
  </si>
  <si>
    <t xml:space="preserve">H5 level</t>
  </si>
  <si>
    <t xml:space="preserve">C-127</t>
  </si>
  <si>
    <t xml:space="preserve">H6 level</t>
  </si>
  <si>
    <t xml:space="preserve">C-128</t>
  </si>
  <si>
    <t xml:space="preserve">THD (H2..H6)</t>
  </si>
  <si>
    <t xml:space="preserve">THD = 10log10(sum P_h / P_sig)</t>
  </si>
  <si>
    <t xml:space="preserve">SC GUI src/core/DspEngine.cpp : computeMetrics [THD]</t>
  </si>
  <si>
    <t xml:space="preserve">C-129</t>
  </si>
  <si>
    <t xml:space="preserve">EVM (rms)</t>
  </si>
  <si>
    <t xml:space="preserve">Input. 3 %</t>
  </si>
  <si>
    <t xml:space="preserve">C-130</t>
  </si>
  <si>
    <t xml:space="preserve">EVM in dB</t>
  </si>
  <si>
    <t xml:space="preserve">SC GUI src/core/DspEngine.cpp : computeMetrics [EVM]</t>
  </si>
  <si>
    <t xml:space="preserve">C-131</t>
  </si>
  <si>
    <t xml:space="preserve">QPSK ideal level</t>
  </si>
  <si>
    <t xml:space="preserve">+-0.70711</t>
  </si>
  <si>
    <t xml:space="preserve">SC GUI src/core/DspEngine.cpp : idealLevels</t>
  </si>
  <si>
    <t xml:space="preserve">C-132</t>
  </si>
  <si>
    <t xml:space="preserve">16-QAM level scale 1/sqrt(10)</t>
  </si>
  <si>
    <t xml:space="preserve">k/3.16228, k in {-3,-1,1,3}</t>
  </si>
  <si>
    <t xml:space="preserve">C-133</t>
  </si>
  <si>
    <t xml:space="preserve">64-QAM level scale 1/sqrt(42)</t>
  </si>
  <si>
    <t xml:space="preserve">k/6.48074, k odd -7..7</t>
  </si>
  <si>
    <t xml:space="preserve">7. Recording guard (disk space)</t>
  </si>
  <si>
    <t xml:space="preserve">C-134</t>
  </si>
  <si>
    <t xml:space="preserve">Disk size</t>
  </si>
  <si>
    <t xml:space="preserve">GiB</t>
  </si>
  <si>
    <t xml:space="preserve">C-135</t>
  </si>
  <si>
    <t xml:space="preserve">Free space</t>
  </si>
  <si>
    <t xml:space="preserve">C-136</t>
  </si>
  <si>
    <t xml:space="preserve">Recording limit requested</t>
  </si>
  <si>
    <t xml:space="preserve">Input. 100 GiB</t>
  </si>
  <si>
    <t xml:space="preserve">C-137</t>
  </si>
  <si>
    <t xml:space="preserve">Safety reserve</t>
  </si>
  <si>
    <t xml:space="preserve">max(2 GiB, 5 % of total)</t>
  </si>
  <si>
    <t xml:space="preserve">SC GUI src/core/RecordingGuard.cpp : safeCapacity</t>
  </si>
  <si>
    <t xml:space="preserve">C-138</t>
  </si>
  <si>
    <t xml:space="preserve">Safe capacity</t>
  </si>
  <si>
    <t xml:space="preserve">free - reserve (0 if below)</t>
  </si>
  <si>
    <t xml:space="preserve">C-139</t>
  </si>
  <si>
    <t xml:space="preserve">Limit check</t>
  </si>
  <si>
    <t xml:space="preserve">Critical &gt; safe ; Warning &gt; 80 % of safe</t>
  </si>
  <si>
    <t xml:space="preserve">SC GUI src/core/RecordingGuard.cpp : validateLimit</t>
  </si>
  <si>
    <t xml:space="preserve">C-140</t>
  </si>
  <si>
    <t xml:space="preserve">Time to fill the limit at the capture need</t>
  </si>
  <si>
    <t xml:space="preserve">s</t>
  </si>
  <si>
    <t xml:space="preserve">limit / capture need</t>
  </si>
  <si>
    <t xml:space="preserve">8. PCIe link planning estimate  (set from `lspci -vv` LnkSta on your host)</t>
  </si>
  <si>
    <t xml:space="preserve">C-141</t>
  </si>
  <si>
    <t xml:space="preserve">Link speed</t>
  </si>
  <si>
    <t xml:space="preserve">GT/s</t>
  </si>
  <si>
    <t xml:space="preserve">Input - ASSUMPTION. 8 = Gen3. Not read from the design files.</t>
  </si>
  <si>
    <t xml:space="preserve">C-142</t>
  </si>
  <si>
    <t xml:space="preserve">Link width</t>
  </si>
  <si>
    <t xml:space="preserve">lanes</t>
  </si>
  <si>
    <t xml:space="preserve">Input - ASSUMPTION.</t>
  </si>
  <si>
    <t xml:space="preserve">C-143</t>
  </si>
  <si>
    <t xml:space="preserve">Line-code efficiency</t>
  </si>
  <si>
    <t xml:space="preserve">Gen3/4: 128b/130b (use 8/10 for Gen1/2)</t>
  </si>
  <si>
    <t xml:space="preserve">C-144</t>
  </si>
  <si>
    <t xml:space="preserve">Max payload size</t>
  </si>
  <si>
    <t xml:space="preserve">C-145</t>
  </si>
  <si>
    <t xml:space="preserve">TLP + DLLP overhead per packet</t>
  </si>
  <si>
    <t xml:space="preserve">Input - typical 3DW/4DW header + framing estimate</t>
  </si>
  <si>
    <t xml:space="preserve">C-146</t>
  </si>
  <si>
    <t xml:space="preserve">Raw link bandwidth per direction</t>
  </si>
  <si>
    <t xml:space="preserve">GT/s x lanes x encoding / 8</t>
  </si>
  <si>
    <t xml:space="preserve">C-147</t>
  </si>
  <si>
    <t xml:space="preserve">Packet efficiency</t>
  </si>
  <si>
    <t xml:space="preserve">C-148</t>
  </si>
  <si>
    <t xml:space="preserve">Usable estimate per direction</t>
  </si>
  <si>
    <t xml:space="preserve">C-149</t>
  </si>
  <si>
    <t xml:space="preserve">C2H utilisation by the capture</t>
  </si>
  <si>
    <t xml:space="preserve">C-150</t>
  </si>
  <si>
    <t xml:space="preserve">H2C utilisation by the DAC feed</t>
  </si>
  <si>
    <t xml:space="preserve">9. Simulation model and DDS</t>
  </si>
  <si>
    <t xml:space="preserve">C-151</t>
  </si>
  <si>
    <t xml:space="preserve">Simulator SNR</t>
  </si>
  <si>
    <t xml:space="preserve">Input. AcqConfig.snrDb</t>
  </si>
  <si>
    <t xml:space="preserve">C-152</t>
  </si>
  <si>
    <t xml:space="preserve">Noise rms</t>
  </si>
  <si>
    <t xml:space="preserve">noiseRms = 0.5*10^(-SNR/20)</t>
  </si>
  <si>
    <t xml:space="preserve">SC GUI src/core/Sources.cpp : kNoiseRefRms</t>
  </si>
  <si>
    <t xml:space="preserve">C-153</t>
  </si>
  <si>
    <t xml:space="preserve">Simulated loopback gain</t>
  </si>
  <si>
    <t xml:space="preserve">kLoopbackGain = 0.5</t>
  </si>
  <si>
    <t xml:space="preserve">SC GUI src/core/Sources.cpp : kLoopbackGain</t>
  </si>
  <si>
    <t xml:space="preserve">C-154</t>
  </si>
  <si>
    <t xml:space="preserve">DDS phase increment (32-bit)</t>
  </si>
  <si>
    <t xml:space="preserve">LSB</t>
  </si>
  <si>
    <t xml:space="preserve">inc = floor(f*2^32/fs)</t>
  </si>
  <si>
    <t xml:space="preserve">SC GUI src/core/Sources.cpp : renderLoopback [DDS model]</t>
  </si>
  <si>
    <t xml:space="preserve">C-155</t>
  </si>
  <si>
    <t xml:space="preserve">DDS frequency actually produced</t>
  </si>
  <si>
    <t xml:space="preserve">f_act = inc*fs/2^32</t>
  </si>
  <si>
    <t xml:space="preserve">C-156</t>
  </si>
  <si>
    <t xml:space="preserve">DDS frequency error</t>
  </si>
  <si>
    <t xml:space="preserve">Calculation Tables</t>
  </si>
  <si>
    <t xml:space="preserve">Window coefficients (ENBW / coherent gain used by Calculations C-105/C-106) and the H2C chunk step-down ladder. Green cells link to Calculations; blue-on-yellow cells are editable.</t>
  </si>
  <si>
    <t xml:space="preserve">A. Windows (cosine-sum coefficients from Fft.h makeWindow) - ENBW and coherent gain, exact for large N</t>
  </si>
  <si>
    <t xml:space="preserve">a0</t>
  </si>
  <si>
    <t xml:space="preserve">a1</t>
  </si>
  <si>
    <t xml:space="preserve">a2</t>
  </si>
  <si>
    <t xml:space="preserve">ENBW (bins)</t>
  </si>
  <si>
    <t xml:space="preserve">ENBW (dB)</t>
  </si>
  <si>
    <t xml:space="preserve">Coherent gain</t>
  </si>
  <si>
    <t xml:space="preserve">a3</t>
  </si>
  <si>
    <t xml:space="preserve">a4</t>
  </si>
  <si>
    <t xml:space="preserve">Note</t>
  </si>
  <si>
    <t xml:space="preserve">Rectangular</t>
  </si>
  <si>
    <t xml:space="preserve">w = 1</t>
  </si>
  <si>
    <t xml:space="preserve">Hann</t>
  </si>
  <si>
    <t xml:space="preserve">0.5 - 0.5cos</t>
  </si>
  <si>
    <t xml:space="preserve">Hamming</t>
  </si>
  <si>
    <t xml:space="preserve">0.54 - 0.46cos</t>
  </si>
  <si>
    <t xml:space="preserve">Blackman</t>
  </si>
  <si>
    <t xml:space="preserve">default</t>
  </si>
  <si>
    <t xml:space="preserve">Flat-top</t>
  </si>
  <si>
    <t xml:space="preserve">amplitude-accurate</t>
  </si>
  <si>
    <t xml:space="preserve">ENBW = (a0^2 + (a1^2+a2^2+a3^2+a4^2)/2) / a0^2 ; CG = a0. Kaiser (beta 8.6) is not a cosine-sum window: windowEnbw() computes it numerically at run time.</t>
  </si>
  <si>
    <t xml:space="preserve">B. H2C chunk step-down ladder (BackendLauncher.h kH2cChunkLadder) - what each rung gives</t>
  </si>
  <si>
    <t xml:space="preserve">Rung</t>
  </si>
  <si>
    <t xml:space="preserve">Chunk (bytes)</t>
  </si>
  <si>
    <t xml:space="preserve">Chunk (KiB)</t>
  </si>
  <si>
    <t xml:space="preserve">Pages / transfer</t>
  </si>
  <si>
    <t xml:space="preserve">Tone resolution df (Hz)</t>
  </si>
  <si>
    <t xml:space="preserve">Play time (ms)</t>
  </si>
  <si>
    <t xml:space="preserve">Efficiency</t>
  </si>
  <si>
    <t xml:space="preserve">Delivered (MiB/s)</t>
  </si>
  <si>
    <t xml:space="preserve">Shaded = default rung (1 MiB, kH2cChunkDefault). 16 MiB (4096 pages) never completed on the bench; 16 KiB starves the DAC (~640 MiB/s, matching the bench). The launcher first reopens at the same size, then steps down.</t>
  </si>
  <si>
    <t xml:space="preserve">Per-transfer overhead and DAC demand come from Calculations (C-081, C-070).</t>
  </si>
  <si>
    <t xml:space="preserve">Math DSP - API reference</t>
  </si>
  <si>
    <t xml:space="preserve">238 entries. Source: iW-ASCEJ-01-SF-R1.0-REL1.0/iW-ASCEJ-01-SC-R1.0-REL1.0 and iW-ASCEJ-01-FF-R1.0-REL1.0 of release REL1.0 (1.2.5).</t>
  </si>
  <si>
    <t xml:space="preserve">Category</t>
  </si>
  <si>
    <t xml:space="preserve">API / symbol</t>
  </si>
  <si>
    <t xml:space="preserve">Signature / definition</t>
  </si>
  <si>
    <t xml:space="preserve">Purpose</t>
  </si>
  <si>
    <t xml:space="preserve">Inputs / parameters</t>
  </si>
  <si>
    <t xml:space="preserve">Outputs / returns</t>
  </si>
  <si>
    <t xml:space="preserve">Formula / algorithm</t>
  </si>
  <si>
    <t xml:space="preserve">Units</t>
  </si>
  <si>
    <t xml:space="preserve">Used by / callers</t>
  </si>
  <si>
    <t xml:space="preserve">Notes</t>
  </si>
  <si>
    <t xml:space="preserve">Pkg</t>
  </si>
  <si>
    <t xml:space="preserve">Source file (in package folder)</t>
  </si>
  <si>
    <t xml:space="preserve">Line</t>
  </si>
  <si>
    <t xml:space="preserve">MATH-001</t>
  </si>
  <si>
    <t xml:space="preserve">Math &amp; DSP (host GUI)</t>
  </si>
  <si>
    <t xml:space="preserve">sdr::kPeak14</t>
  </si>
  <si>
    <t xml:space="preserve">static constexpr double kPeak14 = 8191.0;</t>
  </si>
  <si>
    <t xml:space="preserve">Largest magnitude of a signed 14-bit DAC sample.</t>
  </si>
  <si>
    <t xml:space="preserve">8191</t>
  </si>
  <si>
    <t xml:space="preserve">2^13 − 1 = 8191</t>
  </si>
  <si>
    <t xml:space="preserve">LSB (14-bit)</t>
  </si>
  <si>
    <t xml:space="preserve">packDac</t>
  </si>
  <si>
    <t xml:space="preserve">After &lt;&lt;2 the int16 peak is 32764.</t>
  </si>
  <si>
    <t xml:space="preserve">01_sdr_workstation_GUI/src/core/IqGenerator.cpp</t>
  </si>
  <si>
    <t xml:space="preserve">MATH-002</t>
  </si>
  <si>
    <t xml:space="preserve">sdr::packDac</t>
  </si>
  <si>
    <t xml:space="preserve">static inline qint16 packDac(double v)</t>
  </si>
  <si>
    <t xml:space="preserve">Packs a normalised sample into the DAC wire word: quantise to int14 first, then MSB-align so bits[1:0] are always 00.</t>
  </si>
  <si>
    <t xml:space="preserve">v: normalised sample (±1 = full scale).</t>
  </si>
  <si>
    <t xml:space="preserve">qint16 DAC word.</t>
  </si>
  <si>
    <t xml:space="preserve">i14 = clamp(round(v·8191), −8191, +8191); word = i14 &lt;&lt; 2 (range ±32764)</t>
  </si>
  <si>
    <t xml:space="preserve">int16 code</t>
  </si>
  <si>
    <t xml:space="preserve">fillNoise, renderLoop, fillChunk</t>
  </si>
  <si>
    <t xml:space="preserve">Quantising before the shift guarantees bits[1:0] = 00 (fifo_sink_v9 contract).</t>
  </si>
  <si>
    <t xml:space="preserve">MATH-003</t>
  </si>
  <si>
    <t xml:space="preserve">sdr::sanitiseChunkBytes</t>
  </si>
  <si>
    <t xml:space="preserve">static int sanitiseChunkBytes(int bytes)</t>
  </si>
  <si>
    <t xml:space="preserve">Forces the H2C chunk to a multiple of 4 bytes within 1 KiB … 64 MiB.</t>
  </si>
  <si>
    <t xml:space="preserve">bytes.</t>
  </si>
  <si>
    <t xml:space="preserve">b = bytes − (bytes mod 4); b = clamp(b, 1024, 64·1024·1024)</t>
  </si>
  <si>
    <t xml:space="preserve">bytes</t>
  </si>
  <si>
    <t xml:space="preserve">loopPairsFor, IqGenerator::start</t>
  </si>
  <si>
    <t xml:space="preserve">MATH-004</t>
  </si>
  <si>
    <t xml:space="preserve">sdr::IqGenerator::loopPairsFor</t>
  </si>
  <si>
    <t xml:space="preserve">int IqGenerator::loopPairsFor(int chunkBytes)</t>
  </si>
  <si>
    <t xml:space="preserve">IQ pairs in one H2C chunk (the replay loop length).</t>
  </si>
  <si>
    <t xml:space="preserve">chunkBytes.</t>
  </si>
  <si>
    <t xml:space="preserve">pairs N.</t>
  </si>
  <si>
    <t xml:space="preserve">N = sanitiseChunkBytes(chunkBytes)/4 (one int16 I + int16 Q = 4 B)</t>
  </si>
  <si>
    <t xml:space="preserve">transmittedHz, ControlWindow3D::updateGenPreview</t>
  </si>
  <si>
    <t xml:space="preserve">1 MiB → 262144 pairs; 16 KiB → 4096.</t>
  </si>
  <si>
    <t xml:space="preserve">MATH-005</t>
  </si>
  <si>
    <t xml:space="preserve">sdr::IqGenerator::peakInt16</t>
  </si>
  <si>
    <t xml:space="preserve">static constexpr int peakInt16() { return 8191 &lt;&lt; 2; }</t>
  </si>
  <si>
    <t xml:space="preserve">Peak int16 value actually emitted to the DAC.</t>
  </si>
  <si>
    <t xml:space="preserve">32764</t>
  </si>
  <si>
    <t xml:space="preserve">8191 &lt;&lt; 2 = 32764</t>
  </si>
  <si>
    <t xml:space="preserve">UI full-scale display</t>
  </si>
  <si>
    <t xml:space="preserve">01_sdr_workstation_GUI/src/core/IqGenerator.h</t>
  </si>
  <si>
    <t xml:space="preserve">MATH-006</t>
  </si>
  <si>
    <t xml:space="preserve">DspEngine::processBlock [DDC frequency-axis compensation]</t>
  </si>
  <si>
    <t xml:space="preserve">frame.centerFreqHz  = m_cfg.acq.centerFreqHz() - m_cfg.acq.ncoFreqMHz * 1e6;</t>
  </si>
  <si>
    <t xml:space="preserve">Moves the frequency-axis origin to undo the +f_NCO translation applied by applyDdc, so plots, peak table and metrics report true frequency.</t>
  </si>
  <si>
    <t xml:space="preserve">acq.centerFreqGHz (GHz), acq.ncoFreqMHz (MHz).</t>
  </si>
  <si>
    <t xml:space="preserve">frame.centerFreqHz (Hz).</t>
  </si>
  <si>
    <t xml:space="preserve">f_axis_centre = f_centre − f_NCO;  f_RF = f_centre + (f_measured − f_NCO)</t>
  </si>
  <si>
    <t xml:space="preserve">computeMetrics (peakFreqHz), findPeaks, SpectrumPlot/WaterfallPlot X axes</t>
  </si>
  <si>
    <t xml:space="preserve">f_NCO in MHz ×1e6. Defaults: centre 0 GHz, NCO 0 MHz → baseband axis.</t>
  </si>
  <si>
    <t xml:space="preserve">01_sdr_workstation_GUI/src/core/DspEngine.cpp</t>
  </si>
  <si>
    <t xml:space="preserve">MATH-007</t>
  </si>
  <si>
    <t xml:space="preserve">DspEngine::applyDdc</t>
  </si>
  <si>
    <t xml:space="preserve">void DspEngine::applyDdc(IQBlock&amp; b, quint64 startSample) const</t>
  </si>
  <si>
    <t xml:space="preserve">Digital down-conversion: complex mix of the analysis block by the NCO, with phase derived from the absolute sample index so dropped blocks do not rotate frames.</t>
  </si>
  <si>
    <t xml:space="preserve">b: IQ samples (in place); startSample: absolute per-channel index; acq.ncoFreqMHz (MHz); displayRateHz Fs (Hz).</t>
  </si>
  <si>
    <t xml:space="preserve">b[n] multiplied by e^(+jφ[n]).</t>
  </si>
  <si>
    <t xml:space="preserve">Δφ = 2π·f_NCO/Fs; φ[0] = fmod(Δφ·startSample, 2π); y[n] = x[n]·(cos φ[n] + j·sin φ[n]); φ[n+1] = φ[n] + Δφ, wrapped to (−2π, 2π)</t>
  </si>
  <si>
    <t xml:space="preserve">rad</t>
  </si>
  <si>
    <t xml:space="preserve">DspEngine::processBlock (per selected channel)</t>
  </si>
  <si>
    <t xml:space="preserve">No-op when Fs ≤ 0 or |Δφ| &lt; 1e−12. Shifts the spectrum UP by f_NCO (compensated in frame.centerFreqHz). Phase in double, cos/sin cast to float.</t>
  </si>
  <si>
    <t xml:space="preserve">MATH-008</t>
  </si>
  <si>
    <t xml:space="preserve">sdr::ui::ControlWindow3D::refreshChain [NCO / RF]</t>
  </si>
  <si>
    <t xml:space="preserve">set(m_chNco, tr("DAC NCO %1 MHz → tone at RF %2 MHz · ADC NCO %3 MHz").arg(m_devDacNco, 0, 'f', 3).arg(m_devDacNco + txHz / 1e6, 0, 'f', 3)…</t>
  </si>
  <si>
    <t xml:space="preserve">Reports the RF frequency of the transmitted tone from the DAC NCO.</t>
  </si>
  <si>
    <t xml:space="preserve">m_devDacNco, m_devAdcNco (MHz), txHz = transmittedHz (Hz).</t>
  </si>
  <si>
    <t xml:space="preserve">label.</t>
  </si>
  <si>
    <t xml:space="preserve">f_RF[MHz] = f_DACNCO + f_tx/1e6</t>
  </si>
  <si>
    <t xml:space="preserve">refreshChain</t>
  </si>
  <si>
    <t xml:space="preserve">Shown only when both NCOs were read back.</t>
  </si>
  <si>
    <t xml:space="preserve">01_sdr_workstation_GUI/src/ui/ControlWindow3D.cpp</t>
  </si>
  <si>
    <t xml:space="preserve">MATH-009</t>
  </si>
  <si>
    <t xml:space="preserve">sdr::kMaxTimePoints</t>
  </si>
  <si>
    <t xml:space="preserve">constexpr int   kMaxTimePoints = 512;</t>
  </si>
  <si>
    <t xml:space="preserve">Number of contiguous samples handed to the time-domain plot; sets the scope timebase.</t>
  </si>
  <si>
    <t xml:space="preserve">512</t>
  </si>
  <si>
    <t xml:space="preserve">visible window = 512 / Fs (e.g. 2.56 µs at 200 MSPS)</t>
  </si>
  <si>
    <t xml:space="preserve">DspEngine::processBlock, time-domain metrics (RMS/PAPR/IQ imbalance)</t>
  </si>
  <si>
    <t xml:space="preserve">Contiguous (stride 1) after the trigger point — no decimation of the trace.</t>
  </si>
  <si>
    <t xml:space="preserve">MATH-010</t>
  </si>
  <si>
    <t xml:space="preserve">DspEngine::processBlock [time-axis span]</t>
  </si>
  <si>
    <t xml:space="preserve">frame.blockSpanSec = frame.displayRateHz &gt; 0.0 ? static_cast&lt;double&gt;(plotted) / frame.displayRateHz : 0.0;</t>
  </si>
  <si>
    <t xml:space="preserve">Duration represented by the plotted time slice.</t>
  </si>
  <si>
    <t xml:space="preserve">plotted samples (first channel's iq size, else analysisN), displayRateHz (Hz).</t>
  </si>
  <si>
    <t xml:space="preserve">frame.blockSpanSec (s).</t>
  </si>
  <si>
    <t xml:space="preserve">T = N_plotted / Fs</t>
  </si>
  <si>
    <t xml:space="preserve">TimeDomainPlot::setFrame (m_spanUs = T·1e6)</t>
  </si>
  <si>
    <t xml:space="preserve">0 if Fs ≤ 0.</t>
  </si>
  <si>
    <t xml:space="preserve">MATH-011</t>
  </si>
  <si>
    <t xml:space="preserve">sdr::DisplayConfig</t>
  </si>
  <si>
    <t xml:space="preserve">struct DisplayConfig {</t>
  </si>
  <si>
    <t xml:space="preserve">Display/analysis parameters that shape FFT, averaging, peak search, waterfall and persistence.</t>
  </si>
  <si>
    <t xml:space="preserve">Fields with defaults.</t>
  </si>
  <si>
    <t xml:space="preserve">Defaults: fftSize 2048, window BlackmanHarris, average Exponential, averageCount 8, averageAlpha 0.35, refreshFps 30, floorDb −130, ceilDb 10, peakSearch true, peakCount 5, peakThreshDb 10, peakExcursionPct 4.0, colorMap 0, waterfallRows 320, persistence true, persistDecay 0.90</t>
  </si>
  <si>
    <t xml:space="preserve">points, dB, dBFS, %, fps</t>
  </si>
  <si>
    <t xml:space="preserve">DspEngine, Plots, WaterfallPlot, ConstellationPlot</t>
  </si>
  <si>
    <t xml:space="preserve">peakThreshDb is relative to the measured noise floor; peakExcursionPct is min peak separation as % of span.</t>
  </si>
  <si>
    <t xml:space="preserve">01_sdr_workstation_GUI/src/core/Types.h</t>
  </si>
  <si>
    <t xml:space="preserve">MATH-012</t>
  </si>
  <si>
    <t xml:space="preserve">sdr::FrameResult</t>
  </si>
  <si>
    <t xml:space="preserve">struct FrameResult {</t>
  </si>
  <si>
    <t xml:space="preserve">One processed display frame carrying the axis parameters every plot derives its scale from.</t>
  </si>
  <si>
    <t xml:space="preserve">channels[], stats, displayRateHz (Hz), centerFreqHz (Hz, NCO-compensated), blockSpanSec (s), sequence</t>
  </si>
  <si>
    <t xml:space="preserve">Hz, s</t>
  </si>
  <si>
    <t xml:space="preserve">Plots::setFrame, MeasurementPanel, MainWindow::renderPending</t>
  </si>
  <si>
    <t xml:space="preserve">MATH-013</t>
  </si>
  <si>
    <t xml:space="preserve">sdr::ui::ColorMap::rgb</t>
  </si>
  <si>
    <t xml:space="preserve">inline QRgb rgb(float t) const</t>
  </si>
  <si>
    <t xml:space="preserve">Maps a normalised value to a colour via the 256-entry LUT.</t>
  </si>
  <si>
    <t xml:space="preserve">t (clamped to [0, 1]).</t>
  </si>
  <si>
    <t xml:space="preserve">QRgb.</t>
  </si>
  <si>
    <t xml:space="preserve">index = ⌊clamp(t, 0, 1)·255⌋; colour = LUT[index]</t>
  </si>
  <si>
    <t xml:space="preserve">RGB</t>
  </si>
  <si>
    <t xml:space="preserve">WaterfallPlot::setFrame, ConstellationPlot::setFrame, colour bar</t>
  </si>
  <si>
    <t xml:space="preserve">01_sdr_workstation_GUI/src/ui/ColorMap.h</t>
  </si>
  <si>
    <t xml:space="preserve">MATH-014</t>
  </si>
  <si>
    <t xml:space="preserve">sdr::ui::ColorMap::build [Jet]</t>
  </si>
  <si>
    <t xml:space="preserve">r = std::clamp(1.5f - std::abs(4.0f * t - 3.0f), 0.0f, 1.0f);</t>
  </si>
  <si>
    <t xml:space="preserve">Jet colour map LUT.</t>
  </si>
  <si>
    <t xml:space="preserve">t = i/255, i = 0..255.</t>
  </si>
  <si>
    <t xml:space="preserve">LUT[i].</t>
  </si>
  <si>
    <t xml:space="preserve">r = clamp(1.5 − |4t − 3|), g = clamp(1.5 − |4t − 2|), b = clamp(1.5 − |4t − 1|), each to [0, 1]; channel byte = ⌊c·255⌋</t>
  </si>
  <si>
    <t xml:space="preserve">ColorMap::build (preset 0, default)</t>
  </si>
  <si>
    <t xml:space="preserve">MATH-015</t>
  </si>
  <si>
    <t xml:space="preserve">sdr::ui::ColorMap::build [Viridis]</t>
  </si>
  <si>
    <t xml:space="preserve">r = std::clamp(0.28f + 0.10f * t + 0.75f * t * t * t, 0.0f, 1.0f);</t>
  </si>
  <si>
    <t xml:space="preserve">Polynomial Viridis-like colour map LUT.</t>
  </si>
  <si>
    <t xml:space="preserve">t = i/255.</t>
  </si>
  <si>
    <t xml:space="preserve">r = 0.28 + 0.10t + 0.75t³; g = 0.90t; b = 0.33 + 0.85t − 1.05t²; each clamped to [0, 1]</t>
  </si>
  <si>
    <t xml:space="preserve">ColorMap::build (preset 1)</t>
  </si>
  <si>
    <t xml:space="preserve">An approximation, not the matplotlib Viridis table.</t>
  </si>
  <si>
    <t xml:space="preserve">MATH-016</t>
  </si>
  <si>
    <t xml:space="preserve">sdr::ui::ColorMap::build [Inferno]</t>
  </si>
  <si>
    <t xml:space="preserve">r = std::clamp(1.35f * t + 0.05f, 0.0f, 1.0f);</t>
  </si>
  <si>
    <t xml:space="preserve">Polynomial Inferno-like colour map LUT.</t>
  </si>
  <si>
    <t xml:space="preserve">r = 1.35t + 0.05; g = 1.25t²; b = 0.55·sin(3.14159t) + 0.85t⁴; each clamped to [0, 1]</t>
  </si>
  <si>
    <t xml:space="preserve">ColorMap::build (preset 2)</t>
  </si>
  <si>
    <t xml:space="preserve">An approximation, not the matplotlib Inferno table.</t>
  </si>
  <si>
    <t xml:space="preserve">MATH-017</t>
  </si>
  <si>
    <t xml:space="preserve">sdr::ui::ColorMap::build [Grayscale]</t>
  </si>
  <si>
    <t xml:space="preserve">r = g = b = t;</t>
  </si>
  <si>
    <t xml:space="preserve">Grayscale LUT.</t>
  </si>
  <si>
    <t xml:space="preserve">r = g = b = t</t>
  </si>
  <si>
    <t xml:space="preserve">ColorMap::build (preset 3)</t>
  </si>
  <si>
    <t xml:space="preserve">MATH-018</t>
  </si>
  <si>
    <t xml:space="preserve">sdr::ui::kTableUpdateMs</t>
  </si>
  <si>
    <t xml:space="preserve">constexpr int kTableUpdateMs = 120;   // measurement tables need not run at 30 fps</t>
  </si>
  <si>
    <t xml:space="preserve">Minimum interval between measurement-table / loopback-peak updates.</t>
  </si>
  <si>
    <t xml:space="preserve">120</t>
  </si>
  <si>
    <t xml:space="preserve">≈ 8.3 updates/s</t>
  </si>
  <si>
    <t xml:space="preserve">MainWindow::renderPending → MeasurementPanel, ControlWindow3D::setReceivedPeak</t>
  </si>
  <si>
    <t xml:space="preserve">01_sdr_workstation_GUI/src/ui/MainWindow.cpp</t>
  </si>
  <si>
    <t xml:space="preserve">MATH-019</t>
  </si>
  <si>
    <t xml:space="preserve">sdr::ui::kMinSpan</t>
  </si>
  <si>
    <t xml:space="preserve">constexpr double kMinSpan = 1e-12;</t>
  </si>
  <si>
    <t xml:space="preserve">Smallest axis span treated as valid in mapping and view sync.</t>
  </si>
  <si>
    <t xml:space="preserve">1e−12</t>
  </si>
  <si>
    <t xml:space="preserve">axis units</t>
  </si>
  <si>
    <t xml:space="preserve">syncView, setViewX, xToPixel, yToPixel</t>
  </si>
  <si>
    <t xml:space="preserve">Degenerate spans are widened to 1.0 in syncView.</t>
  </si>
  <si>
    <t xml:space="preserve">01_sdr_workstation_GUI/src/ui/PlotBase.cpp</t>
  </si>
  <si>
    <t xml:space="preserve">MATH-020</t>
  </si>
  <si>
    <t xml:space="preserve">sdr::ui::PlotBase::xToPixel</t>
  </si>
  <si>
    <t xml:space="preserve">double PlotBase::xToPixel(double v, const QRect&amp; r) const</t>
  </si>
  <si>
    <t xml:space="preserve">Linear data-to-pixel mapping on X.</t>
  </si>
  <si>
    <t xml:space="preserve">v (data units), r (plot rect).</t>
  </si>
  <si>
    <t xml:space="preserve">pixel x.</t>
  </si>
  <si>
    <t xml:space="preserve">px = r.left + (v − x0)/(x1 − x0)·r.width (0 offset if span ≤ 1e−12)</t>
  </si>
  <si>
    <t xml:space="preserve">px</t>
  </si>
  <si>
    <t xml:space="preserve">all plot drawing, markers, overlays</t>
  </si>
  <si>
    <t xml:space="preserve">MATH-021</t>
  </si>
  <si>
    <t xml:space="preserve">sdr::ui::PlotBase::yToPixel</t>
  </si>
  <si>
    <t xml:space="preserve">double PlotBase::yToPixel(double v, const QRect&amp; r) const</t>
  </si>
  <si>
    <t xml:space="preserve">Linear data-to-pixel mapping on Y, optionally inverted.</t>
  </si>
  <si>
    <t xml:space="preserve">v, r.</t>
  </si>
  <si>
    <t xml:space="preserve">pixel y.</t>
  </si>
  <si>
    <t xml:space="preserve">f = (v − y0)/(y1 − y0); py = yInverted ? r.top + f·r.height : r.bottom − f·r.height</t>
  </si>
  <si>
    <t xml:space="preserve">all plot drawing</t>
  </si>
  <si>
    <t xml:space="preserve">Waterfall uses yInverted = true.</t>
  </si>
  <si>
    <t xml:space="preserve">MATH-022</t>
  </si>
  <si>
    <t xml:space="preserve">sdr::ui::PlotBase::pixelToX</t>
  </si>
  <si>
    <t xml:space="preserve">double PlotBase::pixelToX(double px, const QRect&amp; r) const</t>
  </si>
  <si>
    <t xml:space="preserve">Inverse X mapping for cursor, markers and zoom anchors.</t>
  </si>
  <si>
    <t xml:space="preserve">px, r.</t>
  </si>
  <si>
    <t xml:space="preserve">data x.</t>
  </si>
  <si>
    <t xml:space="preserve">x = x0 + (px − r.left)/r.width·(x1 − x0)</t>
  </si>
  <si>
    <t xml:space="preserve">data units</t>
  </si>
  <si>
    <t xml:space="preserve">wheelEvent, markers, crosshair, box zoom</t>
  </si>
  <si>
    <t xml:space="preserve">Returns x0 if width ≤ 0.</t>
  </si>
  <si>
    <t xml:space="preserve">MATH-023</t>
  </si>
  <si>
    <t xml:space="preserve">sdr::ui::PlotBase::pixelToY</t>
  </si>
  <si>
    <t xml:space="preserve">double PlotBase::pixelToY(double py, const QRect&amp; r) const</t>
  </si>
  <si>
    <t xml:space="preserve">Inverse Y mapping.</t>
  </si>
  <si>
    <t xml:space="preserve">py, r.</t>
  </si>
  <si>
    <t xml:space="preserve">data y.</t>
  </si>
  <si>
    <t xml:space="preserve">f = yInverted ? (py − r.top)/h : (r.bottom − py)/h; y = y0 + f·(y1 − y0)</t>
  </si>
  <si>
    <t xml:space="preserve">wheelEvent, crosshair, box zoom</t>
  </si>
  <si>
    <t xml:space="preserve">Returns y0 if height ≤ 0.</t>
  </si>
  <si>
    <t xml:space="preserve">MATH-024</t>
  </si>
  <si>
    <t xml:space="preserve">sdr::ui::PlotBase::niceTicks</t>
  </si>
  <si>
    <t xml:space="preserve">QVector&lt;double&gt; PlotBase::niceTicks(double lo, double hi, int target)</t>
  </si>
  <si>
    <t xml:space="preserve">Generates 1-2-5 style 'nice' tick positions for an axis range.</t>
  </si>
  <si>
    <t xml:space="preserve">lo, hi, target tick count (X 8, Y 6).</t>
  </si>
  <si>
    <t xml:space="preserve">tick values.</t>
  </si>
  <si>
    <t xml:space="preserve">raw = (hi − lo)/target; mag = 10^⌊log10 raw⌋; norm = raw/mag; step = mag·(1 if norm &lt; 1.5, 2 if &lt; 3, 5 if &lt; 7, else 10); ticks from ⌈lo/step⌉·step to hi + 1e−6·step</t>
  </si>
  <si>
    <t xml:space="preserve">drawGrid, drawAxes</t>
  </si>
  <si>
    <t xml:space="preserve">Values with |v| &lt; 1e−9·step snapped to 0. At most 65 ticks. Empty if hi ≤ lo or target &lt; 2.</t>
  </si>
  <si>
    <t xml:space="preserve">MATH-025</t>
  </si>
  <si>
    <t xml:space="preserve">sdr::ui::PlotBase::formatX</t>
  </si>
  <si>
    <t xml:space="preserve">QString PlotBase::formatX(double v) const</t>
  </si>
  <si>
    <t xml:space="preserve">Axis label precision chosen from the visible span (formatY uses the same rule on Y).</t>
  </si>
  <si>
    <t xml:space="preserve">v; view span.</t>
  </si>
  <si>
    <t xml:space="preserve">text.</t>
  </si>
  <si>
    <t xml:space="preserve">decimals = 0 if span ≥ 100; 1 if ≥ 10; 2 if ≥ 1; else 3</t>
  </si>
  <si>
    <t xml:space="preserve">drawAxes, crosshair, marker readout</t>
  </si>
  <si>
    <t xml:space="preserve">Overridden by SpectrumPlot/WaterfallPlot to print MHz.</t>
  </si>
  <si>
    <t xml:space="preserve">MATH-026</t>
  </si>
  <si>
    <t xml:space="preserve">sdr::ui::PlotBase::zoomAxis</t>
  </si>
  <si>
    <t xml:space="preserve">void PlotBase::zoomAxis(double&amp; lo, double&amp; hi, double anchor, double factor)</t>
  </si>
  <si>
    <t xml:space="preserve">Zooms one axis about an anchor value, keeping the value under the pointer fixed.</t>
  </si>
  <si>
    <t xml:space="preserve">lo, hi, anchor, factor.</t>
  </si>
  <si>
    <t xml:space="preserve">lo, hi updated.</t>
  </si>
  <si>
    <t xml:space="preserve">span' = clamp((hi − lo)·factor, 1e−9, 1e15); frac = (anchor − lo)/(hi − lo); lo' = anchor − frac·span'; hi' = lo' + span'</t>
  </si>
  <si>
    <t xml:space="preserve">wheelEvent (0.80 in / 1.25 out), zoomAtCentre, context menu</t>
  </si>
  <si>
    <t xml:space="preserve">kMinUsableSpan = 1e−9, kMaxUsableSpan = 1e15; no snap-back to data extent. Ignored if current span is non-finite or ≤ 0.</t>
  </si>
  <si>
    <t xml:space="preserve">MATH-027</t>
  </si>
  <si>
    <t xml:space="preserve">sdr::ui::PlotBase::wheelEvent</t>
  </si>
  <si>
    <t xml:space="preserve">void PlotBase::wheelEvent(QWheelEvent* e)</t>
  </si>
  <si>
    <t xml:space="preserve">Mouse-wheel zoom anchored at the cursor.</t>
  </si>
  <si>
    <t xml:space="preserve">wheel delta, modifiers, cursor position.</t>
  </si>
  <si>
    <t xml:space="preserve">view range.</t>
  </si>
  <si>
    <t xml:space="preserve">factor = 0.80 if delta &gt; 0 else 1.25; X zoom unless Ctrl-only; Y zoom with Ctrl or Shift (if supported)</t>
  </si>
  <si>
    <t xml:space="preserve">user interaction</t>
  </si>
  <si>
    <t xml:space="preserve">Each notch scales span by 0.8 / 1.25 (inverse pair).</t>
  </si>
  <si>
    <t xml:space="preserve">MATH-028</t>
  </si>
  <si>
    <t xml:space="preserve">sdr::ui::PlotBase::mouseMoveEvent [pan]</t>
  </si>
  <si>
    <t xml:space="preserve">const double dx = dxPix / r.width()  * (m_panX1 - m_panX0);</t>
  </si>
  <si>
    <t xml:space="preserve">Drag-to-pan converts pixel displacement into axis displacement.</t>
  </si>
  <si>
    <t xml:space="preserve">drag Δpx, Δpy, saved view.</t>
  </si>
  <si>
    <t xml:space="preserve">dx = Δpx/width·(x1 − x0); dy = Δpy/height·(y1 − y0); x' = x − dx; y' = y + dy</t>
  </si>
  <si>
    <t xml:space="preserve">MATH-029</t>
  </si>
  <si>
    <t xml:space="preserve">sdr::ui::PlotBase::emitReadout</t>
  </si>
  <si>
    <t xml:space="preserve">void PlotBase::emitReadout()</t>
  </si>
  <si>
    <t xml:space="preserve">Marker readout including the delta between the last two markers.</t>
  </si>
  <si>
    <t xml:space="preserve">markers (≤ 4), traceValueAt.</t>
  </si>
  <si>
    <t xml:space="preserve">readout text.</t>
  </si>
  <si>
    <t xml:space="preserve">Δx = x_b − x_a; Δy = y(x_b) − y(x_a) for the last two markers</t>
  </si>
  <si>
    <t xml:space="preserve">axis units (Hz/dB on spectrum, µs on time plot)</t>
  </si>
  <si>
    <t xml:space="preserve">MainWindow status/readout</t>
  </si>
  <si>
    <t xml:space="preserve">Oldest marker dropped beyond 4 (Ctrl-click or context menu).</t>
  </si>
  <si>
    <t xml:space="preserve">MATH-030</t>
  </si>
  <si>
    <t xml:space="preserve">sdr::ui::TimeDomainPlot::setFrame</t>
  </si>
  <si>
    <t xml:space="preserve">void TimeDomainPlot::setFrame(const sdr::FrameResult&amp; f)</t>
  </si>
  <si>
    <t xml:space="preserve">Loads I/Q traces, sets the time axis and applies a slow AGC to the Y scale.</t>
  </si>
  <si>
    <t xml:space="preserve">f.channels[].iq, f.blockSpanSec.</t>
  </si>
  <si>
    <t xml:space="preserve">m_spanUs (µs), m_yMax.</t>
  </si>
  <si>
    <t xml:space="preserve">spanUs = blockSpanSec·1e6; peak = max(0.1, max|I|, max|Q|); yMax ← 0.85·yMax + 0.15·(1.25·peak)</t>
  </si>
  <si>
    <t xml:space="preserve">µs, amplitude</t>
  </si>
  <si>
    <t xml:space="preserve">MainWindow::renderPending</t>
  </si>
  <si>
    <t xml:space="preserve">Y axis = ±yMax; X axis = 0 … spanUs.</t>
  </si>
  <si>
    <t xml:space="preserve">01_sdr_workstation_GUI/src/ui/Plots.cpp</t>
  </si>
  <si>
    <t xml:space="preserve">MATH-031</t>
  </si>
  <si>
    <t xml:space="preserve">sdr::ui::TimeDomainPlot::traceValueAt</t>
  </si>
  <si>
    <t xml:space="preserve">bool TimeDomainPlot::traceValueAt(double x, double&amp; yOut) const</t>
  </si>
  <si>
    <t xml:space="preserve">Marker value lookup on the time plot (I component of first trace).</t>
  </si>
  <si>
    <t xml:space="preserve">x (µs).</t>
  </si>
  <si>
    <t xml:space="preserve">yOut (I amplitude).</t>
  </si>
  <si>
    <t xml:space="preserve">idx = ⌊clamp(x/spanUs, 0, 1)·(n − 1)⌋; y = Re(iq[idx])</t>
  </si>
  <si>
    <t xml:space="preserve">amplitude</t>
  </si>
  <si>
    <t xml:space="preserve">emitReadout, marker crosshair</t>
  </si>
  <si>
    <t xml:space="preserve">No interpolation.</t>
  </si>
  <si>
    <t xml:space="preserve">MATH-032</t>
  </si>
  <si>
    <t xml:space="preserve">sdr::ui::TimeDomainPlot::drawContent</t>
  </si>
  <si>
    <t xml:space="preserve">void TimeDomainPlot::drawContent(QPainter&amp; p, const QRect&amp; r)</t>
  </si>
  <si>
    <t xml:space="preserve">Renders I/Q traces, switching to a per-pixel-column min/max envelope when dense.</t>
  </si>
  <si>
    <t xml:space="preserve">traces, view, rect.</t>
  </si>
  <si>
    <t xml:space="preserve">painted traces.</t>
  </si>
  <si>
    <t xml:space="preserve">step = spanUs/(n − 1); envelope if visible &gt; 2·width; col = ⌊(t_n − x0)·w/(x1 − x0)⌋; per column draw [min, max] (bridged to previous column)</t>
  </si>
  <si>
    <t xml:space="preserve">PlotBase::paintEvent</t>
  </si>
  <si>
    <t xml:space="preserve">Envelope preserves extremes and is O(width).</t>
  </si>
  <si>
    <t xml:space="preserve">MATH-033</t>
  </si>
  <si>
    <t xml:space="preserve">sdr::ui::SpectrumPlot::formatX</t>
  </si>
  <si>
    <t xml:space="preserve">QString SpectrumPlot::formatX(double v) const</t>
  </si>
  <si>
    <t xml:space="preserve">Spectrum axis labels in MHz with span-dependent precision.</t>
  </si>
  <si>
    <t xml:space="preserve">v (Hz).</t>
  </si>
  <si>
    <t xml:space="preserve">text (MHz).</t>
  </si>
  <si>
    <t xml:space="preserve">label = v/1e6 with decimals 1 if span ≥ 100 MHz, 2 if ≥ 10, 3 if ≥ 1, else 4</t>
  </si>
  <si>
    <t xml:space="preserve">drawAxes, readouts</t>
  </si>
  <si>
    <t xml:space="preserve">WaterfallPlot::formatX is identical.</t>
  </si>
  <si>
    <t xml:space="preserve">MATH-034</t>
  </si>
  <si>
    <t xml:space="preserve">sdr::ui::SpectrumPlot::traceValueAt</t>
  </si>
  <si>
    <t xml:space="preserve">bool SpectrumPlot::traceValueAt(double x, double&amp; yOut) const</t>
  </si>
  <si>
    <t xml:space="preserve">Marker level lookup on the spectrum.</t>
  </si>
  <si>
    <t xml:space="preserve">x (Hz).</t>
  </si>
  <si>
    <t xml:space="preserve">yOut (dBFS).</t>
  </si>
  <si>
    <t xml:space="preserve">frac = (x − fMin)/(fMax − fMin); idx = ⌊frac·(n − 1)⌋; y = S[idx]</t>
  </si>
  <si>
    <t xml:space="preserve">False outside [0, 1]. Consistent with the (n − 1) bin spacing used in drawContent.</t>
  </si>
  <si>
    <t xml:space="preserve">MATH-035</t>
  </si>
  <si>
    <t xml:space="preserve">sdr::ui::SpectrumPlot::drawContent</t>
  </si>
  <si>
    <t xml:space="preserve">void SpectrumPlot::drawContent(QPainter&amp; p, const QRect&amp; r)</t>
  </si>
  <si>
    <t xml:space="preserve">Draws spectrum traces (max-per-pixel decimation), OBW band, peak markers, noise-floor line and metric box.</t>
  </si>
  <si>
    <t xml:space="preserve">traces, metrics, view.</t>
  </si>
  <si>
    <t xml:space="preserve">painted plot.</t>
  </si>
  <si>
    <t xml:space="preserve">binHz_plot = (fMax − fMin)/(n − 1); visible bins i0 = bin(x0 − binHz), i1 = bin(x1 + binHz); perPx = max(1, (i1 − i0 + 1)/width); vertex = max S over each group at f = fMin + (i + end)/2·binHz_plot</t>
  </si>
  <si>
    <t xml:space="preserve">Plot places bin k at fMin + k·Fs/(n − 1) whereas DspEngine assigns centre + (k − N/2)·Fs/N; positions differ by up to ≈ half a bin (DC bin drawn at f_c + Fs/(2(n − 1))). Info box shows Peak, Floor, SNR, OBW.</t>
  </si>
  <si>
    <t xml:space="preserve">MATH-036</t>
  </si>
  <si>
    <t xml:space="preserve">sdr::ui::SpectrumPlot::drawContent [OBW overlay]</t>
  </si>
  <si>
    <t xml:space="preserve">const double lo = m_centerHz - m.occupiedBwHz / 2.0;</t>
  </si>
  <si>
    <t xml:space="preserve">Shades the occupied bandwidth on the spectrum.</t>
  </si>
  <si>
    <t xml:space="preserve">metrics.occupiedBwHz, m_centerHz.</t>
  </si>
  <si>
    <t xml:space="preserve">shaded band.</t>
  </si>
  <si>
    <t xml:space="preserve">band = [f_c − OBW/2, f_c + OBW/2]</t>
  </si>
  <si>
    <t xml:space="preserve">SpectrumPlot::drawContent</t>
  </si>
  <si>
    <t xml:space="preserve">Centred on the frame centre, not on the measured lo/hi bins, so an off-centre signal's band is drawn displaced.</t>
  </si>
  <si>
    <t xml:space="preserve">MATH-037</t>
  </si>
  <si>
    <t xml:space="preserve">sdr::ui::WaterfallPlot::setDisplayConfig</t>
  </si>
  <si>
    <t xml:space="preserve">void WaterfallPlot::setDisplayConfig(const sdr::DisplayConfig&amp; cfg)</t>
  </si>
  <si>
    <t xml:space="preserve">Sets the waterfall colour range 20 dB inside the spectrum range and the history depth.</t>
  </si>
  <si>
    <t xml:space="preserve">cfg.floorDb, ceilDb, waterfallRows, colorMap.</t>
  </si>
  <si>
    <t xml:space="preserve">m_floorDb, m_ceilDb, m_rows.</t>
  </si>
  <si>
    <t xml:space="preserve">floor_wf = floorDb + 20; ceil_wf = ceilDb − 20; rows = max(32, waterfallRows)</t>
  </si>
  <si>
    <t xml:space="preserve">dBFS, rows</t>
  </si>
  <si>
    <t xml:space="preserve">MainWindow config</t>
  </si>
  <si>
    <t xml:space="preserve">Defaults give −110 … −10 dBFS and 320 rows.</t>
  </si>
  <si>
    <t xml:space="preserve">MATH-038</t>
  </si>
  <si>
    <t xml:space="preserve">sdr::ui::WaterfallPlot::setFrame</t>
  </si>
  <si>
    <t xml:space="preserve">void WaterfallPlot::setFrame(const sdr::FrameResult&amp; f)</t>
  </si>
  <si>
    <t xml:space="preserve">Writes one waterfall row: column-wise peak of spectrum bins mapped through the colour map, into a ring buffer.</t>
  </si>
  <si>
    <t xml:space="preserve">active channel spectrum (N bins).</t>
  </si>
  <si>
    <t xml:space="preserve">one image row; ring head.</t>
  </si>
  <si>
    <t xml:space="preserve">cols = min(N, 2048); head = (head + rows − 1) mod rows; binsPerCol = N/cols; per column peak = max S[b] for b ∈ [⌊c·bpc⌋, min(N, ⌊(c+1)·bpc⌋ + 1)); t = (peak − floor_wf)/(ceil_wf − floor_wf); colour = rgb(t)</t>
  </si>
  <si>
    <t xml:space="preserve">dBFS → colour</t>
  </si>
  <si>
    <t xml:space="preserve">Range defaults to 1 if ceil ≤ floor; peak initial −200 dBFS. drawRing stitches the ring with two blits (topH = h·(rows − head)/rows).</t>
  </si>
  <si>
    <t xml:space="preserve">MATH-039</t>
  </si>
  <si>
    <t xml:space="preserve">sdr::ui::WaterfallPlot::drawContent</t>
  </si>
  <si>
    <t xml:space="preserve">void WaterfallPlot::drawContent(QPainter&amp; p, const QRect&amp; r)</t>
  </si>
  <si>
    <t xml:space="preserve">Maps the current frequency zoom onto image columns so the waterfall zooms with the spectrum.</t>
  </si>
  <si>
    <t xml:space="preserve">view x0, x1; data fMin, fMax; image width.</t>
  </si>
  <si>
    <t xml:space="preserve">source rect of history image.</t>
  </si>
  <si>
    <t xml:space="preserve">u0 = clamp((x0 − fMin)/span, 0, 1); u1 = clamp((x1 − fMin)/span, 0, 1); sx0 = u0·W; sx1 = max(sx0 + 1, u1·W)</t>
  </si>
  <si>
    <t xml:space="preserve">image px</t>
  </si>
  <si>
    <t xml:space="preserve">MATH-040</t>
  </si>
  <si>
    <t xml:space="preserve">sdr::ui::WaterfallPlot::drawColorBar</t>
  </si>
  <si>
    <t xml:space="preserve">void WaterfallPlot::drawColorBar(QPainter&amp; p, const QRect&amp; r) const</t>
  </si>
  <si>
    <t xml:space="preserve">Colour bar with dB labels.</t>
  </si>
  <si>
    <t xml:space="preserve">m_floorDb, m_ceilDb, colour map.</t>
  </si>
  <si>
    <t xml:space="preserve">painted bar.</t>
  </si>
  <si>
    <t xml:space="preserve">gradient stops at i/16 (i = 0..16); labels v_i = floor_wf + (ceil_wf − floor_wf)·i/4, i = 0..4</t>
  </si>
  <si>
    <t xml:space="preserve">WaterfallPlot::drawContent</t>
  </si>
  <si>
    <t xml:space="preserve">MATH-041</t>
  </si>
  <si>
    <t xml:space="preserve">sdr::ui::ConstellationPlot::setFrame</t>
  </si>
  <si>
    <t xml:space="preserve">void ConstellationPlot::setFrame(const sdr::FrameResult&amp; f)</t>
  </si>
  <si>
    <t xml:space="preserve">Accumulates constellation points into a decaying density grid and renders it through the colour map.</t>
  </si>
  <si>
    <t xml:space="preserve">symbols, disp.persistence, persistDecay.</t>
  </si>
  <si>
    <t xml:space="preserve">m_density, m_image.</t>
  </si>
  <si>
    <t xml:space="preserve">decay = persistence ? clamp(persistDecay, 0, 0.995) : 0; D ← D·decay; gx = int(128 + I/1.6·128), gy = int(128 − Q/1.6·128); 3×3 splat: centre +1.0, neighbours +0.35; t = √(D/max(1, max D)); colour = t &lt; 0.02 ? black : rgb(t)</t>
  </si>
  <si>
    <t xml:space="preserve">density → colour</t>
  </si>
  <si>
    <t xml:space="preserve">Points with gx or gy outside [1, 254] are dropped (|I| or |Q| ≳ 1.59). Channel change clears the grid.</t>
  </si>
  <si>
    <t xml:space="preserve">MATH-042</t>
  </si>
  <si>
    <t xml:space="preserve">sdr::ui::ConstellationPlot::drawContent</t>
  </si>
  <si>
    <t xml:space="preserve">void ConstellationPlot::drawContent(QPainter&amp; p, const QRect&amp; r)</t>
  </si>
  <si>
    <t xml:space="preserve">Draws the zoomed sub-region of the density image, axes, unit circle and EVM/RMS/phase/DC box.</t>
  </si>
  <si>
    <t xml:space="preserve">view, m_image, metrics.</t>
  </si>
  <si>
    <t xml:space="preserve">u = (x + 1.6)/3.2, v = (1.6 − y)/3.2 for the view corners; src = [u0·256, v0·256, max(1, (u1 − u0)·256), max(1, (v1 − v0)·256)]; unit circle radius = px(1) − px(0)</t>
  </si>
  <si>
    <t xml:space="preserve">contentRect keeps the plot square (side = min(w, h)). EVM shown ×100 %.</t>
  </si>
  <si>
    <t xml:space="preserve">MATH-043</t>
  </si>
  <si>
    <t xml:space="preserve">sdr::ui::SpectrumPlot::dataXMin</t>
  </si>
  <si>
    <t xml:space="preserve">double dataXMin() const override { return m_centerHz - m_spanHz / 2.0; }</t>
  </si>
  <si>
    <t xml:space="preserve">Spectrum X-axis extent (dataXMax = centre + span/2).</t>
  </si>
  <si>
    <t xml:space="preserve">m_centerHz (frame.centerFreqHz), m_spanHz (frame.displayRateHz).</t>
  </si>
  <si>
    <t xml:space="preserve">Hz.</t>
  </si>
  <si>
    <t xml:space="preserve">x ∈ [f_c − Fs/2, f_c + Fs/2]; Y ∈ [disp.floorDb, disp.ceilDb]</t>
  </si>
  <si>
    <t xml:space="preserve">Hz, dBFS</t>
  </si>
  <si>
    <t xml:space="preserve">PlotBase view sync, SpectrumPlot drawing</t>
  </si>
  <si>
    <t xml:space="preserve">WaterfallPlot uses the same X extent.</t>
  </si>
  <si>
    <t xml:space="preserve">01_sdr_workstation_GUI/src/ui/Plots.h</t>
  </si>
  <si>
    <t xml:space="preserve">MATH-044</t>
  </si>
  <si>
    <t xml:space="preserve">sdr::ui::ConstellationPlot::kGrid</t>
  </si>
  <si>
    <t xml:space="preserve">static constexpr int kGrid = 256;</t>
  </si>
  <si>
    <t xml:space="preserve">Resolution of the constellation density image.</t>
  </si>
  <si>
    <t xml:space="preserve">256</t>
  </si>
  <si>
    <t xml:space="preserve">cells per side</t>
  </si>
  <si>
    <t xml:space="preserve">ConstellationPlot::setFrame/drawContent</t>
  </si>
  <si>
    <t xml:space="preserve">MATH-045</t>
  </si>
  <si>
    <t xml:space="preserve">sdr::ui::ConstellationPlot::m_axisMax</t>
  </si>
  <si>
    <t xml:space="preserve">float    m_axisMax  = 1.6f;</t>
  </si>
  <si>
    <t xml:space="preserve">Half-range of the constellation I/Q axes.</t>
  </si>
  <si>
    <t xml:space="preserve">1.6</t>
  </si>
  <si>
    <t xml:space="preserve">axes span ±1.6 (unit-RMS constellation)</t>
  </si>
  <si>
    <t xml:space="preserve">normalised amplitude</t>
  </si>
  <si>
    <t xml:space="preserve">ConstellationPlot::setFrame/drawContent, dataXMin/Max</t>
  </si>
  <si>
    <t xml:space="preserve">MATH-046</t>
  </si>
  <si>
    <t xml:space="preserve">DspEngine::computeSpectrum</t>
  </si>
  <si>
    <t xml:space="preserve">void DspEngine::computeSpectrum(const IQBlock&amp; in, ChannelState&amp; st, ChannelFrame&amp; out)</t>
  </si>
  <si>
    <t xml:space="preserve">Windowed FFT power spectrum in dBFS (CPU or GPU offload), fftshifted, followed by the selected averaging mode.</t>
  </si>
  <si>
    <t xml:space="preserve">in: first N DDC'd samples; st: per-channel averaging state; disp.fftSize N, disp.average, averageAlpha, averageCount.</t>
  </si>
  <si>
    <t xml:space="preserve">out.spectrum: N floats, dBFS, DC-centred.</t>
  </si>
  <si>
    <t xml:space="preserve">scale = 1/(G²·0.25), G = Σw; P[k] = |FFT(x·w)[k]|²; S[k] = 10·log10(max(P[k]·scale, 1e−20)); fftShift; then averaging</t>
  </si>
  <si>
    <t xml:space="preserve">DspEngine::processBlock → computeMetrics, SpectrumPlot, WaterfallPlot</t>
  </si>
  <si>
    <t xml:space="preserve">Derived from the scale: a real sinusoid of peak A gives |X| ≈ A·G/2 → 20·log10(A) dBFS (0 dBFS at A = 1); a complex exponential of magnitude A gives |X| = A·G → 20·log10(A) + 6.02 dBFS. GPU path (GpuFft::powerSpectrum) returns only |X|²; dBFS, shift and averaging are shared code. AverageMode::None: avg = S. Returns if in.size() &lt; N or window size ≠ N.</t>
  </si>
  <si>
    <t xml:space="preserve">MATH-047</t>
  </si>
  <si>
    <t xml:space="preserve">sdr::dsp::kPi</t>
  </si>
  <si>
    <t xml:space="preserve">constexpr double kPi = 3.14159265358979323846;</t>
  </si>
  <si>
    <t xml:space="preserve">Double-precision pi used by the FFT twiddles, windows, DDC phase and constellation maths.</t>
  </si>
  <si>
    <t xml:space="preserve">3.14159265358979323846</t>
  </si>
  <si>
    <t xml:space="preserve">π = 3.14159265358979323846</t>
  </si>
  <si>
    <t xml:space="preserve">fftInPlace, makeWindow, DspEngine::applyDdc, computeConstellation, computeMetrics, SimulatedSource::produce</t>
  </si>
  <si>
    <t xml:space="preserve">Waveform.h defines its own sdr::wave::kTwoPi; GpuMathRef.h uses M_PI.</t>
  </si>
  <si>
    <t xml:space="preserve">01_sdr_workstation_GUI/src/core/Fft.h</t>
  </si>
  <si>
    <t xml:space="preserve">MATH-048</t>
  </si>
  <si>
    <t xml:space="preserve">sdr::dsp::fftInPlace</t>
  </si>
  <si>
    <t xml:space="preserve">inline void fftInPlace(std::vector&lt;cf32&gt;&amp; a)</t>
  </si>
  <si>
    <t xml:space="preserve">In-place iterative radix-2 decimation-in-time complex FFT used by the CPU spectrum path.</t>
  </si>
  <si>
    <t xml:space="preserve">a: std::vector&lt;complex&lt;float&gt;&gt; of length N (power of two; N &lt; 2 returns unchanged).</t>
  </si>
  <si>
    <t xml:space="preserve">a overwritten with X[k], k = 0..N−1 (bin 0 = DC, not shifted, not normalised).</t>
  </si>
  <si>
    <t xml:space="preserve">X[k] = Σ_{n=0}^{N−1} x[n]·e^(−j2πkn/N). Bit-reversal permutation, then log2(N) stages: for len = 2,4,…,N, w_len = e^(−j2π/len); butterfly u = a[i+k], v = a[i+k+len/2]·w; a[i+k] = u+v, a[i+k+len/2] = u−v; w ← w·w_len.</t>
  </si>
  <si>
    <t xml:space="preserve">linear complex (unnormalised)</t>
  </si>
  <si>
    <t xml:space="preserve">DspEngine::computeSpectrum (CPU path)</t>
  </si>
  <si>
    <t xml:space="preserve">No power-of-two check (caller passes disp.fftSize). Twiddle advanced by repeated float multiplication (w *= wLen), so rounding grows with stage length. No 1/N scaling: level calibration is done afterwards with the window coherent gain.</t>
  </si>
  <si>
    <t xml:space="preserve">MATH-049</t>
  </si>
  <si>
    <t xml:space="preserve">sdr::dsp::fftShift</t>
  </si>
  <si>
    <t xml:space="preserve">template &lt;typename T&gt; inline void fftShift(std::vector&lt;T&gt;&amp; v)</t>
  </si>
  <si>
    <t xml:space="preserve">Rotates the FFT output so DC moves from index 0 to the centre (−Fs/2 … +Fs/2 ordering).</t>
  </si>
  <si>
    <t xml:space="preserve">v: vector of length N.</t>
  </si>
  <si>
    <t xml:space="preserve">v rotated in place.</t>
  </si>
  <si>
    <t xml:space="preserve">out[i] = in[(i + ⌊N/2⌋) mod N]; DC lands at index N/2.</t>
  </si>
  <si>
    <t xml:space="preserve">std::rotate by N/2; no-op for N &lt; 2. For even N bin N/2 is DC and bin 0 is −Fs/2.</t>
  </si>
  <si>
    <t xml:space="preserve">MATH-050</t>
  </si>
  <si>
    <t xml:space="preserve">sdr::GpuFft::setWindow</t>
  </si>
  <si>
    <t xml:space="preserve">bool GpuFft::setWindow(const float* w, std::size_t n, QString* err)</t>
  </si>
  <si>
    <t xml:space="preserve">Allocates device buffers / cuFFT plan for size n and uploads the window only when it changed.</t>
  </si>
  <si>
    <t xml:space="preserve">w (window), n.</t>
  </si>
  <si>
    <t xml:space="preserve">true on success.</t>
  </si>
  <si>
    <t xml:space="preserve">valid iff n ≥ 2 and (n &amp; (n − 1)) = 0 (power of two)</t>
  </si>
  <si>
    <t xml:space="preserve">DspEngine::computeSpectrum (every frame)</t>
  </si>
  <si>
    <t xml:space="preserve">Reallocates and re-plans (cufftPlan1d C2C) only when n changes.</t>
  </si>
  <si>
    <t xml:space="preserve">01_sdr_workstation_GUI/src/core/GpuFft.cpp</t>
  </si>
  <si>
    <t xml:space="preserve">MATH-051</t>
  </si>
  <si>
    <t xml:space="preserve">sdr::GpuFft::powerSpectrum</t>
  </si>
  <si>
    <t xml:space="preserve">bool GpuFft::powerSpectrum(const std::complex&lt;float&gt;* in, std::size_t n, float* powerOut, QString* err)</t>
  </si>
  <si>
    <t xml:space="preserve">GPU window + forward FFT + |X|²; returns the power vector to the CPU.</t>
  </si>
  <si>
    <t xml:space="preserve">in (n complex samples), n.</t>
  </si>
  <si>
    <t xml:space="preserve">powerOut[k] = |X[k]|²; m_lastMs.</t>
  </si>
  <si>
    <t xml:space="preserve">P[k] = |Σ x[n]·w[n]·e^(−j2πkn/N)|² (cufftExecC2C CUFFT_FORWARD, unnormalised)</t>
  </si>
  <si>
    <t xml:space="preserve">linear power</t>
  </si>
  <si>
    <t xml:space="preserve">Staged through pinned host memory. m_lastMs = elapsed ns / 1e6.</t>
  </si>
  <si>
    <t xml:space="preserve">MATH-052</t>
  </si>
  <si>
    <t xml:space="preserve">sdr::GpuIqPipeline::setFftSize</t>
  </si>
  <si>
    <t xml:space="preserve">bool GpuIqPipeline::setFftSize(int n, QString* err)</t>
  </si>
  <si>
    <t xml:space="preserve">Configures the GPUDirect spectrum: buffers, cuFFT plan, device Hann window and host-computed coherent gain.</t>
  </si>
  <si>
    <t xml:space="preserve">n.</t>
  </si>
  <si>
    <t xml:space="preserve">d-&gt;cg, m_fftSize.</t>
  </si>
  <si>
    <t xml:space="preserve">valid iff n ≥ 64 and power of two; cg = coherentGain(hann(n)) = Σw/N</t>
  </si>
  <si>
    <t xml:space="preserve">GpuIqPipeline::open</t>
  </si>
  <si>
    <t xml:space="preserve">Impl::cg defaults to 0.5 until computed.</t>
  </si>
  <si>
    <t xml:space="preserve">01_sdr_workstation_GUI/src/core/GpuIqPipeline.cpp</t>
  </si>
  <si>
    <t xml:space="preserve">MATH-053</t>
  </si>
  <si>
    <t xml:space="preserve">sdr::GpuIqPipeline::nextSpectrum</t>
  </si>
  <si>
    <t xml:space="preserve">bool GpuIqPipeline::nextSpectrum(quint64 writeCount, QVector&lt;float&gt;* out, QString* err)</t>
  </si>
  <si>
    <t xml:space="preserve">Computes a dBFS spectrum from the newest slot of the GPUDirect ring, counting skipped frames.</t>
  </si>
  <si>
    <t xml:space="preserve">writeCount (ring producer count).</t>
  </si>
  <si>
    <t xml:space="preserve">out (dBFS, shifted); stats.</t>
  </si>
  <si>
    <t xml:space="preserve">skipped = (writeCount − lastCount) − 1; slot = (writeCount − 1) mod numSlots; src = ipcBase + slot·slotStride; then convert/window → FFT → 20·log10(|X|/(N·cg))</t>
  </si>
  <si>
    <t xml:space="preserve">GPUDirect display path</t>
  </si>
  <si>
    <t xml:space="preserve">No-op if writeCount is 0 or unchanged. Only the N-float spectrum crosses PCIe. lastFftMs = ns/1e6.</t>
  </si>
  <si>
    <t xml:space="preserve">MATH-054</t>
  </si>
  <si>
    <t xml:space="preserve">kFullScale14</t>
  </si>
  <si>
    <t xml:space="preserve">__device__ __constant__ float kFullScale14 = 32764.0f;</t>
  </si>
  <si>
    <t xml:space="preserve">Device-side copy of the int16 full scale; must equal sdr::gpumath::kFullScale14.</t>
  </si>
  <si>
    <t xml:space="preserve">8191 &lt;&lt; 2</t>
  </si>
  <si>
    <t xml:space="preserve">k_convert_window</t>
  </si>
  <si>
    <t xml:space="preserve">01_sdr_workstation_GUI/src/core/GpuKernels.cu</t>
  </si>
  <si>
    <t xml:space="preserve">MATH-055</t>
  </si>
  <si>
    <t xml:space="preserve">k_hann</t>
  </si>
  <si>
    <t xml:space="preserve">__global__ void k_hann(float* __restrict__ w, int n)</t>
  </si>
  <si>
    <t xml:space="preserve">CUDA kernel generating the Hann window on the device.</t>
  </si>
  <si>
    <t xml:space="preserve">w (device), n.</t>
  </si>
  <si>
    <t xml:space="preserve">w[i].</t>
  </si>
  <si>
    <t xml:space="preserve">w[i] = 0.5 − 0.5·cos(2πi/(N−1)); N = 1 → 1</t>
  </si>
  <si>
    <t xml:space="preserve">dimensionless</t>
  </si>
  <si>
    <t xml:space="preserve">sdr_gpu_hann ← GpuIqPipeline::setFftSize</t>
  </si>
  <si>
    <t xml:space="preserve">Uses __cosf (fast intrinsic) — may differ from the host reference in the last bits. Launch: 256 threads/block, ⌈n/256⌉ blocks.</t>
  </si>
  <si>
    <t xml:space="preserve">MATH-056</t>
  </si>
  <si>
    <t xml:space="preserve">__global__ void k_convert_window(const short* __restrict__ iq, const float* __restrict__ w, cufftComplex* __restrict__ out, int n)</t>
  </si>
  <si>
    <t xml:space="preserve">Converts int16 I/Q from the GPUDirect ring (VRAM) to windowed normalised cufftComplex.</t>
  </si>
  <si>
    <t xml:space="preserve">iq (device ring slot), w, n.</t>
  </si>
  <si>
    <t xml:space="preserve">out[i].</t>
  </si>
  <si>
    <t xml:space="preserve">out[i] = (iq[2i]/32764·w[i]) + j·(iq[2i+1]/32764·w[i])</t>
  </si>
  <si>
    <t xml:space="preserve">normalised</t>
  </si>
  <si>
    <t xml:space="preserve">sdr_gpu_convert_window ← GpuIqPipeline::nextSpectrum</t>
  </si>
  <si>
    <t xml:space="preserve">Launch: 256 threads/block, ⌈n/256⌉ blocks.</t>
  </si>
  <si>
    <t xml:space="preserve">MATH-057</t>
  </si>
  <si>
    <t xml:space="preserve">k_mag_db_shift</t>
  </si>
  <si>
    <t xml:space="preserve">__global__ void k_mag_db_shift(const cufftComplex* __restrict__ in, float* __restrict__ db, int n, float cg)</t>
  </si>
  <si>
    <t xml:space="preserve">|X| → dBFS with FFT-length and coherent-gain normalisation, fused with fftshift.</t>
  </si>
  <si>
    <t xml:space="preserve">in (FFT output), n, cg.</t>
  </si>
  <si>
    <t xml:space="preserve">db[i] (dBFS, DC-centred).</t>
  </si>
  <si>
    <t xml:space="preserve">src = i &lt; N/2 ? i + N/2 : i − N/2; db[i] = 20·log10(max(|X[src]|/(N·cg), 1e−10))</t>
  </si>
  <si>
    <t xml:space="preserve">sdr_gpu_mag_db_shift ← GpuIqPipeline::nextSpectrum</t>
  </si>
  <si>
    <t xml:space="preserve">Uses __log10f (fast intrinsic). Launch: 256 threads/block.</t>
  </si>
  <si>
    <t xml:space="preserve">MATH-058</t>
  </si>
  <si>
    <t xml:space="preserve">k_window_cf32</t>
  </si>
  <si>
    <t xml:space="preserve">__global__ void k_window_cf32(const cufftComplex* __restrict__ in, const float* __restrict__ w, cufftComplex* __restrict__ out, int n)</t>
  </si>
  <si>
    <t xml:space="preserve">Window multiply for DspEngine's GPU offload path.</t>
  </si>
  <si>
    <t xml:space="preserve">in (complex float), w, n.</t>
  </si>
  <si>
    <t xml:space="preserve">out[i] = in[i]·w[i]</t>
  </si>
  <si>
    <t xml:space="preserve">linear</t>
  </si>
  <si>
    <t xml:space="preserve">sdr_gpu_window_cf32 ← GpuFft::powerSpectrum</t>
  </si>
  <si>
    <t xml:space="preserve">Launch: 256 threads/block.</t>
  </si>
  <si>
    <t xml:space="preserve">MATH-059</t>
  </si>
  <si>
    <t xml:space="preserve">k_power</t>
  </si>
  <si>
    <t xml:space="preserve">__global__ void k_power(const cufftComplex* __restrict__ in, float* __restrict__ p, int n)</t>
  </si>
  <si>
    <t xml:space="preserve">Bin power |X|² for DspEngine's GPU offload path (matches the CPU expression).</t>
  </si>
  <si>
    <t xml:space="preserve">in (FFT output), n.</t>
  </si>
  <si>
    <t xml:space="preserve">p[i].</t>
  </si>
  <si>
    <t xml:space="preserve">p[i] = re² + im²</t>
  </si>
  <si>
    <t xml:space="preserve">sdr_gpu_power ← GpuFft::powerSpectrum → DspEngine::computeSpectrum (toDbfs)</t>
  </si>
  <si>
    <t xml:space="preserve">dBFS scaling, fftshift and averaging stay on the CPU so CPU/GPU readings match. Launch: 256 threads/block.</t>
  </si>
  <si>
    <t xml:space="preserve">MATH-060</t>
  </si>
  <si>
    <t xml:space="preserve">sdr::gpumath::kFullScale14</t>
  </si>
  <si>
    <t xml:space="preserve">constexpr float kFullScale14 = 32764.0f;</t>
  </si>
  <si>
    <t xml:space="preserve">Full scale of the RFSoC int16 wire word (14-bit sample MSB-aligned) for the GPUDirect spectrum path.</t>
  </si>
  <si>
    <t xml:space="preserve">convertAndWindow, k_convert_window (device copy)</t>
  </si>
  <si>
    <t xml:space="preserve">The code comment says 32767 would read 0.08 dB low; the actual difference 20·log10(32767/32764) is ≈ 0.0008 dB. codec::readScalar (Cs16) divides by 32768 instead.</t>
  </si>
  <si>
    <t xml:space="preserve">01_sdr_workstation_GUI/src/core/GpuMathRef.h</t>
  </si>
  <si>
    <t xml:space="preserve">MATH-061</t>
  </si>
  <si>
    <t xml:space="preserve">sdr::gpumath::hann</t>
  </si>
  <si>
    <t xml:space="preserve">inline void hann(std::vector&lt;float&gt;&amp; w, int n)</t>
  </si>
  <si>
    <t xml:space="preserve">Host reference of the Hann window used by the GPUDirect spectrum pipeline.</t>
  </si>
  <si>
    <t xml:space="preserve">n: length.</t>
  </si>
  <si>
    <t xml:space="preserve">w[0..n−1].</t>
  </si>
  <si>
    <t xml:space="preserve">w[i] = 0.5 − 0.5·cos(2πi/(N−1)); N = 1 → w = 1</t>
  </si>
  <si>
    <t xml:space="preserve">GpuIqPipeline::setFftSize (coherent gain), unit tests; mirrored by k_hann</t>
  </si>
  <si>
    <t xml:space="preserve">The (N−1) denominator is the symmetric form (numpy.hanning), although the comment calls it periodic. Float arithmetic.</t>
  </si>
  <si>
    <t xml:space="preserve">MATH-062</t>
  </si>
  <si>
    <t xml:space="preserve">sdr::gpumath::coherentGain</t>
  </si>
  <si>
    <t xml:space="preserve">inline float coherentGain(const std::vector&lt;float&gt;&amp; w)</t>
  </si>
  <si>
    <t xml:space="preserve">Coherent gain of a window as the mean coefficient.</t>
  </si>
  <si>
    <t xml:space="preserve">w.</t>
  </si>
  <si>
    <t xml:space="preserve">cg (dimensionless).</t>
  </si>
  <si>
    <t xml:space="preserve">cg = Σw[n] / N (1.0 if empty)</t>
  </si>
  <si>
    <t xml:space="preserve">GpuIqPipeline::setFftSize → k_mag_db_shift</t>
  </si>
  <si>
    <t xml:space="preserve">Differs in definition from dsp::windowSum (sum, not mean); ≈ 0.4998 for Hann at N = 2048.</t>
  </si>
  <si>
    <t xml:space="preserve">MATH-063</t>
  </si>
  <si>
    <t xml:space="preserve">sdr::gpumath::convertAndWindow</t>
  </si>
  <si>
    <t xml:space="preserve">inline void convertAndWindow(const int16_t* iq, int n, const std::vector&lt;float&gt;&amp; w, std::vector&lt;float&gt;&amp; reOut, std::vector&lt;float&gt;&amp; imOut)</t>
  </si>
  <si>
    <t xml:space="preserve">Host reference: int16 interleaved I/Q → normalised, windowed complex float.</t>
  </si>
  <si>
    <t xml:space="preserve">iq (2n int16), n, w.</t>
  </si>
  <si>
    <t xml:space="preserve">reOut, imOut.</t>
  </si>
  <si>
    <t xml:space="preserve">re[i] = (iq[2i]/32764)·w[i]; im[i] = (iq[2i+1]/32764)·w[i]</t>
  </si>
  <si>
    <t xml:space="preserve">unit tests; mirrored by k_convert_window</t>
  </si>
  <si>
    <t xml:space="preserve">MATH-064</t>
  </si>
  <si>
    <t xml:space="preserve">sdr::gpumath::binToDbfs</t>
  </si>
  <si>
    <t xml:space="preserve">inline float binToDbfs(float re, float im, int n, float cg)</t>
  </si>
  <si>
    <t xml:space="preserve">Host reference: FFT bin → dBFS with FFT length and coherent gain divided out.</t>
  </si>
  <si>
    <t xml:space="preserve">re, im (FFT bin), n, cg.</t>
  </si>
  <si>
    <t xml:space="preserve">dBFS.</t>
  </si>
  <si>
    <t xml:space="preserve">dB = 20·log10(max(√(re² + im²)/(N·cg), 1e−10))</t>
  </si>
  <si>
    <t xml:space="preserve">unit tests; mirrored by k_mag_db_shift</t>
  </si>
  <si>
    <t xml:space="preserve">1e−10 floor ⇒ −200 dBFS. A complex tone of magnitude 1 reads 0 dBFS here, whereas DspEngine::computeSpectrum's scale reads such a tone at +6.02 dBFS (it calibrates a real sinusoid to 0 dBFS).</t>
  </si>
  <si>
    <t xml:space="preserve">MATH-065</t>
  </si>
  <si>
    <t xml:space="preserve">sdr::gpumath::fftshift</t>
  </si>
  <si>
    <t xml:space="preserve">inline void fftshift(std::vector&lt;float&gt;&amp; v)</t>
  </si>
  <si>
    <t xml:space="preserve">Host reference fftshift (bin 0 to centre).</t>
  </si>
  <si>
    <t xml:space="preserve">v (length N).</t>
  </si>
  <si>
    <t xml:space="preserve">v shifted.</t>
  </si>
  <si>
    <t xml:space="preserve">out = [v[N/2 … N−1], v[0 … N/2−1]]</t>
  </si>
  <si>
    <t xml:space="preserve">unit tests; mirrored inside k_mag_db_shift</t>
  </si>
  <si>
    <t xml:space="preserve">Matches cp.fft.fftshift for even N.</t>
  </si>
  <si>
    <t xml:space="preserve">MATH-066</t>
  </si>
  <si>
    <t xml:space="preserve">sdr::ui::ControlWindow3D::onRfdcSnapshot</t>
  </si>
  <si>
    <t xml:space="preserve">void ControlWindow3D::onRfdcSnapshot(const QVariantMap&amp; v)</t>
  </si>
  <si>
    <t xml:space="preserve">Converts the firmware readback snapshot to engineering units and caches the device rates/NCOs used by the chain view.</t>
  </si>
  <si>
    <t xml:space="preserve">readback map (integer fixed-point fields).</t>
  </si>
  <si>
    <t xml:space="preserve">widget values; m_devDacStream, m_devAdcStream (MSPS), m_devDacNco, m_devAdcNco (MHz), m_devAdcQmc.</t>
  </si>
  <si>
    <t xml:space="preserve">nco_khz (signed)/1000 → MHz; dds_hz/1e6 → MHz; dsa_db10/10 → dB; vop_ua/1000 → mA; qmc_10000/10000; stream_khz/1000 → MHz; axis nibble i = (axis &gt;&gt; 4i) &amp; 0xF</t>
  </si>
  <si>
    <t xml:space="preserve">MHz, dB, mA, MSPS</t>
  </si>
  <si>
    <t xml:space="preserve">refreshChain, rxTrueHz, expectedRxHz, IQ generator rate (follows dac_stream_khz)</t>
  </si>
  <si>
    <t xml:space="preserve">QMC gain &lt; 0.05 is flagged as muting the capture.</t>
  </si>
  <si>
    <t xml:space="preserve">MATH-067</t>
  </si>
  <si>
    <t xml:space="preserve">sdr::ui::ControlWindow3D::onRfdcSnapshot [decimation processing-gain advisory]</t>
  </si>
  <si>
    <t xml:space="preserve">if (has("decimation")) {</t>
  </si>
  <si>
    <t xml:space="preserve">Warns when running below the boot decimation, quantifying the lost processing gain.</t>
  </si>
  <si>
    <t xml:space="preserve">readback decimation D, PCIE_DEF_DECIMATION (24).</t>
  </si>
  <si>
    <t xml:space="preserve">advisory text.</t>
  </si>
  <si>
    <t xml:space="preserve">gain_dB = 10·log10(D_boot); ENOB loss = 10·log10(D_boot)/6.02 (D_boot = 24 → 13.8 dB, 2.3 bits)</t>
  </si>
  <si>
    <t xml:space="preserve">dB, bits</t>
  </si>
  <si>
    <t xml:space="preserve">RFDC tab log</t>
  </si>
  <si>
    <t xml:space="preserve">Triggered only when D ≤ 1 and the boot decimation &gt; 1.</t>
  </si>
  <si>
    <t xml:space="preserve">MATH-068</t>
  </si>
  <si>
    <t xml:space="preserve">sdr::ui::ControlWindow3D::rxTrueHz</t>
  </si>
  <si>
    <t xml:space="preserve">double ControlWindow3D::rxTrueHz(double displayedHz) const</t>
  </si>
  <si>
    <t xml:space="preserve">Rescales a displayed frequency to the true frequency when the display assumes a different rate than the device ADC stream.</t>
  </si>
  <si>
    <t xml:space="preserve">displayedHz (Hz); m_devAdcStream (MSPS, readback); m_rxRate (Hz, from setReceivedPeak).</t>
  </si>
  <si>
    <t xml:space="preserve">f_true = f_disp·(f_ADCstream·1e6)/rxRate (if both &gt; 0, else f_disp)</t>
  </si>
  <si>
    <t xml:space="preserve">setReceivedPeak (loop-check samples), refreshChain received-tone check</t>
  </si>
  <si>
    <t xml:space="preserve">MainWindow passes rxRate = acq.sampleRateHz() and baseband = peakFreqHz − centerFreqHz. Example from code: 15 MHz read at 250 MSPS for a 200 MSPS stream shows as 18.75 MHz.</t>
  </si>
  <si>
    <t xml:space="preserve">MATH-069</t>
  </si>
  <si>
    <t xml:space="preserve">sdr::ui::ControlWindow3D::expectedRxHz</t>
  </si>
  <si>
    <t xml:space="preserve">double ControlWindow3D::expectedRxHz(double txHz) const</t>
  </si>
  <si>
    <t xml:space="preserve">Baseband frequency magnitude the ADC should see for a transmitted baseband tone, through the DAC and ADC NCOs.</t>
  </si>
  <si>
    <t xml:space="preserve">txHz (Hz); m_devDacNco, m_devAdcNco (MHz).</t>
  </si>
  <si>
    <t xml:space="preserve">Hz (magnitude).</t>
  </si>
  <si>
    <t xml:space="preserve">f_RF = f_DACNCO + f_tx; f_exp = |f_tx + (f_DACNCO − f_ADCNCO)·1e6| (|f_tx| if NCOs unknown)</t>
  </si>
  <si>
    <t xml:space="preserve">refreshChain (isHost / isDds), finishLoopCheck (DDS identification)</t>
  </si>
  <si>
    <t xml:space="preserve">Magnitude compared because Nyquist zone may invert the spectrum.</t>
  </si>
  <si>
    <t xml:space="preserve">MATH-070</t>
  </si>
  <si>
    <t xml:space="preserve">sdr::ui::ControlWindow3D::setReceivedPeak</t>
  </si>
  <si>
    <t xml:space="preserve">void ControlWindow3D::setReceivedPeak(double basebandHz, double dbfs, bool toneValid, double inputRateHz, double binHz)</t>
  </si>
  <si>
    <t xml:space="preserve">Receives the measured peak from the receiver and collects corrected samples during loop-check measurement steps.</t>
  </si>
  <si>
    <t xml:space="preserve">basebandHz, dbfs, toneValid, inputRateHz, binHz.</t>
  </si>
  <si>
    <t xml:space="preserve">m_rxHz, m_rxDb, m_rxRate, m_rxBin; m_lcSamples.</t>
  </si>
  <si>
    <t xml:space="preserve">during loop-check steps 2/4 with toneValid: samples ← rxTrueHz(basebandHz)</t>
  </si>
  <si>
    <t xml:space="preserve">MainWindow::renderPending (every kTableUpdateMs; binHz = displayRateHz/fftSize)</t>
  </si>
  <si>
    <t xml:space="preserve">MATH-071</t>
  </si>
  <si>
    <t xml:space="preserve">sdr::ui::ControlWindow3D::refreshChain</t>
  </si>
  <si>
    <t xml:space="preserve">void ControlWindow3D::refreshChain()</t>
  </si>
  <si>
    <t xml:space="preserve">Live transmit-chain view: DAC source, DAC/ADC rates, NCO/RF, H2C link, helper, C2H capture and received-tone identification.</t>
  </si>
  <si>
    <t xml:space="preserve">genConfig, device cache, link/capture/receive measurements.</t>
  </si>
  <si>
    <t xml:space="preserve">status labels.</t>
  </si>
  <si>
    <t xml:space="preserve">rate match: |fs_gen/1e6 − f_DACstream| &lt; 1e−3 MSPS; display match: |rxRate/1e6 − f_ADCstream| &lt; 1e−3; QMC zero: 0 ≤ g &lt; 0.05 (see block rows for RF, link, capture and received-tone maths)</t>
  </si>
  <si>
    <t xml:space="preserve">MSPS, MHz, MiB/s</t>
  </si>
  <si>
    <t xml:space="preserve">called on every relevant state change</t>
  </si>
  <si>
    <t xml:space="preserve">MATH-072</t>
  </si>
  <si>
    <t xml:space="preserve">sdr::ui::ControlWindow3D::refreshChain [received-tone identification]</t>
  </si>
  <si>
    <t xml:space="preserve">const double tol = std::max(2.5 * m_rxBin * k, 50e3);</t>
  </si>
  <si>
    <t xml:space="preserve">Decides whether the received tone is the generator's, the DDS's, or neither.</t>
  </si>
  <si>
    <t xml:space="preserve">m_rxHz, m_rxBin, m_rxRate, device ADC stream, txHz, DDS (MHz).</t>
  </si>
  <si>
    <t xml:space="preserve">label + colour.</t>
  </si>
  <si>
    <t xml:space="preserve">k = f_ADCstream·1e6/rxRate (1 if unknown); f_rx = rxTrueHz(m_rxHz); tol = max(2.5·binHz·k, 50 kHz); isHost = ||f_rx| − expectedRxHz(f_tx)| &lt; tol; isDds = ||f_rx| − expectedRxHz(f_DDS)| &lt; tol; inverted = sign(f_rx) ≠ sign(f_tx)</t>
  </si>
  <si>
    <t xml:space="preserve">Receive data considered stale after 2000 ms.</t>
  </si>
  <si>
    <t xml:space="preserve">MATH-073</t>
  </si>
  <si>
    <t xml:space="preserve">sdr::ui::ControlWindow3D::loopCheckTick</t>
  </si>
  <si>
    <t xml:space="preserve">void ControlWindow3D::loopCheckTick()</t>
  </si>
  <si>
    <t xml:space="preserve">State machine of the loopback verification: settle, measure tone A, step the generator, settle, measure tone B.</t>
  </si>
  <si>
    <t xml:space="preserve">generator state, collected samples.</t>
  </si>
  <si>
    <t xml:space="preserve">m_lcTxA/B, m_lcPa/Pb; generator tone change.</t>
  </si>
  <si>
    <t xml:space="preserve">P = median(samples) = sorted[⌊n/2⌋]; half = 0.4·min(fs_gen, rxRate); step = 7.3 MHz, negated if |f_A + step| &gt; half; step ×1.6 if ||f_A + step| − f_DDS| &lt; 1 MHz</t>
  </si>
  <si>
    <t xml:space="preserve">m_lcTimer</t>
  </si>
  <si>
    <t xml:space="preserve">MATH-074</t>
  </si>
  <si>
    <t xml:space="preserve">sdr::ui::ControlWindow3D::loopCheckTick::kSettleMs, kMeasureMs, kStartMs</t>
  </si>
  <si>
    <t xml:space="preserve">constexpr int kSettleMs = 1500, kMeasureMs = 1200, kStartMs = 8000;</t>
  </si>
  <si>
    <t xml:space="preserve">Loop-check timing: settle after a tone change, measurement window, and generator start timeout.</t>
  </si>
  <si>
    <t xml:space="preserve">1500, 1200, 8000</t>
  </si>
  <si>
    <t xml:space="preserve">loopCheckTick</t>
  </si>
  <si>
    <t xml:space="preserve">MATH-075</t>
  </si>
  <si>
    <t xml:space="preserve">sdr::ui::ControlWindow3D::finishLoopCheck</t>
  </si>
  <si>
    <t xml:space="preserve">void ControlWindow3D::finishLoopCheck()</t>
  </si>
  <si>
    <t xml:space="preserve">Verdict of the loopback check: does the received tone move by the same amount as the transmitted one?</t>
  </si>
  <si>
    <t xml:space="preserve">m_lcTxA/B (Hz), m_lcPa/Pb (Hz), m_rxBin, device ADC stream, m_rxRate.</t>
  </si>
  <si>
    <t xml:space="preserve">verdict text + colour.</t>
  </si>
  <si>
    <t xml:space="preserve">ΔTx = f_TxB − f_TxA; ΔRx = P_B − P_A; k = f_ADCstream·1e6/rxRate; tol = max(3·binHz·k, 0.01·|ΔTx|); verified if ||ΔRx| − |ΔTx|| ≤ tol (inverted if ΔRx·ΔTx &lt; 0); not moved if |ΔRx| &lt; tol; else rate mismatch</t>
  </si>
  <si>
    <t xml:space="preserve">loopCheckTick (step 4)</t>
  </si>
  <si>
    <t xml:space="preserve">Fails if fewer than 3 B-samples or P_A = 0. When not moved, checks |P_A| against expectedRxHz(f_DDS) within tol to identify the DDS.</t>
  </si>
  <si>
    <t xml:space="preserve">MATH-076</t>
  </si>
  <si>
    <t xml:space="preserve">sdr::kMaxSymbols</t>
  </si>
  <si>
    <t xml:space="preserve">constexpr int   kMaxSymbols    = 3000;   // points handed to the constellation</t>
  </si>
  <si>
    <t xml:space="preserve">Upper bound on constellation points gathered per frame.</t>
  </si>
  <si>
    <t xml:space="preserve">3000</t>
  </si>
  <si>
    <t xml:space="preserve">points</t>
  </si>
  <si>
    <t xml:space="preserve">DspEngine::computeConstellation</t>
  </si>
  <si>
    <t xml:space="preserve">MATH-077</t>
  </si>
  <si>
    <t xml:space="preserve">DspEngine::idealLevels</t>
  </si>
  <si>
    <t xml:space="preserve">std::vector&lt;float&gt; DspEngine::idealLevels(Modulation m)</t>
  </si>
  <si>
    <t xml:space="preserve">Per-axis ideal slicer levels for unit-average-power QPSK / 16-QAM / 64-QAM constellations.</t>
  </si>
  <si>
    <t xml:space="preserve">m: Modulation (acq.modulation).</t>
  </si>
  <si>
    <t xml:space="preserve">Vector of per-axis levels.</t>
  </si>
  <si>
    <t xml:space="preserve">QPSK: ±0.70711; 16-QAM: k/3.16228 (√10), k ∈ {−3,−1,1,3}; 64-QAM: k/6.48074 (√42), k ∈ {−7,−5,…,7}</t>
  </si>
  <si>
    <t xml:space="preserve">computeMetrics (EVM slicer)</t>
  </si>
  <si>
    <t xml:space="preserve">Default branch (incl. NoiseOnly) returns the 16-QAM set. Mean power of each constellation = 1.</t>
  </si>
  <si>
    <t xml:space="preserve">MATH-078</t>
  </si>
  <si>
    <t xml:space="preserve">void DspEngine::computeConstellation(const IQBlock&amp; in, ChannelFrame&amp; out) const</t>
  </si>
  <si>
    <t xml:space="preserve">Builds the displayed constellation: envelope-gated symbol picks, Viterbi-Viterbi residual-rotation removal, 4th-power static phase alignment, RMS normalisation; reports residual carrier.</t>
  </si>
  <si>
    <t xml:space="preserve">in: analysis window after DDC; m_lastDisplayRate Fs (Hz).</t>
  </si>
  <si>
    <t xml:space="preserve">out.symbols (normalised cf32), out.metrics.residualHz (Hz), residualValid = false (decided later), metrics.rms.</t>
  </si>
  <si>
    <t xml:space="preserve">see block rows: envelope gate → stepPerPoint = arg(Σ r_i⁴·conj(r_{i−1}⁴))/4 → φ0 = arg(−Σ s⁴)/4 → symbols = s·(1/rms)·e^(−jφ0)</t>
  </si>
  <si>
    <t xml:space="preserve">normalised amplitude, Hz</t>
  </si>
  <si>
    <t xml:space="preserve">DspEngine::processBlock → ConstellationPlot, computeMetrics (EVM etc.)</t>
  </si>
  <si>
    <t xml:space="preserve">Returns early if in.size() &lt; 64 or fewer than 16 gated symbols. 4th-power method leaves a π/2 ambiguity.</t>
  </si>
  <si>
    <t xml:space="preserve">MATH-079</t>
  </si>
  <si>
    <t xml:space="preserve">DspEngine::computeConstellation::sps</t>
  </si>
  <si>
    <t xml:space="preserve">constexpr int sps       = 4;</t>
  </si>
  <si>
    <t xml:space="preserve">Fixed samples-per-symbol used for placeholder symbol timing.</t>
  </si>
  <si>
    <t xml:space="preserve">4</t>
  </si>
  <si>
    <t xml:space="preserve">symbols taken at i = 0, 4, 8, … (offset 0)</t>
  </si>
  <si>
    <t xml:space="preserve">samples/symbol</t>
  </si>
  <si>
    <t xml:space="preserve">computeConstellation; residualHz scaling</t>
  </si>
  <si>
    <t xml:space="preserve">Placeholder for Gardner / Mueller-Muller timing recovery (per code comment). Simulator also uses m_sps = 4.</t>
  </si>
  <si>
    <t xml:space="preserve">MATH-080</t>
  </si>
  <si>
    <t xml:space="preserve">DspEngine::computeConstellation::envWindow</t>
  </si>
  <si>
    <t xml:space="preserve">constexpr int envWindow = 32;</t>
  </si>
  <si>
    <t xml:space="preserve">Length of the moving power window used to build the burst envelope.</t>
  </si>
  <si>
    <t xml:space="preserve">32</t>
  </si>
  <si>
    <t xml:space="preserve">env[i] = √(Σ_{m=i}^{i+31}|x[m]|² / 32)</t>
  </si>
  <si>
    <t xml:space="preserve">computeConstellation</t>
  </si>
  <si>
    <t xml:space="preserve">Also requires in.size() ≥ 64.</t>
  </si>
  <si>
    <t xml:space="preserve">MATH-081</t>
  </si>
  <si>
    <t xml:space="preserve">DspEngine::computeConstellation [envelope gate]</t>
  </si>
  <si>
    <t xml:space="preserve">std::vector&lt;float&gt; env(in.size(), 0.0f);</t>
  </si>
  <si>
    <t xml:space="preserve">Smoothed magnitude envelope locates the burst so inner QAM points are not discarded; symbols picked every sps samples where the envelope exceeds 65 % of its peak.</t>
  </si>
  <si>
    <t xml:space="preserve">in samples.</t>
  </si>
  <si>
    <t xml:space="preserve">raw symbol list (≤ 3000).</t>
  </si>
  <si>
    <t xml:space="preserve">env[i] = √(Σ_{m=i}^{i+31}|x[m]|² / 32) (running sum); gate = 0.65·max(env); pick x[i] for i = 0, 4, 8, … while env[i] &gt; gate</t>
  </si>
  <si>
    <t xml:space="preserve">Running sum updated as acc += |x[i+32]|² − |x[i]|².</t>
  </si>
  <si>
    <t xml:space="preserve">MATH-082</t>
  </si>
  <si>
    <t xml:space="preserve">DspEngine::computeConstellation [Viterbi-Viterbi residual frequency]</t>
  </si>
  <si>
    <t xml:space="preserve">rotAcc += (a * a) * std::conj(b * b);        // r^4 * conj(prev^4)</t>
  </si>
  <si>
    <t xml:space="preserve">Modulation-stripped estimate of residual carrier rotation per symbol, then de-rotation.</t>
  </si>
  <si>
    <t xml:space="preserve">raw symbols r[i].</t>
  </si>
  <si>
    <t xml:space="preserve">stepPerPoint (rad/symbol); flat[i] = r[i]·e^(−j·step·i) when |step| &gt; 1e−3.</t>
  </si>
  <si>
    <t xml:space="preserve">rotAcc = Σ_{i≥1} r[i]⁴·conj(r[i−1]⁴); step = arg(rotAcc)/4</t>
  </si>
  <si>
    <t xml:space="preserve">rad/symbol</t>
  </si>
  <si>
    <t xml:space="preserve">Unambiguous only for |step| &lt; 45°/point, i.e. |f_offset| &lt; Fs/(8·sps) (6.25 MHz at 200 MSPS, sps 4).</t>
  </si>
  <si>
    <t xml:space="preserve">MATH-083</t>
  </si>
  <si>
    <t xml:space="preserve">DspEngine::computeConstellation::kMinRot</t>
  </si>
  <si>
    <t xml:space="preserve">constexpr float kMinRot = 1e-3f;                  // ~0.06 deg/point</t>
  </si>
  <si>
    <t xml:space="preserve">Minimum estimated per-symbol rotation for de-rotation to be applied.</t>
  </si>
  <si>
    <t xml:space="preserve">1e−3 rad/point (≈0.057°/point)</t>
  </si>
  <si>
    <t xml:space="preserve">derotate = |stepPerPoint| &gt; 1e−3</t>
  </si>
  <si>
    <t xml:space="preserve">MATH-084</t>
  </si>
  <si>
    <t xml:space="preserve">DspEngine::computeConstellation [4th-power static phase]</t>
  </si>
  <si>
    <t xml:space="preserve">const float phi0 = std::arg(-phaseAcc) / 4.0f;</t>
  </si>
  <si>
    <t xml:space="preserve">Static constellation phase via the 4th-power method on the de-rotated symbols.</t>
  </si>
  <si>
    <t xml:space="preserve">flat symbols s[i].</t>
  </si>
  <si>
    <t xml:space="preserve">φ0 (rad).</t>
  </si>
  <si>
    <t xml:space="preserve">φ0 = arg(−Σ s[i]⁴)/4</t>
  </si>
  <si>
    <t xml:space="preserve">Negation keeps the argument near 0 for square QAM/QPSK (fourth moment real negative), avoiding branch-cut flips; π/2 ambiguity remains.</t>
  </si>
  <si>
    <t xml:space="preserve">MATH-085</t>
  </si>
  <si>
    <t xml:space="preserve">DspEngine::computeConstellation [RMS normalisation]</t>
  </si>
  <si>
    <t xml:space="preserve">const double rmsLevel = std::sqrt(power / raw.size());</t>
  </si>
  <si>
    <t xml:space="preserve">Normalises the constellation to unit RMS and applies the static phase correction.</t>
  </si>
  <si>
    <t xml:space="preserve">flat symbols.</t>
  </si>
  <si>
    <t xml:space="preserve">out.symbols, out.metrics.rms (linear).</t>
  </si>
  <si>
    <t xml:space="preserve">rms = √(Σ|s|²/K); norm = 1/rms (1 if rms ≤ 1e−9); symbol_out = s·norm·e^(−jφ0)</t>
  </si>
  <si>
    <t xml:space="preserve">ConstellationPlot, computeMetrics</t>
  </si>
  <si>
    <t xml:space="preserve">metrics.rms here is the RMS of the gated symbols (before normalisation).</t>
  </si>
  <si>
    <t xml:space="preserve">MATH-086</t>
  </si>
  <si>
    <t xml:space="preserve">DspEngine::computeConstellation [residualHz]</t>
  </si>
  <si>
    <t xml:space="preserve">out.metrics.residualHz = derotate ? double(stepPerPoint) / (2.0 * dsp::kPi) * m_lastDisplayRate / double(sps) : 0.0;</t>
  </si>
  <si>
    <t xml:space="preserve">Converts the removed per-symbol rotation to a carrier offset in Hz.</t>
  </si>
  <si>
    <t xml:space="preserve">stepPerPoint (rad/symbol), Fs (Hz), sps.</t>
  </si>
  <si>
    <t xml:space="preserve">metrics.residualHz (Hz).</t>
  </si>
  <si>
    <t xml:space="preserve">f_res = (step/2π)·Fs/sps</t>
  </si>
  <si>
    <t xml:space="preserve">computeMetrics (residualValid cross-check), MeasurementPanel</t>
  </si>
  <si>
    <t xml:space="preserve">0 when no de-rotation applied. Aliases beyond ±Fs/(8·sps); validity decided by FFT cross-check.</t>
  </si>
  <si>
    <t xml:space="preserve">MATH-087</t>
  </si>
  <si>
    <t xml:space="preserve">DspEngine::computeMetrics [residualValid cross-check]</t>
  </si>
  <si>
    <t xml:space="preserve">out.metrics.residualValid = out.metrics.residualHz != 0.0 &amp;&amp; std::abs(out.metrics.residualHz - peakOffset) &lt; 4.0 * binHzLocal;</t>
  </si>
  <si>
    <t xml:space="preserve">Accepts the constellation's residual-carrier estimate only if it agrees with the unambiguous FFT peak.</t>
  </si>
  <si>
    <t xml:space="preserve">residualHz, pk, N, Fs.</t>
  </si>
  <si>
    <t xml:space="preserve">metrics.residualValid (bool).</t>
  </si>
  <si>
    <t xml:space="preserve">peakOffset = (pk − N/2)·Fs/N; valid = residualHz ≠ 0 ∧ |residualHz − peakOffset| &lt; 4·Fs/N</t>
  </si>
  <si>
    <t xml:space="preserve">Uses the integer peak bin (no δ). Catches aliased 4th-power estimates that still fall inside ±Fs/(8·sps).</t>
  </si>
  <si>
    <t xml:space="preserve">MATH-088</t>
  </si>
  <si>
    <t xml:space="preserve">DspEngine::computeMetrics [slice]</t>
  </si>
  <si>
    <t xml:space="preserve">auto slice = [&amp;levels](float v) { … if (std::abs(v - l) &lt; std::abs(v - best)) best = l; … }</t>
  </si>
  <si>
    <t xml:space="preserve">Per-axis hard-decision slicer to the nearest ideal level.</t>
  </si>
  <si>
    <t xml:space="preserve">v: I or Q component; levels from idealLevels().</t>
  </si>
  <si>
    <t xml:space="preserve">nearest level.</t>
  </si>
  <si>
    <t xml:space="preserve">slice(v) = argmin_{l ∈ levels} |v − l|; ideal = slice(I) + j·slice(Q)</t>
  </si>
  <si>
    <t xml:space="preserve">EVM, phase error</t>
  </si>
  <si>
    <t xml:space="preserve">MATH-089</t>
  </si>
  <si>
    <t xml:space="preserve">DspEngine::computeMetrics [EVM]</t>
  </si>
  <si>
    <t xml:space="preserve">out.metrics.evm         = refSq &gt; 0.0 ? std::sqrt(errSq / refSq) : 0.0;</t>
  </si>
  <si>
    <t xml:space="preserve">RMS error-vector magnitude against the nearest ideal constellation point.</t>
  </si>
  <si>
    <t xml:space="preserve">out.symbols p, ideal points.</t>
  </si>
  <si>
    <t xml:space="preserve">metrics.evm (fraction; ×100 = %).</t>
  </si>
  <si>
    <t xml:space="preserve">EVM = √(Σ|p − ideal|² / Σ|ideal|²)</t>
  </si>
  <si>
    <t xml:space="preserve">fraction</t>
  </si>
  <si>
    <t xml:space="preserve">MeasurementPanel, ConstellationPlot info box (×100 %)</t>
  </si>
  <si>
    <t xml:space="preserve">Normalised by mean ideal power (not peak). Symbols are already RMS-normalised and phase-aligned.</t>
  </si>
  <si>
    <t xml:space="preserve">MATH-090</t>
  </si>
  <si>
    <t xml:space="preserve">DspEngine::computeMetrics [phase error]</t>
  </si>
  <si>
    <t xml:space="preserve">out.metrics.phaseErrDeg = (phase / k) * 180.0 / dsp::kPi;</t>
  </si>
  <si>
    <t xml:space="preserve">Mean absolute phase error of symbols against their sliced ideal points.</t>
  </si>
  <si>
    <t xml:space="preserve">out.symbols, ideal points.</t>
  </si>
  <si>
    <t xml:space="preserve">metrics.phaseErrDeg (°).</t>
  </si>
  <si>
    <t xml:space="preserve">phaseErr = (1/K)·Σ|arg(p) − arg(ideal)|·180/π</t>
  </si>
  <si>
    <t xml:space="preserve">degrees</t>
  </si>
  <si>
    <t xml:space="preserve">MeasurementPanel, ConstellationPlot</t>
  </si>
  <si>
    <t xml:space="preserve">Points with |ideal| ≤ 1e−6 are not accumulated but K still counts all symbols. Mean absolute (not RMS) error.</t>
  </si>
  <si>
    <t xml:space="preserve">MATH-091</t>
  </si>
  <si>
    <t xml:space="preserve">DspEngine::computeMetrics [DC offset]</t>
  </si>
  <si>
    <t xml:space="preserve">out.metrics.dcOffset    = std::hypot(sumI / k, sumQ / k);</t>
  </si>
  <si>
    <t xml:space="preserve">Magnitude of the mean of the constellation points.</t>
  </si>
  <si>
    <t xml:space="preserve">out.symbols.</t>
  </si>
  <si>
    <t xml:space="preserve">metrics.dcOffset (normalised amplitude).</t>
  </si>
  <si>
    <t xml:space="preserve">DC = |mean(p)| = √((ΣI/K)² + (ΣQ/K)²)</t>
  </si>
  <si>
    <t xml:space="preserve">Measured on normalised, de-rotated symbols — not on the raw IQ stream.</t>
  </si>
  <si>
    <t xml:space="preserve">MATH-092</t>
  </si>
  <si>
    <t xml:space="preserve">sdr::defaultH2cChunkBytes</t>
  </si>
  <si>
    <t xml:space="preserve">int defaultH2cChunkBytes()</t>
  </si>
  <si>
    <t xml:space="preserve">Starting H2C chunk size: environment override if valid, else 1 MiB.</t>
  </si>
  <si>
    <t xml:space="preserve">IWFG_H2C_CHUNK_BYTES env.</t>
  </si>
  <si>
    <t xml:space="preserve">use env v if 1024 ≤ v ≤ 64 MiB and v mod 4 = 0; else 1048576</t>
  </si>
  <si>
    <t xml:space="preserve">BackendConfig::h2cChunkBytes default, stall recovery</t>
  </si>
  <si>
    <t xml:space="preserve">01_sdr_workstation_GUI/src/core/BackendLauncher.cpp</t>
  </si>
  <si>
    <t xml:space="preserve">MATH-093</t>
  </si>
  <si>
    <t xml:space="preserve">sdr::nextSmallerH2cChunk</t>
  </si>
  <si>
    <t xml:space="preserve">int nextSmallerH2cChunk(int bytes)</t>
  </si>
  <si>
    <t xml:space="preserve">Next rung of the chunk ladder strictly below `bytes`.</t>
  </si>
  <si>
    <t xml:space="preserve">bytes, or 0 at the bottom.</t>
  </si>
  <si>
    <t xml:space="preserve">first rung r in [16M, 4M, 1M, 256K, 64K, 16K] with r &lt; bytes, else 0</t>
  </si>
  <si>
    <t xml:space="preserve">BackendLauncher H2C stall step-down</t>
  </si>
  <si>
    <t xml:space="preserve">MATH-094</t>
  </si>
  <si>
    <t xml:space="preserve">sdr::parseH2cRateLine</t>
  </si>
  <si>
    <t xml:space="preserve">bool parseH2cRateLine(const QString&amp; line, double* mibPerSec, int* updatesPerSec)</t>
  </si>
  <si>
    <t xml:space="preserve">Parses iwfg_h2c's once-a-second throughput line.</t>
  </si>
  <si>
    <t xml:space="preserve">line, e.g. "[H2C] 640.58 MB/s total=… GR_updates=48/s".</t>
  </si>
  <si>
    <t xml:space="preserve">mibPerSec (MiB/s), updatesPerSec (−1 if absent).</t>
  </si>
  <si>
    <t xml:space="preserve">regex \[H2C\]\s+([0-9]+(\.[0-9]+)?)\s*MB/s(.*GR_updates=([0-9]+)/s)?</t>
  </si>
  <si>
    <t xml:space="preserve">BackendLauncher → ControlWindow3D::setH2cThroughput</t>
  </si>
  <si>
    <t xml:space="preserve">iwfg_h2c's "MB" is MiB (divides by 1048576).</t>
  </si>
  <si>
    <t xml:space="preserve">MATH-095</t>
  </si>
  <si>
    <t xml:space="preserve">sdr::parseC2hRateLine</t>
  </si>
  <si>
    <t xml:space="preserve">bool parseC2hRateLine(const QString&amp; line, double* mibPerSec)</t>
  </si>
  <si>
    <t xml:space="preserve">Parses c2h_stream's throughput line.</t>
  </si>
  <si>
    <t xml:space="preserve">line, e.g. "Streaming: 2416.93 MB/s (total: … MB)".</t>
  </si>
  <si>
    <t xml:space="preserve">mibPerSec (MiB/s).</t>
  </si>
  <si>
    <t xml:space="preserve">regex ^Streaming:\s+([0-9]+(\.[0-9]+)?)\s*MB/s on the trimmed line</t>
  </si>
  <si>
    <t xml:space="preserve">BackendLauncher capture monitoring</t>
  </si>
  <si>
    <t xml:space="preserve">Also MiB/s.</t>
  </si>
  <si>
    <t xml:space="preserve">MATH-096</t>
  </si>
  <si>
    <t xml:space="preserve">sdr::kH2cChunkLadder</t>
  </si>
  <si>
    <t xml:space="preserve">constexpr int kH2cChunkLadder[] = { 16 &lt;&lt; 20, 4 &lt;&lt; 20, 1 &lt;&lt; 20, 256 &lt;&lt; 10, 64 &lt;&lt; 10, 16 &lt;&lt; 10 };</t>
  </si>
  <si>
    <t xml:space="preserve">H2C playback chunk sizes the launcher steps down through when the card does not consume.</t>
  </si>
  <si>
    <t xml:space="preserve">16 MiB, 4 MiB, 1 MiB, 256 KiB, 64 KiB, 16 KiB</t>
  </si>
  <si>
    <t xml:space="preserve">nextSmallerH2cChunk</t>
  </si>
  <si>
    <t xml:space="preserve">Chunk also sets the generator loop and tone resolution fs/(bytes/4).</t>
  </si>
  <si>
    <t xml:space="preserve">01_sdr_workstation_GUI/src/core/BackendLauncher.h</t>
  </si>
  <si>
    <t xml:space="preserve">MATH-097</t>
  </si>
  <si>
    <t xml:space="preserve">sdr::kH2cChunkDefault</t>
  </si>
  <si>
    <t xml:space="preserve">constexpr int kH2cChunkDefault = 1 &lt;&lt; 20;</t>
  </si>
  <si>
    <t xml:space="preserve">Default H2C chunk (1 MiB).</t>
  </si>
  <si>
    <t xml:space="preserve">1048576</t>
  </si>
  <si>
    <t xml:space="preserve">defaultH2cChunkBytes</t>
  </si>
  <si>
    <t xml:space="preserve">≈ 763 Hz tone resolution at 200 MSPS.</t>
  </si>
  <si>
    <t xml:space="preserve">MATH-098</t>
  </si>
  <si>
    <t xml:space="preserve">sdr::kH2cChunkMin</t>
  </si>
  <si>
    <t xml:space="preserve">constexpr int kH2cChunkMin = 1024;</t>
  </si>
  <si>
    <t xml:space="preserve">Minimum accepted IWFG_H2C_CHUNK_BYTES override.</t>
  </si>
  <si>
    <t xml:space="preserve">1024</t>
  </si>
  <si>
    <t xml:space="preserve">MATH-099</t>
  </si>
  <si>
    <t xml:space="preserve">sdr::kH2cChunkMax</t>
  </si>
  <si>
    <t xml:space="preserve">constexpr int kH2cChunkMax = 64 &lt;&lt; 20;          ///&lt; iwfg_h2c's own limit</t>
  </si>
  <si>
    <t xml:space="preserve">Maximum chunk (iwfg_h2c limit).</t>
  </si>
  <si>
    <t xml:space="preserve">67108864 (64 MiB)</t>
  </si>
  <si>
    <t xml:space="preserve">MATH-100</t>
  </si>
  <si>
    <t xml:space="preserve">sdr::kCaptureBudgetMib</t>
  </si>
  <si>
    <t xml:space="preserve">constexpr double kCaptureBudgetMib = 1600.0;</t>
  </si>
  <si>
    <t xml:space="preserve">Capture bandwidth the host is allowed to request while transmitting (bench-host derived).</t>
  </si>
  <si>
    <t xml:space="preserve">1600</t>
  </si>
  <si>
    <t xml:space="preserve">captureChannelsWithinBudget, MainWindow::transmitGuard</t>
  </si>
  <si>
    <t xml:space="preserve">2 ch × 200 MSPS × 4 B = 1526 MiB/s fits; 4 ch = 3052 MiB/s does not (bench drained ≈ 2400).</t>
  </si>
  <si>
    <t xml:space="preserve">01_sdr_workstation_GUI/src/core/CaptureBudget.h</t>
  </si>
  <si>
    <t xml:space="preserve">MATH-101</t>
  </si>
  <si>
    <t xml:space="preserve">sdr::captureNeedMib</t>
  </si>
  <si>
    <t xml:space="preserve">inline double captureNeedMib(int channels, double rateMsps, int bytesPerSample)</t>
  </si>
  <si>
    <t xml:space="preserve">Host bandwidth a C2H capture needs.</t>
  </si>
  <si>
    <t xml:space="preserve">channels; rateMsps (MSPS); bytesPerSample (B).</t>
  </si>
  <si>
    <t xml:space="preserve">MiB/s.</t>
  </si>
  <si>
    <t xml:space="preserve">need = channels·rateMsps·1e6·bytesPerSample / 1048576</t>
  </si>
  <si>
    <t xml:space="preserve">MainWindow::checkCaptureRate, transmitGuard, impliedCaptureChannels, captureChannelsWithinBudget</t>
  </si>
  <si>
    <t xml:space="preserve">4 × 200 MSPS × 4 B = 3051.8 MiB/s.</t>
  </si>
  <si>
    <t xml:space="preserve">MATH-102</t>
  </si>
  <si>
    <t xml:space="preserve">sdr::captureChannelsWithinBudget</t>
  </si>
  <si>
    <t xml:space="preserve">inline int captureChannelsWithinBudget(int channels, double rateMsps, int bytesPerSample, double budgetMib = kCaptureBudgetMib)</t>
  </si>
  <si>
    <t xml:space="preserve">Largest capture channel count (requested, else 2, else 1) whose bandwidth fits the transmit-time budget.</t>
  </si>
  <si>
    <t xml:space="preserve">channels, rateMsps, bytesPerSample, budgetMib (default 1600).</t>
  </si>
  <si>
    <t xml:space="preserve">channel count.</t>
  </si>
  <si>
    <t xml:space="preserve">if need(ch) ≤ budget → ch; else first n ∈ {2, 1}, n &lt; ch, with need(n) ≤ budget; else 1</t>
  </si>
  <si>
    <t xml:space="preserve">channels</t>
  </si>
  <si>
    <t xml:space="preserve">MainWindow::transmitGuard</t>
  </si>
  <si>
    <t xml:space="preserve">Always returns ≥ 1 even if one channel exceeds the budget.</t>
  </si>
  <si>
    <t xml:space="preserve">MATH-103</t>
  </si>
  <si>
    <t xml:space="preserve">sdr::impliedCaptureChannels</t>
  </si>
  <si>
    <t xml:space="preserve">inline bool impliedCaptureChannels(double deliveredMib, double rateMsps, int bytesPerSample, int* channels)</t>
  </si>
  <si>
    <t xml:space="preserve">Infers how many channels a measured capture rate corresponds to, only if it is close to a whole 1/2/4/8.</t>
  </si>
  <si>
    <t xml:space="preserve">deliveredMib (MiB/s), rateMsps, bytesPerSample; channels (out).</t>
  </si>
  <si>
    <t xml:space="preserve">true + *channels if matched.</t>
  </si>
  <si>
    <t xml:space="preserve">x = delivered / need(1); match c ∈ {1, 2, 4, 8} with |x − c| ≤ 0.15·c</t>
  </si>
  <si>
    <t xml:space="preserve">MainWindow::checkCaptureRate (channel-switch confirmation)</t>
  </si>
  <si>
    <t xml:space="preserve">False if per-channel need ≤ 0 or delivered ≤ 0; an overloaded 3.2-channel rate is deliberately not matched.</t>
  </si>
  <si>
    <t xml:space="preserve">MATH-104</t>
  </si>
  <si>
    <t xml:space="preserve">DspEngine::applyConfig</t>
  </si>
  <si>
    <t xml:space="preserve">void DspEngine::applyConfig(const sdr::Config&amp; cfg)</t>
  </si>
  <si>
    <t xml:space="preserve">Applies configuration: display throttle interval, and (on FFT size or window change) rebuilds the window, its coherent gain and ENBW and clears averages.</t>
  </si>
  <si>
    <t xml:space="preserve">cfg.disp.refreshFps (frames/s), cfg.disp.fftSize (N), cfg.disp.window, cfg.src.useGpu, cfg.src.streamChannels.</t>
  </si>
  <si>
    <t xml:space="preserve">m_minFrameMs (ms), m_window, m_windowGain (Σw), m_windowEnbw (bins).</t>
  </si>
  <si>
    <t xml:space="preserve">m_minFrameMs = refreshFps &gt; 0 ? ⌊1000/refreshFps⌋ : 0; m_windowGain = Σw; m_windowEnbw = N·Σw²/(Σw)²</t>
  </si>
  <si>
    <t xml:space="preserve">MainWindow config changes; constructor</t>
  </si>
  <si>
    <t xml:space="preserve">Integer division: 30 fps → 33 ms. Toggling useGpu resets the GPU fallback flag.</t>
  </si>
  <si>
    <t xml:space="preserve">MATH-105</t>
  </si>
  <si>
    <t xml:space="preserve">DspEngine::processBlock</t>
  </si>
  <si>
    <t xml:space="preserve">void DspEngine::processBlock(const sdr::SampleBlock&amp; block)</t>
  </si>
  <si>
    <t xml:space="preserve">Per-block DSP entry: display throttle and render gate, deferred wire decode, per-selected-channel DDC, trigger, spectrum, constellation and metrics; emits one FrameResult.</t>
  </si>
  <si>
    <t xml:space="preserve">block: SampleBlock (decoded channels or raw wire bytes), startSample (absolute index).</t>
  </si>
  <si>
    <t xml:space="preserve">FrameResult {displayRateHz, centerFreqHz, blockSpanSec, channels[], stats}.</t>
  </si>
  <si>
    <t xml:space="preserve">skip if elapsed &lt; m_minFrameMs or render gate set; displayRateHz = Fs·interp/decim; stats.bufferPct = utilisation·100</t>
  </si>
  <si>
    <t xml:space="preserve">Hz, s, %</t>
  </si>
  <si>
    <t xml:space="preserve">Source threads via queued connection → frameReady → MainWindow</t>
  </si>
  <si>
    <t xml:space="preserve">Returns without output if samplesPerChannel &lt; N_fft. Skipped frames counted in framesSkipped. Only channels in channelMask are analysed.</t>
  </si>
  <si>
    <t xml:space="preserve">MATH-106</t>
  </si>
  <si>
    <t xml:space="preserve">DspEngine::processBlock [analysis window]</t>
  </si>
  <si>
    <t xml:space="preserve">const std::size_t analysisN = std::min&lt;std::size_t&gt;(block.samplesPerChannel(), std::max&lt;std::size_t&gt;(fftN * 4, kMinAnalysisSamples));</t>
  </si>
  <si>
    <t xml:space="preserve">Bounds the number of samples per channel that are down-converted and analysed each frame.</t>
  </si>
  <si>
    <t xml:space="preserve">block.samplesPerChannel(), fftN = disp.fftSize.</t>
  </si>
  <si>
    <t xml:space="preserve">analysisN (samples).</t>
  </si>
  <si>
    <t xml:space="preserve">analysisN = min(samplesPerChannel, max(4·N_fft, 16384))</t>
  </si>
  <si>
    <t xml:space="preserve">applyDdc, computeSpectrum (first N), computeConstellation</t>
  </si>
  <si>
    <t xml:space="preserve">Throughput/recording still see the full stream; only analysis is windowed.</t>
  </si>
  <si>
    <t xml:space="preserve">MATH-107</t>
  </si>
  <si>
    <t xml:space="preserve">sdr::IqGenerator::writeSilence</t>
  </si>
  <si>
    <t xml:space="preserve">void IqGenerator::writeSilence(int fd)</t>
  </si>
  <si>
    <t xml:space="preserve">On stop, completes any partial chunk and writes one whole zero chunk so the card replays silence.</t>
  </si>
  <si>
    <t xml:space="preserve">m_cfg.chunkBytes C, m_partial P (bytes already written of current chunk).</t>
  </si>
  <si>
    <t xml:space="preserve">zero bytes written.</t>
  </si>
  <si>
    <t xml:space="preserve">bytes = ((C − P) mod C) + C; m_partial tracked as (m_partial + written) mod C</t>
  </si>
  <si>
    <t xml:space="preserve">IqGenerator::start (on Stopped)</t>
  </si>
  <si>
    <t xml:space="preserve">Bounded by kSilenceTimeoutMs = 2000 ms.</t>
  </si>
  <si>
    <t xml:space="preserve">MATH-108</t>
  </si>
  <si>
    <t xml:space="preserve">sdr::IqGenerator::streamUntilBroken</t>
  </si>
  <si>
    <t xml:space="preserve">IqGenerator::WriteResult IqGenerator::streamUntilBroken(int fd, quint64* total, quint64* chunks)</t>
  </si>
  <si>
    <t xml:space="preserve">Writes the loop once (coherent) or chunks continuously (streaming) and reports throughput about once per second.</t>
  </si>
  <si>
    <t xml:space="preserve">fd, totals.</t>
  </si>
  <si>
    <t xml:space="preserve">progress(totalSamples, MSPS, chunks, reconnects).</t>
  </si>
  <si>
    <t xml:space="preserve">MSPS = samplesSinceReport / elapsed_ms / 1000</t>
  </si>
  <si>
    <t xml:space="preserve">ControlWindow3D generator status</t>
  </si>
  <si>
    <t xml:space="preserve">In coherent mode after the loop is loaded it only polls (kIdlePollMs = 50 ms) and reports 0 MSPS.</t>
  </si>
  <si>
    <t xml:space="preserve">MATH-109</t>
  </si>
  <si>
    <t xml:space="preserve">sdr::ResourceMonitor::readCpu</t>
  </si>
  <si>
    <t xml:space="preserve">bool ResourceMonitor::readCpu()</t>
  </si>
  <si>
    <t xml:space="preserve">System CPU utilisation from successive /proc/stat samples.</t>
  </si>
  <si>
    <t xml:space="preserve">/proc/stat aggregate jiffies.</t>
  </si>
  <si>
    <t xml:space="preserve">m_cpu.usagePct (%), logicalCpus.</t>
  </si>
  <si>
    <t xml:space="preserve">total = Σ fields; idle = idle + iowait; usage = clamp(100·(Δtotal − min(Δidle, Δtotal))/Δtotal, 0, 100)</t>
  </si>
  <si>
    <t xml:space="preserve">ResourceBar, evaluate</t>
  </si>
  <si>
    <t xml:space="preserve">First call only primes the baseline; Δtotal = 0 keeps the previous reading.</t>
  </si>
  <si>
    <t xml:space="preserve">01_sdr_workstation_GUI/src/core/ResourceMonitor.cpp</t>
  </si>
  <si>
    <t xml:space="preserve">MATH-110</t>
  </si>
  <si>
    <t xml:space="preserve">sdr::ResourceMonitor::readRam</t>
  </si>
  <si>
    <t xml:space="preserve">bool ResourceMonitor::readRam()</t>
  </si>
  <si>
    <t xml:space="preserve">Physical memory use from /proc/meminfo.</t>
  </si>
  <si>
    <t xml:space="preserve">MemTotal, MemAvailable (kB).</t>
  </si>
  <si>
    <t xml:space="preserve">totalBytes, availableBytes, usedBytes, usedPct.</t>
  </si>
  <si>
    <t xml:space="preserve">total = MemTotal·1024; avail = min(MemAvailable·1024, total); used = total − avail; pct = 100·used/total</t>
  </si>
  <si>
    <t xml:space="preserve">bytes, %</t>
  </si>
  <si>
    <t xml:space="preserve">MATH-111</t>
  </si>
  <si>
    <t xml:space="preserve">sdr::ResourceMonitor::readDisk</t>
  </si>
  <si>
    <t xml:space="preserve">bool ResourceMonitor::readDisk()</t>
  </si>
  <si>
    <t xml:space="preserve">Disk capacity/free space of the recording volume via statvfs.</t>
  </si>
  <si>
    <t xml:space="preserve">statvfs(m_diskPath).</t>
  </si>
  <si>
    <t xml:space="preserve">totalBytes, freeBytes, usedBytes, usedPct.</t>
  </si>
  <si>
    <t xml:space="preserve">frsize = f_frsize or f_bsize; total = f_blocks·frsize; free = f_bavail·frsize; used = total − free; pct = 100·used/total</t>
  </si>
  <si>
    <t xml:space="preserve">RecordingGuard (safeCapacity), ResourceBar, evaluate</t>
  </si>
  <si>
    <t xml:space="preserve">Uses f_bavail (excludes the root reserve).</t>
  </si>
  <si>
    <t xml:space="preserve">MATH-112</t>
  </si>
  <si>
    <t xml:space="preserve">sdr::kFileTickMs</t>
  </si>
  <si>
    <t xml:space="preserve">constexpr int    kFileTickMs         = 10;</t>
  </si>
  <si>
    <t xml:space="preserve">File-replay timer tick used for paced replay.</t>
  </si>
  <si>
    <t xml:space="preserve">10</t>
  </si>
  <si>
    <t xml:space="preserve">FileSource::start/produce</t>
  </si>
  <si>
    <t xml:space="preserve">01_sdr_workstation_GUI/src/core/Sources.cpp</t>
  </si>
  <si>
    <t xml:space="preserve">MATH-113</t>
  </si>
  <si>
    <t xml:space="preserve">sdr::ISignalSource::admit</t>
  </si>
  <si>
    <t xml:space="preserve">bool ISignalSource::admit(std::size_t samplesPerChannel)</t>
  </si>
  <si>
    <t xml:space="preserve">Back-pressure gate: refuses a block when the DSP queue is full and counts the drop.</t>
  </si>
  <si>
    <t xml:space="preserve">samplesPerChannel; m_bp-&gt;queued, capacity.</t>
  </si>
  <si>
    <t xml:space="preserve">true = publish; false = dropped.</t>
  </si>
  <si>
    <t xml:space="preserve">drop if queued ≥ capacity: blocksDropped += 1, samplesDropped += samplesPerChannel</t>
  </si>
  <si>
    <t xml:space="preserve">blocks, samples</t>
  </si>
  <si>
    <t xml:space="preserve">SimulatedSource/FileSource/DmaSource produce paths; StreamStats::dropRatePct</t>
  </si>
  <si>
    <t xml:space="preserve">MATH-114</t>
  </si>
  <si>
    <t xml:space="preserve">sdr::ISignalSource::publish</t>
  </si>
  <si>
    <t xml:space="preserve">void ISignalSource::publish(SampleBlock&amp; block)</t>
  </si>
  <si>
    <t xml:space="preserve">Stamps sequence and absolute start-sample index on a block and emits it.</t>
  </si>
  <si>
    <t xml:space="preserve">block.</t>
  </si>
  <si>
    <t xml:space="preserve">block.sequence, block.startSample; counters.</t>
  </si>
  <si>
    <t xml:space="preserve">startSample = Σ previous samplesPerChannel; blocksIn += 1; samplesWindow += samplesPerChannel</t>
  </si>
  <si>
    <t xml:space="preserve">All sources; DspEngine::applyDdc (absolute-index NCO phase)</t>
  </si>
  <si>
    <t xml:space="preserve">MATH-115</t>
  </si>
  <si>
    <t xml:space="preserve">sdr::ISignalSource::refreshStats</t>
  </si>
  <si>
    <t xml:space="preserve">void ISignalSource::refreshStats(qint64 filePos, qint64 fileTotal)</t>
  </si>
  <si>
    <t xml:space="preserve">Measures stream throughput and sample rate over ≥ 400 ms windows and publishes StreamStats.</t>
  </si>
  <si>
    <t xml:space="preserve">bytes and samples accumulated since last refresh; elapsed time.</t>
  </si>
  <si>
    <t xml:space="preserve">stats.dmaMBps (MiB/s), sampleRateSps (S/s), bufferPct (%), elapsedMs.</t>
  </si>
  <si>
    <t xml:space="preserve">secs = elapsed_ms/1000; dmaMBps = bytesWindow / secs / 1048576; sampleRateSps = samplesWindow / secs; bufferPct = utilisation·100</t>
  </si>
  <si>
    <t xml:space="preserve">MiB/s, S/s, %</t>
  </si>
  <si>
    <t xml:space="preserve">StatusPanel, MainWindow::checkCaptureRate (dmaMBps vs captureNeedMib)</t>
  </si>
  <si>
    <t xml:space="preserve">Returns early until 400 ms elapsed. dmaMBps is binary MiB/s despite the name.</t>
  </si>
  <si>
    <t xml:space="preserve">MATH-116</t>
  </si>
  <si>
    <t xml:space="preserve">sdr::FileSource::totalSamples</t>
  </si>
  <si>
    <t xml:space="preserve">qint64 FileSource::totalSamples() const</t>
  </si>
  <si>
    <t xml:space="preserve">Samples per channel in the capture file (after header).</t>
  </si>
  <si>
    <t xml:space="preserve">m_dataBytes, format, streamChannels.</t>
  </si>
  <si>
    <t xml:space="preserve">samples.</t>
  </si>
  <si>
    <t xml:space="preserve">N = dataBytes / (bytesPerSample·max(1, channels))</t>
  </si>
  <si>
    <t xml:space="preserve">FileSource::openFile</t>
  </si>
  <si>
    <t xml:space="preserve">openFile reports duration = N / acq.sampleRateHz() (configured rate, not display rate).</t>
  </si>
  <si>
    <t xml:space="preserve">MATH-117</t>
  </si>
  <si>
    <t xml:space="preserve">sdr::FileSource::seekFraction</t>
  </si>
  <si>
    <t xml:space="preserve">void FileSource::seekFraction(double frac)</t>
  </si>
  <si>
    <t xml:space="preserve">Seeks file replay to a fraction of the data, kept frame-aligned.</t>
  </si>
  <si>
    <t xml:space="preserve">frac (0..1).</t>
  </si>
  <si>
    <t xml:space="preserve">file position, m_sampleIndex.</t>
  </si>
  <si>
    <t xml:space="preserve">target = clamp(frac, 0, 1)·dataBytes; target −= target mod frameBytes; sampleIndex = target / frameBytes</t>
  </si>
  <si>
    <t xml:space="preserve">bytes, samples</t>
  </si>
  <si>
    <t xml:space="preserve">Source panel seek slider</t>
  </si>
  <si>
    <t xml:space="preserve">MATH-118</t>
  </si>
  <si>
    <t xml:space="preserve">sdr::FileSource::produce</t>
  </si>
  <si>
    <t xml:space="preserve">void FileSource::produce()</t>
  </si>
  <si>
    <t xml:space="preserve">Paced file replay: sizes blocks and blocks-per-tick to hold the nominal display rate.</t>
  </si>
  <si>
    <t xml:space="preserve">acq.displayRateHz, src.replaySpeed, src.blockSamples, src.pacedReplay, kFileTickMs = 10.</t>
  </si>
  <si>
    <t xml:space="preserve">SampleBlocks (raw bytes).</t>
  </si>
  <si>
    <t xml:space="preserve">perTick = Fs·max(0.01, speed)·10/1000; want = max(1024, blockSamples), doubled while want &lt; 262144 and 8·want &lt; perTick; blocks = clamp(round(perTick/want), 1, 64); free-run: 8 blocks/tick</t>
  </si>
  <si>
    <t xml:space="preserve">samples/tick</t>
  </si>
  <si>
    <t xml:space="preserve">FileSource timer → DspEngine</t>
  </si>
  <si>
    <t xml:space="preserve">Paces at the DISPLAY rate because captures hold post-DDC samples.</t>
  </si>
  <si>
    <t xml:space="preserve">MATH-119</t>
  </si>
  <si>
    <t xml:space="preserve">sdr::DmaSource::applyConfig</t>
  </si>
  <si>
    <t xml:space="preserve">void DmaSource::applyConfig(const sdr::Config&amp; cfg)</t>
  </si>
  <si>
    <t xml:space="preserve">Computes the DMA/FIFO read block size from samples, format and channel count.</t>
  </si>
  <si>
    <t xml:space="preserve">src.blockSamples, src.format, src.streamChannels.</t>
  </si>
  <si>
    <t xml:space="preserve">m_blockBytes.</t>
  </si>
  <si>
    <t xml:space="preserve">blockBytes = max(1024, blockSamples)·bytesPerSample(format)·max(1, channels); samples per block = blockBytes/(bps·nch)</t>
  </si>
  <si>
    <t xml:space="preserve">DmaSource::start/pump</t>
  </si>
  <si>
    <t xml:space="preserve">Partial bytes already read are kept on resize to preserve I/Q framing.</t>
  </si>
  <si>
    <t xml:space="preserve">MATH-120</t>
  </si>
  <si>
    <t xml:space="preserve">sdr::AcqConfig</t>
  </si>
  <si>
    <t xml:space="preserve">struct AcqConfig {</t>
  </si>
  <si>
    <t xml:space="preserve">Signal-chain parameters: sample rate, resampling, NCO, centre, simulator modulation/offset/SNR.</t>
  </si>
  <si>
    <t xml:space="preserve">Defaults: sampleRateMsps 122.88, decimation 1, interpolation 1, ncoFreqMHz 0.0, centerFreqGHz 0.0, bufferMiB 16, modulation QAM16, signalOffsetMHz 1.2288, snrDb 25.0</t>
  </si>
  <si>
    <t xml:space="preserve">MSPS, MHz, GHz, dB</t>
  </si>
  <si>
    <t xml:space="preserve">DspEngine, SimulatedSource, FileSource, MainWindow</t>
  </si>
  <si>
    <t xml:space="preserve">NCO and centre default to 0 so the GUI reports baseband frequency (matches GNU Radio).</t>
  </si>
  <si>
    <t xml:space="preserve">MATH-121</t>
  </si>
  <si>
    <t xml:space="preserve">sdr::AcqConfig::sampleRateHz</t>
  </si>
  <si>
    <t xml:space="preserve">double sampleRateHz()  const { return sampleRateMsps * 1e6; }</t>
  </si>
  <si>
    <t xml:space="preserve">Configured converter/stream sample rate in Hz.</t>
  </si>
  <si>
    <t xml:space="preserve">sampleRateMsps (MSPS).</t>
  </si>
  <si>
    <t xml:space="preserve">Fs_in = sampleRateMsps·1e6</t>
  </si>
  <si>
    <t xml:space="preserve">displayRateHz, FileSource::openFile (duration), MainWindow → ControlWindow3D::setReceivedPeak</t>
  </si>
  <si>
    <t xml:space="preserve">MATH-122</t>
  </si>
  <si>
    <t xml:space="preserve">sdr::AcqConfig::displayRateHz</t>
  </si>
  <si>
    <t xml:space="preserve">double displayRateHz() const</t>
  </si>
  <si>
    <t xml:space="preserve">Rate the display/DSP pipeline sees after the resampler.</t>
  </si>
  <si>
    <t xml:space="preserve">sampleRateMsps, interpolation, decimation.</t>
  </si>
  <si>
    <t xml:space="preserve">Fs (Hz).</t>
  </si>
  <si>
    <t xml:space="preserve">Fs = sampleRateMsps·1e6 · interpolation / decimation</t>
  </si>
  <si>
    <t xml:space="preserve">DspEngine (bin spacing Fs/N, DDC phase step, time span), SimulatedSource::produce, FileSource pacing</t>
  </si>
  <si>
    <t xml:space="preserve">Decimation or interpolation ≤ 0 treated as 1.</t>
  </si>
  <si>
    <t xml:space="preserve">MATH-123</t>
  </si>
  <si>
    <t xml:space="preserve">sdr::AcqConfig::centerFreqHz</t>
  </si>
  <si>
    <t xml:space="preserve">double centerFreqHz()  const { return centerFreqGHz * 1e9; }</t>
  </si>
  <si>
    <t xml:space="preserve">RF/LO centre frequency in Hz.</t>
  </si>
  <si>
    <t xml:space="preserve">centerFreqGHz (GHz).</t>
  </si>
  <si>
    <t xml:space="preserve">f_c = centerFreqGHz·1e9</t>
  </si>
  <si>
    <t xml:space="preserve">DspEngine::processBlock (axis origin = f_c − f_NCO)</t>
  </si>
  <si>
    <t xml:space="preserve">MATH-124</t>
  </si>
  <si>
    <t xml:space="preserve">sdr::BackPressure::capacity</t>
  </si>
  <si>
    <t xml:space="preserve">qint64 capacity = 32;</t>
  </si>
  <si>
    <t xml:space="preserve">Maximum queued blocks between source and DSP thread before the source drops.</t>
  </si>
  <si>
    <t xml:space="preserve">blocks</t>
  </si>
  <si>
    <t xml:space="preserve">ISignalSource::admit, BackPressure::utilisation</t>
  </si>
  <si>
    <t xml:space="preserve">MATH-125</t>
  </si>
  <si>
    <t xml:space="preserve">sdr::BackPressure::utilisation</t>
  </si>
  <si>
    <t xml:space="preserve">double utilisation() const</t>
  </si>
  <si>
    <t xml:space="preserve">Pipeline backlog as a fraction of capacity.</t>
  </si>
  <si>
    <t xml:space="preserve">queued (atomic count), capacity.</t>
  </si>
  <si>
    <t xml:space="preserve">fraction 0..1.</t>
  </si>
  <si>
    <t xml:space="preserve">u = min(1, queued / capacity) (0 if capacity ≤ 0)</t>
  </si>
  <si>
    <t xml:space="preserve">DspEngine::processBlock and ISignalSource::refreshStats (bufferPct = u·100)</t>
  </si>
  <si>
    <t xml:space="preserve">MATH-126</t>
  </si>
  <si>
    <t xml:space="preserve">sdr::StreamStats::dropRatePct</t>
  </si>
  <si>
    <t xml:space="preserve">double dropRatePct() const</t>
  </si>
  <si>
    <t xml:space="preserve">Percentage of produced blocks discarded by back-pressure.</t>
  </si>
  <si>
    <t xml:space="preserve">blocksIn, blocksDropped.</t>
  </si>
  <si>
    <t xml:space="preserve">%.</t>
  </si>
  <si>
    <t xml:space="preserve">drop% = 100·blocksDropped / (blocksIn + blocksDropped) (0 if total = 0)</t>
  </si>
  <si>
    <t xml:space="preserve">MainWindow status bar (≥ 5 % red, ≥ 1 % amber)</t>
  </si>
  <si>
    <t xml:space="preserve">Ratio preferred over absolute sample counts at high rates.</t>
  </si>
  <si>
    <t xml:space="preserve">MATH-127</t>
  </si>
  <si>
    <t xml:space="preserve">sdr::StreamStats::filePosFrac</t>
  </si>
  <si>
    <t xml:space="preserve">double filePosFrac() const</t>
  </si>
  <si>
    <t xml:space="preserve">File-replay progress fraction.</t>
  </si>
  <si>
    <t xml:space="preserve">filePos, fileTotal (bytes).</t>
  </si>
  <si>
    <t xml:space="preserve">frac = filePos / fileTotal (0 if fileTotal ≤ 0)</t>
  </si>
  <si>
    <t xml:space="preserve">Source panel progress / seek</t>
  </si>
  <si>
    <t xml:space="preserve">MATH-128</t>
  </si>
  <si>
    <t xml:space="preserve">sdr::ui::ControlWindow3D::updateDerived</t>
  </si>
  <si>
    <t xml:space="preserve">void ControlWindow3D::updateDerived()</t>
  </si>
  <si>
    <t xml:space="preserve">Shows the output rate, transmit centre and span derived from the signal-chain controls.</t>
  </si>
  <si>
    <t xml:space="preserve">rate (MSPS), interpolation, decimation, NCO (MHz), centre (MHz).</t>
  </si>
  <si>
    <t xml:space="preserve">label text.</t>
  </si>
  <si>
    <t xml:space="preserve">out = fs·interp/decim (decim ≤ 0 → 1); centre_tx = centre + NCO; span = ±out/2</t>
  </si>
  <si>
    <t xml:space="preserve">MSPS, MHz</t>
  </si>
  <si>
    <t xml:space="preserve">Signal-chain tab</t>
  </si>
  <si>
    <t xml:space="preserve">MATH-129</t>
  </si>
  <si>
    <t xml:space="preserve">sdr::ui::ControlWindow3D::setH2cThroughput</t>
  </si>
  <si>
    <t xml:space="preserve">void ControlWindow3D::setH2cThroughput(double mibPerSec, int updatesPerSec)</t>
  </si>
  <si>
    <t xml:space="preserve">Compares the H2C link rate with what the DAC consumes and flags starvation.</t>
  </si>
  <si>
    <t xml:space="preserve">mibPerSec (MiB/s, from parseH2cRateLine), generator rate (MSPS).</t>
  </si>
  <si>
    <t xml:space="preserve">status text, m_linkMib, m_h2cStarved.</t>
  </si>
  <si>
    <t xml:space="preserve">need = rate_MSPS·1e6·4/1048576; ratio = link/need; starved = ratio &lt; 0.98; dry% = (1 − ratio)·100</t>
  </si>
  <si>
    <t xml:space="preserve">MiB/s, %</t>
  </si>
  <si>
    <t xml:space="preserve">BackendLauncher H2C rate lines</t>
  </si>
  <si>
    <t xml:space="preserve">One 32-bit I/Q word per DAC stream clock: 200 MSPS → 762.9 MiB/s.</t>
  </si>
  <si>
    <t xml:space="preserve">MATH-130</t>
  </si>
  <si>
    <t xml:space="preserve">sdr::ui::ControlWindow3D::setH2cThroughput [starved threshold]</t>
  </si>
  <si>
    <t xml:space="preserve">const bool starved = ratio &lt; 0.98;</t>
  </si>
  <si>
    <t xml:space="preserve">Link/demand ratio below which the DAC is considered starved (also used in refreshChain as link ≥ 0.98·need).</t>
  </si>
  <si>
    <t xml:space="preserve">0.98</t>
  </si>
  <si>
    <t xml:space="preserve">starved ⇔ link_MiB/s &lt; 0.98·need_MiB/s</t>
  </si>
  <si>
    <t xml:space="preserve">ratio</t>
  </si>
  <si>
    <t xml:space="preserve">setH2cThroughput, refreshChain</t>
  </si>
  <si>
    <t xml:space="preserve">MATH-131</t>
  </si>
  <si>
    <t xml:space="preserve">sdr::ui::ControlWindow3D::refreshChain [H2C link demand]</t>
  </si>
  <si>
    <t xml:space="preserve">const double need = cfg.sampleRateSps * 4.0 / 1048576.0;</t>
  </si>
  <si>
    <t xml:space="preserve">Compares the latest H2C link rate with DAC demand for the chain view.</t>
  </si>
  <si>
    <t xml:space="preserve">cfg.sampleRateSps, m_linkMib (≤ 3 s old).</t>
  </si>
  <si>
    <t xml:space="preserve">label (ok/bad).</t>
  </si>
  <si>
    <t xml:space="preserve">need = fs·4/1048576 MiB/s; full = link ≥ 0.98·need</t>
  </si>
  <si>
    <t xml:space="preserve">Buffer shown as m_h2cChunkBytes/1024 KiB.</t>
  </si>
  <si>
    <t xml:space="preserve">MATH-132</t>
  </si>
  <si>
    <t xml:space="preserve">sdr::ui::ControlWindow3D::refreshChain [C2H capture ratio]</t>
  </si>
  <si>
    <t xml:space="preserve">const double ratio = m_capMib / m_capNeedMib;</t>
  </si>
  <si>
    <t xml:space="preserve">Classifies capture delivery against need in the chain view.</t>
  </si>
  <si>
    <t xml:space="preserve">m_capMib (delivered), m_capNeedMib (from captureNeedMib).</t>
  </si>
  <si>
    <t xml:space="preserve">label; one-channel button.</t>
  </si>
  <si>
    <t xml:space="preserve">ratio = delivered/need; &lt; 0.90 → OVERLOADED (offer 1 channel if &gt; 1); &gt; 1.30 → stream carries more than configured; else OK</t>
  </si>
  <si>
    <t xml:space="preserve">ratio, %</t>
  </si>
  <si>
    <t xml:space="preserve">refreshChain (fed by MainWindow::checkCaptureRate)</t>
  </si>
  <si>
    <t xml:space="preserve">MATH-133</t>
  </si>
  <si>
    <t xml:space="preserve">sdr::ui::MainWindow::checkCaptureRate</t>
  </si>
  <si>
    <t xml:space="preserve">void MainWindow::checkCaptureRate(const sdr::StreamStats&amp; stats)</t>
  </si>
  <si>
    <t xml:space="preserve">Compares delivered C2H throughput with what the configured stream needs; detects overload, stream/config mismatch, stalls and confirms channel switches.</t>
  </si>
  <si>
    <t xml:space="preserve">stats.dmaMBps (MiB/s), streamChannels, format, acq.sampleRateMsps.</t>
  </si>
  <si>
    <t xml:space="preserve">status messages, ControlWindow3D::setCaptureRate, device reset, channel re-config.</t>
  </si>
  <si>
    <t xml:space="preserve">need = captureNeedMib(ch, MSPS, bytesPerSample(format)); ratio = delivered/need; low counter if ratio &lt; 0.90, high if &gt; 1.30; state = −1 after 5 consecutive lows, +1 after 5 highs, 0 when 0.9 ≤ ratio ≤ 1.3</t>
  </si>
  <si>
    <t xml:space="preserve">MiB/s, ratio</t>
  </si>
  <si>
    <t xml:space="preserve">MainWindow stats handler (each StreamStats update)</t>
  </si>
  <si>
    <t xml:space="preserve">Stall: dmaMBps ≤ 0.01 for 12 consecutive updates → device reset (≤ 2 resets per 180 s). Channel switch checked ≥ 3000 ms later via impliedCaptureChannels.</t>
  </si>
  <si>
    <t xml:space="preserve">MATH-134</t>
  </si>
  <si>
    <t xml:space="preserve">sdr::ui::MainWindow::checkCaptureRate [capture ratio bands]</t>
  </si>
  <si>
    <t xml:space="preserve">m_captureLow  = ratio &lt; 0.90 ? m_captureLow + 1 : 0; m_captureHigh = ratio &gt; 1.30 ? m_captureHigh + 1 : 0;</t>
  </si>
  <si>
    <t xml:space="preserve">Delivered/needed capture ratio bands for overload (&lt; 0.90) and over-delivery (&gt; 1.30).</t>
  </si>
  <si>
    <t xml:space="preserve">0.90, 1.30</t>
  </si>
  <si>
    <t xml:space="preserve">overload ⇔ ratio &lt; 0.90; mismatch ⇔ ratio &gt; 1.30</t>
  </si>
  <si>
    <t xml:space="preserve">checkCaptureRate, ControlWindow3D::refreshChain [C2H capture ratio]</t>
  </si>
  <si>
    <t xml:space="preserve">MATH-135</t>
  </si>
  <si>
    <t xml:space="preserve">sdr::ui::MainWindow::transmitGuard</t>
  </si>
  <si>
    <t xml:space="preserve">void MainWindow::transmitGuard(bool starting)</t>
  </si>
  <si>
    <t xml:space="preserve">When the generator starts, reduces capture channels to fit the transmit-time bandwidth budget (and restores them on stop).</t>
  </si>
  <si>
    <t xml:space="preserve">starting; streamChannels, format, sampleRateMsps.</t>
  </si>
  <si>
    <t xml:space="preserve">PL GPIO mode, capture channel count, notices.</t>
  </si>
  <si>
    <t xml:space="preserve">target = captureChannelsWithinBudget(ch, MSPS, bps); need = captureNeedMib(ch, MSPS, bps); mode = plGpioModeForChannels(target)</t>
  </si>
  <si>
    <t xml:space="preserve">channels, MiB/s</t>
  </si>
  <si>
    <t xml:space="preserve">IQ generator start/stop</t>
  </si>
  <si>
    <t xml:space="preserve">Only in DMA mode with the backend running; no change if target ≥ ch.</t>
  </si>
  <si>
    <t xml:space="preserve">MATH-136</t>
  </si>
  <si>
    <t xml:space="preserve">sdr::codec::readScalar</t>
  </si>
  <si>
    <t xml:space="preserve">inline float readScalar(const unsigned char* p, SampleFormat fmt, int half, double fullScale)</t>
  </si>
  <si>
    <t xml:space="preserve">Decodes one I (half = 0) or Q (half = 1) scalar from wire bytes to a float scaled to full scale.</t>
  </si>
  <si>
    <t xml:space="preserve">p: sample pointer; fmt: SampleFormat; half: 0 = I, 1 = Q; fullScale: SourceConfig::fullScale.</t>
  </si>
  <si>
    <t xml:space="preserve">float sample value.</t>
  </si>
  <si>
    <t xml:space="preserve">Cs8/Rs8: v/128·FS; Cu8/Ru8: (v − 128)/128·FS; Cs16/Rs16: v/32768·FS; Cs32/Rs32: v/2147483648·FS; Cf32/Cf64/Rf32/Rf64: v·FS; Cs12Packed: raw12/2048·FS</t>
  </si>
  <si>
    <t xml:space="preserve">normalised (±1 × FS)</t>
  </si>
  <si>
    <t xml:space="preserve">codec::decode</t>
  </si>
  <si>
    <t xml:space="preserve">Real formats return 0 for Q. Integer formats divide by 2^(b−1). Little-endian via memcpy.</t>
  </si>
  <si>
    <t xml:space="preserve">01_sdr_workstation_GUI/src/core/SampleCodec.h</t>
  </si>
  <si>
    <t xml:space="preserve">MATH-137</t>
  </si>
  <si>
    <t xml:space="preserve">sdr::codec::readScalar [Cs12Packed]</t>
  </si>
  <si>
    <t xml:space="preserve">int raw = (half == 0) ? (p[0] | ((p[1] &amp; 0x0F) &lt;&lt; 8)) : ((p[1] &gt;&gt; 4) | (p[2] &lt;&lt; 4)); if (raw &amp; 0x800) raw -= 0x1000;</t>
  </si>
  <si>
    <t xml:space="preserve">Unpacks two signed 12-bit words from 3 bytes and sign-extends.</t>
  </si>
  <si>
    <t xml:space="preserve">p[0..2], half.</t>
  </si>
  <si>
    <t xml:space="preserve">float.</t>
  </si>
  <si>
    <t xml:space="preserve">I = b0 | (b1 &amp; 0x0F)&lt;&lt;8; Q = (b1 &gt;&gt; 4) | b2&lt;&lt;4; if raw &amp; 0x800: raw −= 4096; value = raw/2048·FS</t>
  </si>
  <si>
    <t xml:space="preserve">readScalar</t>
  </si>
  <si>
    <t xml:space="preserve">Layout: b0 = I[7:0], b1 = Q[3:0]|I[11:8], b2 = Q[11:4].</t>
  </si>
  <si>
    <t xml:space="preserve">MATH-138</t>
  </si>
  <si>
    <t xml:space="preserve">sdr::codec::decode</t>
  </si>
  <si>
    <t xml:space="preserve">inline std::size_t decode(const char* data, std::size_t bytes, SampleFormat fmt, int channels, double fullScale, std::vector&lt;IQBlock&gt;&amp; out)</t>
  </si>
  <si>
    <t xml:space="preserve">De-interleaves raw wire bytes (ch0.I ch0.Q ch1.I ch1.Q …) into per-channel complex vectors.</t>
  </si>
  <si>
    <t xml:space="preserve">data/bytes: raw buffer; fmt; channels; fullScale.</t>
  </si>
  <si>
    <t xml:space="preserve">out[c][f] (cf32); returns frames per channel.</t>
  </si>
  <si>
    <t xml:space="preserve">frameBytes = bytesPerSample(fmt)·max(1, channels); frames = ⌊bytes / frameBytes⌋; out[c][f] = readScalar(base + f·frameBytes + c·bps)</t>
  </si>
  <si>
    <t xml:space="preserve">DspEngine::processBlock (deferred decode of file/DMA blocks)</t>
  </si>
  <si>
    <t xml:space="preserve">Trailing partial frame ignored. Real formats lifted with Q = 0. Channel-outer loop for cache locality.</t>
  </si>
  <si>
    <t xml:space="preserve">MATH-139</t>
  </si>
  <si>
    <t xml:space="preserve">sdr::codec::writeScalar</t>
  </si>
  <si>
    <t xml:space="preserve">inline void writeScalar(unsigned char* p, SampleFormat fmt, int half, float v, double fullScale)</t>
  </si>
  <si>
    <t xml:space="preserve">Encodes one float scalar into a wire format (inverse of readScalar) with clipping and rounding.</t>
  </si>
  <si>
    <t xml:space="preserve">p, fmt, half, v (float), fullScale.</t>
  </si>
  <si>
    <t xml:space="preserve">bytes written at p.</t>
  </si>
  <si>
    <t xml:space="preserve">s = v/FS (if FS &gt; 0); Cs8/Rs8: round(clamp(s,±1)·127); Cu8/Ru8: clamp(round(clamp(s,±1)·127) + 128, 0, 255); Cs16/Rs16: round(clamp·32767); Cs32/Rs32: round(clamp·2147483647); floats: s</t>
  </si>
  <si>
    <t xml:space="preserve">integer codes</t>
  </si>
  <si>
    <t xml:space="preserve">codec::encode (Recorder)</t>
  </si>
  <si>
    <t xml:space="preserve">Encode uses 2^(b−1) − 1 while decode divides by 2^(b−1), so an integer round trip scales by (2^(b−1) − 1)/2^(b−1) (e.g. 127/128 for 8-bit).</t>
  </si>
  <si>
    <t xml:space="preserve">MATH-140</t>
  </si>
  <si>
    <t xml:space="preserve">sdr::codec::writeScalar [Cs12Packed]</t>
  </si>
  <si>
    <t xml:space="preserve">int q = static_cast&lt;int&gt;(std::lround(std::clamp(s, -1.0, 1.0) * 2047.0)) &amp; 0xFFF;</t>
  </si>
  <si>
    <t xml:space="preserve">Packs a 12-bit signed value into the 3-byte I/Q layout.</t>
  </si>
  <si>
    <t xml:space="preserve">s (normalised), half.</t>
  </si>
  <si>
    <t xml:space="preserve">p[0..2] updated.</t>
  </si>
  <si>
    <t xml:space="preserve">q = round(clamp(s, ±1)·2047) &amp; 0xFFF; I: p0 = q &amp; 0xFF, p1 = (p1 &amp; 0xF0) | (q&gt;&gt;8 &amp; 0x0F); Q: p1 = (p1 &amp; 0x0F) | (q &amp; 0x0F)&lt;&lt;4, p2 = (q&gt;&gt;4) &amp; 0xFF</t>
  </si>
  <si>
    <t xml:space="preserve">12-bit codes</t>
  </si>
  <si>
    <t xml:space="preserve">writeScalar</t>
  </si>
  <si>
    <t xml:space="preserve">MATH-141</t>
  </si>
  <si>
    <t xml:space="preserve">sdr::codec::encode</t>
  </si>
  <si>
    <t xml:space="preserve">inline std::size_t encode(const std::vector&lt;IQBlock&gt;&amp; in, SampleFormat fmt, double fullScale, std::vector&lt;char&gt;&amp; out)</t>
  </si>
  <si>
    <t xml:space="preserve">Re-interleaves per-channel IQ into the wire format.</t>
  </si>
  <si>
    <t xml:space="preserve">in[c][f], fmt, fullScale.</t>
  </si>
  <si>
    <t xml:space="preserve">out bytes; returns frames.</t>
  </si>
  <si>
    <t xml:space="preserve">out size = frames·bytesPerSample(fmt)·nch; row f, channel c at offset f·frameBytes + c·bps</t>
  </si>
  <si>
    <t xml:space="preserve">frames = in[0].size().</t>
  </si>
  <si>
    <t xml:space="preserve">MATH-142</t>
  </si>
  <si>
    <t xml:space="preserve">sdr::bytesPerSample</t>
  </si>
  <si>
    <t xml:space="preserve">inline int bytesPerSample(SampleFormat f)</t>
  </si>
  <si>
    <t xml:space="preserve">Bytes occupied by one sample (complex I+Q, or one real scalar) of a wire format, per channel.</t>
  </si>
  <si>
    <t xml:space="preserve">f: SampleFormat.</t>
  </si>
  <si>
    <t xml:space="preserve">bytes per sample per channel.</t>
  </si>
  <si>
    <t xml:space="preserve">Cs8/Cu8 = 2; Cs12Packed = 3; Cs16 = 4; Cs32 = 8; Cf32 = 8; Cf64 = 16; Rs8/Ru8 = 1; Rs16 = 2; Rs32 = 4; Rf32 = 4; Rf64 = 8</t>
  </si>
  <si>
    <t xml:space="preserve">codec::decode/encode, SampleBlock::samplesPerChannel, FileSource, DmaSource, MainWindow::checkCaptureRate (capture need)</t>
  </si>
  <si>
    <t xml:space="preserve">Unknown value falls back to 8. Frame size on the wire = bytesPerSample × channels.</t>
  </si>
  <si>
    <t xml:space="preserve">MATH-143</t>
  </si>
  <si>
    <t xml:space="preserve">sdr::SampleBlock::samplesPerChannel</t>
  </si>
  <si>
    <t xml:space="preserve">std::size_t samplesPerChannel() const</t>
  </si>
  <si>
    <t xml:space="preserve">Per-channel sample count of a block, for decoded or raw wire data.</t>
  </si>
  <si>
    <t xml:space="preserve">channels or raw bytes, rawFormat, rawChannels.</t>
  </si>
  <si>
    <t xml:space="preserve">decoded: channels[0].size(); raw: ⌊raw.size() / (bytesPerSample(rawFormat)·max(1, rawChannels))⌋</t>
  </si>
  <si>
    <t xml:space="preserve">DspEngine::processBlock, ISignalSource::publish (startSample accounting)</t>
  </si>
  <si>
    <t xml:space="preserve">MATH-144</t>
  </si>
  <si>
    <t xml:space="preserve">sdr::kSimBlocksPerSecond</t>
  </si>
  <si>
    <t xml:space="preserve">constexpr int    kSimBlocksPerSecond = 60;</t>
  </si>
  <si>
    <t xml:space="preserve">Simulator timer rate.</t>
  </si>
  <si>
    <t xml:space="preserve">60</t>
  </si>
  <si>
    <t xml:space="preserve">timer period = 1000/60 = 16 ms (integer)</t>
  </si>
  <si>
    <t xml:space="preserve">blocks/s</t>
  </si>
  <si>
    <t xml:space="preserve">SimulatedSource::start/produce</t>
  </si>
  <si>
    <t xml:space="preserve">MATH-145</t>
  </si>
  <si>
    <t xml:space="preserve">sdr::kSimMaxBlock</t>
  </si>
  <si>
    <t xml:space="preserve">constexpr double kSimMaxBlock        = 16384.0;</t>
  </si>
  <si>
    <t xml:space="preserve">Ceiling on simulated block length; above it the simulator runs slower than real time.</t>
  </si>
  <si>
    <t xml:space="preserve">16384</t>
  </si>
  <si>
    <t xml:space="preserve">blockLen ≤ 16384</t>
  </si>
  <si>
    <t xml:space="preserve">SimulatedSource::produce</t>
  </si>
  <si>
    <t xml:space="preserve">The timer period is the integer 1000/60 = 16 ms (≈ 62.5 ticks/s), so the simulator tops out near 62.5 × 16384 ≈ 1.0 MS/s per channel; perTick still divides by 60.</t>
  </si>
  <si>
    <t xml:space="preserve">MATH-146</t>
  </si>
  <si>
    <t xml:space="preserve">sdr::kNoiseRefRms</t>
  </si>
  <si>
    <t xml:space="preserve">constexpr double kNoiseRefRms        = 0.5;</t>
  </si>
  <si>
    <t xml:space="preserve">Reference RMS against which the simulated SNR sets the noise level.</t>
  </si>
  <si>
    <t xml:space="preserve">0.5</t>
  </si>
  <si>
    <t xml:space="preserve">noiseRms = 0.5·10^(−SNR/20)</t>
  </si>
  <si>
    <t xml:space="preserve">MATH-147</t>
  </si>
  <si>
    <t xml:space="preserve">sdr::kLoopbackGain</t>
  </si>
  <si>
    <t xml:space="preserve">constexpr float  kLoopbackGain       = 0.5f;</t>
  </si>
  <si>
    <t xml:space="preserve">Simulated DAC→ADC loopback gain (6 dB down) so full-scale tones do not clip.</t>
  </si>
  <si>
    <t xml:space="preserve">20·log10(0.5) = −6.02 dB</t>
  </si>
  <si>
    <t xml:space="preserve">linear gain</t>
  </si>
  <si>
    <t xml:space="preserve">SimulatedSource::produce (loopback)</t>
  </si>
  <si>
    <t xml:space="preserve">MATH-148</t>
  </si>
  <si>
    <t xml:space="preserve">sdr::SimulatedSource::renderLoopback</t>
  </si>
  <si>
    <t xml:space="preserve">void SimulatedSource::renderLoopback(IQBlock&amp; dst, double fs)</t>
  </si>
  <si>
    <t xml:space="preserve">Simulated RF loopback (DAC → ADC) of the configured transmit: DDS tone, host generator waveform, or nothing.</t>
  </si>
  <si>
    <t xml:space="preserve">dst block; fs receive rate (Hz); m_tx (TxState).</t>
  </si>
  <si>
    <t xml:space="preserve">dst samples (before loopback gain/noise).</t>
  </si>
  <si>
    <t xml:space="preserve">txPerRx = fsTx/fs (fsTx = dacStreamSps or fs); in-band test |f| &lt; fs/2; branches per DAC source — see block rows</t>
  </si>
  <si>
    <t xml:space="preserve">NCOs assumed matched (DAC NCO = ADC NCO), so transmitted baseband = received baseband.</t>
  </si>
  <si>
    <t xml:space="preserve">MATH-149</t>
  </si>
  <si>
    <t xml:space="preserve">sdr::SimulatedSource::renderLoopback [DDS model]</t>
  </si>
  <si>
    <t xml:space="preserve">const double inc  = std::floor(m_tx.ddsHz * 4294967296.0 / fsTx);</t>
  </si>
  <si>
    <t xml:space="preserve">Models the 32-bit dds_compiler phase accumulator quantisation and synthesises its complex tone.</t>
  </si>
  <si>
    <t xml:space="preserve">m_tx.ddsHz (Hz), fsTx (Hz), fs (Hz).</t>
  </si>
  <si>
    <t xml:space="preserve">dst = e^(jθ[n]); actual DDS frequency.</t>
  </si>
  <si>
    <t xml:space="preserve">inc = ⌊f_DDS·2^32/fsTx⌋; f_act = inc·fsTx/2^32; θ[n+1] = θ[n] + 2π·f_act/fs</t>
  </si>
  <si>
    <t xml:space="preserve">renderLoopback</t>
  </si>
  <si>
    <t xml:space="preserve">Phase wrapped only when &gt; 2π. Out-of-band (|f_act| ≥ fs/2) leaves noise only.</t>
  </si>
  <si>
    <t xml:space="preserve">MATH-150</t>
  </si>
  <si>
    <t xml:space="preserve">sdr::SimulatedSource::renderLoopback [host noise]</t>
  </si>
  <si>
    <t xml:space="preserve">dst[i] = cf32(u(m_rng), u(m_rng)) * static_cast&lt;float&gt;(amp);</t>
  </si>
  <si>
    <t xml:space="preserve">Simulated host Noise waveform.</t>
  </si>
  <si>
    <t xml:space="preserve">amp = clamp(amplitude, 0, 1).</t>
  </si>
  <si>
    <t xml:space="preserve">dst.</t>
  </si>
  <si>
    <t xml:space="preserve">I, Q ~ U(−1, 1)·amp independently</t>
  </si>
  <si>
    <t xml:space="preserve">std::mt19937 seeded 0xC0FFEE.</t>
  </si>
  <si>
    <t xml:space="preserve">MATH-151</t>
  </si>
  <si>
    <t xml:space="preserve">sdr::SimulatedSource::renderLoopback [coherent host loop]</t>
  </si>
  <si>
    <t xml:space="preserve">dst[i] = txSample(a) * (1.0f - t) + txSample(a + 1) * t;</t>
  </si>
  <si>
    <t xml:space="preserve">Plays the generator's loop exactly as renderLoop writes it, resampled to the receive rate by linear interpolation.</t>
  </si>
  <si>
    <t xml:space="preserve">hostToneHz, fsTx, N = max(16, loopPairs), waveform, amp, phaseOffset, iqPhaseDiff.</t>
  </si>
  <si>
    <t xml:space="preserve">k = round(f·N/fsTx); tx[n] = amp·(shape(φ_n) + j·shape(φ_n + iqΔ)), φ_n = phaseOffset + 2π((k·n) mod N)/N; pos += fsTx/fs; y = tx[⌊pos⌋]·(1 − t) + tx[⌊pos⌋+1]·t, t = frac(pos); pos wrapped mod N</t>
  </si>
  <si>
    <t xml:space="preserve">Evaluated on the fly (no 32 MB table for a 16 MiB loop).</t>
  </si>
  <si>
    <t xml:space="preserve">MATH-152</t>
  </si>
  <si>
    <t xml:space="preserve">sdr::SimulatedSource::renderLoopback [non-coherent host stream]</t>
  </si>
  <si>
    <t xml:space="preserve">const double d = wave::kTwoPi * m_tx.hostToneHz / fsTx;</t>
  </si>
  <si>
    <t xml:space="preserve">Ideal exact-frequency stream (coherence off).</t>
  </si>
  <si>
    <t xml:space="preserve">hostToneHz, fsTx, fs, m_txPos.</t>
  </si>
  <si>
    <t xml:space="preserve">φ = phaseOffset + (2π·f/fsTx)·pos; I = amp·shape(φ), Q = amp·shape(φ + iqΔ); pos += fsTx/fs; if pos &gt; 1e9: pos = fmod(pos, fsTx/|f|)</t>
  </si>
  <si>
    <t xml:space="preserve">Board replay spurs are not modelled (ideal signal).</t>
  </si>
  <si>
    <t xml:space="preserve">MATH-153</t>
  </si>
  <si>
    <t xml:space="preserve">sdr::SimulatedSource::nextSymbol</t>
  </si>
  <si>
    <t xml:space="preserve">cf32 SimulatedSource::nextSymbol()</t>
  </si>
  <si>
    <t xml:space="preserve">Draws a random modulation symbol for the simulated modem burst.</t>
  </si>
  <si>
    <t xml:space="preserve">m_cfg.acq.modulation; m_rng.</t>
  </si>
  <si>
    <t xml:space="preserve">complex symbol.</t>
  </si>
  <si>
    <t xml:space="preserve">QPSK: (±1 ± j)·0.707; 16-QAM: (a + jb)·0.316, a,b ∈ {−3,−1,1,3}; 64-QAM: (a + jb)·0.154, a,b ∈ {−7,…,7} odd; NoiseOnly: 0</t>
  </si>
  <si>
    <t xml:space="preserve">0.316 ≈ 1/√10 and 0.154 ≈ 1/√42 (unit average power, matching DspEngine::idealLevels).</t>
  </si>
  <si>
    <t xml:space="preserve">MATH-154</t>
  </si>
  <si>
    <t xml:space="preserve">sdr::SimulatedSource::produce</t>
  </si>
  <si>
    <t xml:space="preserve">void SimulatedSource::produce()</t>
  </si>
  <si>
    <t xml:space="preserve">Generates one block per channel: block length tracking the display rate, modem burst or loopback, carrier offset, AWGN and DC impairment.</t>
  </si>
  <si>
    <t xml:space="preserve">acq.displayRateHz, signalOffsetMHz, snrDb, streamChannels, disp.fftSize.</t>
  </si>
  <si>
    <t xml:space="preserve">SampleBlock (decoded cf32 channels).</t>
  </si>
  <si>
    <t xml:space="preserve">blockLen = clamp(Fs/60, max(2048, 2·N_fft), 16384); noiseRms = 0.5·10^(−SNR/20); Δφ = 2π·f_offset/Fs</t>
  </si>
  <si>
    <t xml:space="preserve">SimulatedSource timer → DspEngine</t>
  </si>
  <si>
    <t xml:space="preserve">Accounts bytes as blockLen·nch·sizeof(cf32) = 8 B/sample. AWGN σ = noiseRms on I and Q independently (complex noise power 2σ²). If 2·N_fft &gt; 16384 (N_fft &gt; 8192) std::clamp receives lo &gt; hi, which is undefined behaviour.</t>
  </si>
  <si>
    <t xml:space="preserve">MATH-155</t>
  </si>
  <si>
    <t xml:space="preserve">sdr::SimulatedSource::produce [loopback channel gain]</t>
  </si>
  <si>
    <t xml:space="preserve">const float g = kLoopbackGain * (1.0f - 0.18f * static_cast&lt;float&gt;(c));</t>
  </si>
  <si>
    <t xml:space="preserve">Per-channel loopback scaling plus noise and DC impairment.</t>
  </si>
  <si>
    <t xml:space="preserve">tx block, channel c.</t>
  </si>
  <si>
    <t xml:space="preserve">dst[c].</t>
  </si>
  <si>
    <t xml:space="preserve">s = tx·0.5·(1 − 0.18c) + N(0, noiseRms²)·(1 + j) + (−0.009 + 0.004j)</t>
  </si>
  <si>
    <t xml:space="preserve">produce</t>
  </si>
  <si>
    <t xml:space="preserve">MATH-156</t>
  </si>
  <si>
    <t xml:space="preserve">sdr::SimulatedSource::produce [per-channel offset &amp; gain]</t>
  </si>
  <si>
    <t xml:space="preserve">const double chOffset = dPhase * (1.0 + 0.35 * c);</t>
  </si>
  <si>
    <t xml:space="preserve">Gives each simulated channel a distinct carrier offset and level.</t>
  </si>
  <si>
    <t xml:space="preserve">Δφ, channel c.</t>
  </si>
  <si>
    <t xml:space="preserve">chOffset (rad/sample), chGain.</t>
  </si>
  <si>
    <t xml:space="preserve">chOffset = Δφ·(1 + 0.35c); chGain = 1 − 0.18c; carrier mix s·e^(jθ), θ += chOffset (wrapped at 2π)</t>
  </si>
  <si>
    <t xml:space="preserve">rad/sample</t>
  </si>
  <si>
    <t xml:space="preserve">MATH-157</t>
  </si>
  <si>
    <t xml:space="preserve">sdr::SimulatedSource::produce [raised-cosine symbol interpolation]</t>
  </si>
  <si>
    <t xml:space="preserve">const float w = 0.5f * (1.0f - std::cos(static_cast&lt;float&gt;(dsp::kPi) * t));</t>
  </si>
  <si>
    <t xml:space="preserve">Cheap raised-cosine transition between consecutive symbols (stand-in for an RRC FIR).</t>
  </si>
  <si>
    <t xml:space="preserve">prevSym, curSym, spsIdx, m_sps = 4.</t>
  </si>
  <si>
    <t xml:space="preserve">pulse-shaped sample.</t>
  </si>
  <si>
    <t xml:space="preserve">t = spsIdx/sps; w = 0.5·(1 − cos(πt)); s = prev·(1 − w) + cur·w</t>
  </si>
  <si>
    <t xml:space="preserve">MATH-158</t>
  </si>
  <si>
    <t xml:space="preserve">sdr::SimulatedSource::produce [burst envelope]</t>
  </si>
  <si>
    <t xml:space="preserve">const double pos   = static_cast&lt;double&gt;(n) / blockLen;</t>
  </si>
  <si>
    <t xml:space="preserve">Slowly drifting burst gate so the time plot shows a raised region.</t>
  </si>
  <si>
    <t xml:space="preserve">n, blockLen, burstPh.</t>
  </si>
  <si>
    <t xml:space="preserve">env multiplier.</t>
  </si>
  <si>
    <t xml:space="preserve">pos = n/blockLen; start = 0.42 + 0.04·sin(2π·burstPh); stop = start + 0.26; env = 0.35 outside; inside env = 0.35 + 0.65·clamp(r, 0, 1) with r ramping over 0.02 at each edge; burstPh += 0.012 per block (mod 1)</t>
  </si>
  <si>
    <t xml:space="preserve">Initial burstPh per channel = i/n.</t>
  </si>
  <si>
    <t xml:space="preserve">MATH-159</t>
  </si>
  <si>
    <t xml:space="preserve">sdr::TxState</t>
  </si>
  <si>
    <t xml:space="preserve">struct TxState {</t>
  </si>
  <si>
    <t xml:space="preserve">Transmit-side state published by the H2C/RFDC window; rendered by the simulator as an RF loopback.</t>
  </si>
  <si>
    <t xml:space="preserve">Defaults: dacSource 0 (DDS), ddsHz 10e6, dacStreamSps 200e6, waveform 0 (Sine), hostToneHz 10e6, amplitude 0.9, phaseOffset 0, iqPhaseDiff −1.5707963267948966 (−π/2), loopPairs 4096, coherent true</t>
  </si>
  <si>
    <t xml:space="preserve">Hz, SPS, rad, fraction of FS</t>
  </si>
  <si>
    <t xml:space="preserve">SimulatedSource::setTxState / renderLoopback</t>
  </si>
  <si>
    <t xml:space="preserve">hostToneHz is the frequency actually transmitted after loop-coherent snapping.</t>
  </si>
  <si>
    <t xml:space="preserve">MATH-160</t>
  </si>
  <si>
    <t xml:space="preserve">sdr::kFloorInit</t>
  </si>
  <si>
    <t xml:space="preserve">constexpr float kFloorInit     = -160.0f;</t>
  </si>
  <si>
    <t xml:space="preserve">Initial value of the per-channel averaging accumulator after clearAverages().</t>
  </si>
  <si>
    <t xml:space="preserve">−160</t>
  </si>
  <si>
    <t xml:space="preserve">DspEngine::clearAverages, computeSpectrum (resize)</t>
  </si>
  <si>
    <t xml:space="preserve">MATH-161</t>
  </si>
  <si>
    <t xml:space="preserve">DspEngine::computeSpectrum [AverageMode::Exponential]</t>
  </si>
  <si>
    <t xml:space="preserve">st.avg[i] = st.avg[i] * (1.0f - a) + mag[i] * a;</t>
  </si>
  <si>
    <t xml:space="preserve">Exponential (IIR) trace averaging, performed on dB values.</t>
  </si>
  <si>
    <t xml:space="preserve">S[k] (dBFS), disp.averageAlpha.</t>
  </si>
  <si>
    <t xml:space="preserve">st.avg[k] (dBFS).</t>
  </si>
  <si>
    <t xml:space="preserve">a = clamp(averageAlpha, 0.01, 1.0); avg[k] ← (1 − a)·avg[k] + a·S[k]; first frame avg = S</t>
  </si>
  <si>
    <t xml:space="preserve">computeSpectrum</t>
  </si>
  <si>
    <t xml:space="preserve">Log-domain average (biased low on noise compared with LinearN). Default α = 0.35.</t>
  </si>
  <si>
    <t xml:space="preserve">MATH-162</t>
  </si>
  <si>
    <t xml:space="preserve">DspEngine::computeSpectrum [AverageMode::LinearN]</t>
  </si>
  <si>
    <t xml:space="preserve">st.linAcc[i] += std::pow(10.0, mag[i] / 10.0);</t>
  </si>
  <si>
    <t xml:space="preserve">Block average of M spectra in linear power (unbiased noise floor).</t>
  </si>
  <si>
    <t xml:space="preserve">S[k] (dBFS), disp.averageCount M.</t>
  </si>
  <si>
    <t xml:space="preserve">st.avg[k] (dBFS) every M frames.</t>
  </si>
  <si>
    <t xml:space="preserve">acc[k] += 10^(S[k]/10) for M = max(1, averageCount) frames; avg[k] = 10·log10(max(acc[k]/M, 1e−20)); acc reset</t>
  </si>
  <si>
    <t xml:space="preserve">Not a sliding average: the output updates once per M frames. Until the first block completes, the raw spectrum is shown. Accumulator is double. Default M = 8.</t>
  </si>
  <si>
    <t xml:space="preserve">MATH-163</t>
  </si>
  <si>
    <t xml:space="preserve">DspEngine::computeSpectrum [AverageMode::MaxHold]</t>
  </si>
  <si>
    <t xml:space="preserve">st.avg[i] = std::max(st.avg[i], mag[i]);</t>
  </si>
  <si>
    <t xml:space="preserve">Peak-hold trace.</t>
  </si>
  <si>
    <t xml:space="preserve">S[k] (dBFS).</t>
  </si>
  <si>
    <t xml:space="preserve">avg[k] ← max(avg[k], S[k])</t>
  </si>
  <si>
    <t xml:space="preserve">Metrics (SNR, peak, floor…) are computed on this held trace too.</t>
  </si>
  <si>
    <t xml:space="preserve">MATH-164</t>
  </si>
  <si>
    <t xml:space="preserve">DspEngine::computeSpectrum [AverageMode::MinHold]</t>
  </si>
  <si>
    <t xml:space="preserve">st.avg[i] = std::min(st.avg[i], mag[i]);</t>
  </si>
  <si>
    <t xml:space="preserve">Minimum-hold trace.</t>
  </si>
  <si>
    <t xml:space="preserve">avg[k] ← min(avg[k], S[k])</t>
  </si>
  <si>
    <t xml:space="preserve">MATH-165</t>
  </si>
  <si>
    <t xml:space="preserve">sdr::kMinAnalysisSamples</t>
  </si>
  <si>
    <t xml:space="preserve">constexpr std::size_t kMinAnalysisSamples = 16384;</t>
  </si>
  <si>
    <t xml:space="preserve">Floor on the per-frame analysis window so short FFTs still measure over enough samples.</t>
  </si>
  <si>
    <t xml:space="preserve">Anonymous-namespace constant in DspEngine.cpp.</t>
  </si>
  <si>
    <t xml:space="preserve">MATH-166</t>
  </si>
  <si>
    <t xml:space="preserve">DspEngine::computeMetrics</t>
  </si>
  <si>
    <t xml:space="preserve">void DspEngine::computeMetrics(ChannelFrame&amp; out, double displayRateHz, double centerHz) const</t>
  </si>
  <si>
    <t xml:space="preserve">Computes all per-channel measurements from the (averaged) spectrum, time slice and constellation: peak, noise floor, SINAD/ENOB/SNR/THD/SFDR, harmonics, OBW, channel power, PAPR, IQ imbalance, EVM, phase error, DC.</t>
  </si>
  <si>
    <t xml:space="preserve">out.spectrum (dBFS, fftshifted, N bins); out.iq (≤512 samples); out.symbols; displayRateHz Fs (Hz); centerHz (Hz, NCO-compensated).</t>
  </si>
  <si>
    <t xml:space="preserve">out.metrics (Metrics struct).</t>
  </si>
  <si>
    <t xml:space="preserve">binHz = Fs/N; see block rows</t>
  </si>
  <si>
    <t xml:space="preserve">dBFS, dB, dBc, Hz, bits, fraction, °</t>
  </si>
  <si>
    <t xml:space="preserve">DspEngine::processBlock → MeasurementPanel, SpectrumPlot overlays, ControlWindow3D (peak/toneValid)</t>
  </si>
  <si>
    <t xml:space="preserve">Runs on whatever trace the averaging mode produced (MaxHold etc. included). Optional SDR_DEBUG_FREQ=1 prints the bin→frequency pipeline once per second.</t>
  </si>
  <si>
    <t xml:space="preserve">MATH-167</t>
  </si>
  <si>
    <t xml:space="preserve">DspEngine::computeMetrics [DC guard]</t>
  </si>
  <si>
    <t xml:space="preserve">const std::size_t guard = static_cast&lt;std::size_t&gt;(std::max(2.0, std::ceil(1.5 * dsp::windowEnbw(m_window)))) + 1;</t>
  </si>
  <si>
    <t xml:space="preserve">Excludes bins around DC (LO leakage / ADC offset) from the fundamental search and noise sums; width scales with window ENBW. Same width gw is used as a tone's half-width.</t>
  </si>
  <si>
    <t xml:space="preserve">N, window ENBW.</t>
  </si>
  <si>
    <t xml:space="preserve">guard (bins), excluded range [lo, hi).</t>
  </si>
  <si>
    <t xml:space="preserve">dcBin = N/2; guard = max(2, ⌈1.5·ENBW⌉) + 1; lo = N/2 − guard, hi = N/2 + guard + 1 (if guard &lt; N/2, else whole span)</t>
  </si>
  <si>
    <t xml:space="preserve">fundamental search, P_NAD sum, binPower width, toneValid edge</t>
  </si>
  <si>
    <t xml:space="preserve">N = 2048: Rect 3, Hann/Hamming/Blackman/Kaiser 4, Blackman-Harris 5, Flat-top 7 bins.</t>
  </si>
  <si>
    <t xml:space="preserve">MATH-168</t>
  </si>
  <si>
    <t xml:space="preserve">DspEngine::computeMetrics [fundamental search]</t>
  </si>
  <si>
    <t xml:space="preserve">std::size_t pk = 0;</t>
  </si>
  <si>
    <t xml:space="preserve">Locates the fundamental as the highest bin outside the DC guard.</t>
  </si>
  <si>
    <t xml:space="preserve">S[k] (dBFS), DC guard.</t>
  </si>
  <si>
    <t xml:space="preserve">pk (bin index), best (dBFS).</t>
  </si>
  <si>
    <t xml:space="preserve">pk = argmax_{i ∉ [lo, hi)} S[i]; fallback pk = argmax S if no finite candidate</t>
  </si>
  <si>
    <t xml:space="preserve">bin</t>
  </si>
  <si>
    <t xml:space="preserve">all spectral metrics</t>
  </si>
  <si>
    <t xml:space="preserve">MATH-169</t>
  </si>
  <si>
    <t xml:space="preserve">DspEngine::computeMetrics [sub-bin parabolic interpolation]</t>
  </si>
  <si>
    <t xml:space="preserve">if (std::abs(denom) &gt; 1e-12) delta = 0.5 * (ym1 - yp1) / denom;</t>
  </si>
  <si>
    <t xml:space="preserve">Refines the peak position below bin resolution with a 3-point parabola on dB values.</t>
  </si>
  <si>
    <t xml:space="preserve">S[pk−1], S[pk], S[pk+1] (dBFS).</t>
  </si>
  <si>
    <t xml:space="preserve">δ (bins).</t>
  </si>
  <si>
    <t xml:space="preserve">δ = 0.5·(y₋₁ − y₊₁)/(y₋₁ − 2y₀ + y₊₁), clamped to [−0.5, 0.5]</t>
  </si>
  <si>
    <t xml:space="preserve">peakFreqHz</t>
  </si>
  <si>
    <t xml:space="preserve">δ = 0 if pk at either end or |denominator| ≤ 1e−12. Same estimator as findPeaks.</t>
  </si>
  <si>
    <t xml:space="preserve">MATH-170</t>
  </si>
  <si>
    <t xml:space="preserve">DspEngine::computeMetrics [binPower]</t>
  </si>
  <si>
    <t xml:space="preserve">auto binPower = [&amp;](std::size_t c) { … for (i = lo2; i &lt;= hi2; ++i) p += lin(s[i]); }</t>
  </si>
  <si>
    <t xml:space="preserve">Linear power belonging to a tone: sum of the bins within ±gw of its centre (lin(dB) = 10^(dB/10)).</t>
  </si>
  <si>
    <t xml:space="preserve">c: centre bin; gw = guard.</t>
  </si>
  <si>
    <t xml:space="preserve">P (linear, dBFS-referenced).</t>
  </si>
  <si>
    <t xml:space="preserve">P(c) = Σ_{i = max(0, c−gw)}^{min(N−1, c+gw)} 10^(S[i]/10)</t>
  </si>
  <si>
    <t xml:space="preserve">P_sig, harmonic powers</t>
  </si>
  <si>
    <t xml:space="preserve">Summing bins captures the window-spread energy (Parseval), so P(c) ≈ ENBW × the peak-bin power of a pure tone.</t>
  </si>
  <si>
    <t xml:space="preserve">MATH-171</t>
  </si>
  <si>
    <t xml:space="preserve">DspEngine::computeMetrics [harmonics H2..H6]</t>
  </si>
  <si>
    <t xml:space="preserve">double off = std::fmod(sigBinOff * h, double(n));</t>
  </si>
  <si>
    <t xml:space="preserve">Locates harmonics 2–6 including folding into the digitised band, sums their power and reports each relative to the fundamental.</t>
  </si>
  <si>
    <t xml:space="preserve">pk, N, binPower.</t>
  </si>
  <si>
    <t xml:space="preserve">P_harm (sum), metrics.harmonicsDbc[0..4] (dBc), worstSpur candidate.</t>
  </si>
  <si>
    <t xml:space="preserve">b₀ = pk − N/2; off_h = fmod(b₀·h, N) wrapped to [−N/2, N/2]; hb = round(off_h + N/2); P_h = binPower(hb); harmonicsDbc[h−2] = 10·log10(P_h / P_sig); P_harm = Σ P_h</t>
  </si>
  <si>
    <t xml:space="preserve">THD, SNR, SFDR</t>
  </si>
  <si>
    <t xml:space="preserve">Harmonic skipped if hb ≥ N or pk − gw &lt; hb &lt; pk + gw (folds onto the fundamental); skipped entries keep their previous value (0 on a fresh Metrics).</t>
  </si>
  <si>
    <t xml:space="preserve">MATH-172</t>
  </si>
  <si>
    <t xml:space="preserve">DspEngine::computeMetrics [noise + distortion]</t>
  </si>
  <si>
    <t xml:space="preserve">double pTotal = 0.0;</t>
  </si>
  <si>
    <t xml:space="preserve">Integrates noise-and-distortion power: every bin except the DC guard and the fundamental's ±gw; also tracks the largest single spur.</t>
  </si>
  <si>
    <t xml:space="preserve">S[k], pk, guard.</t>
  </si>
  <si>
    <t xml:space="preserve">P_NAD (linear), worstSpurLin.</t>
  </si>
  <si>
    <t xml:space="preserve">P_NAD = Σ_{i ∉ DC guard, |i − pk| &gt; gw} 10^(S[i]/10); worstSpur = max(P_h of each harmonic, every remaining bin)</t>
  </si>
  <si>
    <t xml:space="preserve">SINAD, SNR, SFDR</t>
  </si>
  <si>
    <t xml:space="preserve">Harmonic bins are included in P_NAD.</t>
  </si>
  <si>
    <t xml:space="preserve">MATH-173</t>
  </si>
  <si>
    <t xml:space="preserve">DspEngine::computeMetrics [toneValid]</t>
  </si>
  <si>
    <t xml:space="preserve">const double peakOverFloor = double(s[pk]) - medianBin;</t>
  </si>
  <si>
    <t xml:space="preserve">Decides whether a real carrier exists before SINAD/ENOB/SNR are reported.</t>
  </si>
  <si>
    <t xml:space="preserve">S[pk], median bin, N, gw.</t>
  </si>
  <si>
    <t xml:space="preserve">metrics.toneValid (bool), metrics.toneReason (text).</t>
  </si>
  <si>
    <t xml:space="preserve">median = nth_element(S, N/2); peakOverFloor = S[pk] − median; edge = max(gw + 1, N/64); toneValid = (peakOverFloor ≥ 10 dB) ∧ (edge ≤ pk &lt; N − edge)</t>
  </si>
  <si>
    <t xml:space="preserve">SINAD/ENOB/SNR gating; ControlWindow3D::setReceivedPeak</t>
  </si>
  <si>
    <t xml:space="preserve">The median uses a function-local static scratch vector. N = 2048 → edge ≥ 32 bins.</t>
  </si>
  <si>
    <t xml:space="preserve">MATH-174</t>
  </si>
  <si>
    <t xml:space="preserve">DspEngine::computeMetrics::kMinPeakOverFloorDb</t>
  </si>
  <si>
    <t xml:space="preserve">constexpr double kMinPeakOverFloorDb = 10.0;</t>
  </si>
  <si>
    <t xml:space="preserve">Minimum peak-over-median margin for a carrier to be considered present (gates SINAD/ENOB/SNR).</t>
  </si>
  <si>
    <t xml:space="preserve">10.0</t>
  </si>
  <si>
    <t xml:space="preserve">toneValid requires S[pk] − median(S) ≥ 10 dB</t>
  </si>
  <si>
    <t xml:space="preserve">DspEngine::computeMetrics (toneValid)</t>
  </si>
  <si>
    <t xml:space="preserve">MATH-175</t>
  </si>
  <si>
    <t xml:space="preserve">DspEngine::computeMetrics [SINAD]</t>
  </si>
  <si>
    <t xml:space="preserve">out.metrics.sinadDb = 10.0 * std::log10(pSig / pNad);</t>
  </si>
  <si>
    <t xml:space="preserve">Signal-to-noise-and-distortion ratio (IEEE-1241 style).</t>
  </si>
  <si>
    <t xml:space="preserve">P_sig = binPower(pk), P_NAD.</t>
  </si>
  <si>
    <t xml:space="preserve">metrics.sinadDb (dB).</t>
  </si>
  <si>
    <t xml:space="preserve">SINAD_dB = 10·log10(P_sig / P_NAD)</t>
  </si>
  <si>
    <t xml:space="preserve">ENOB, MeasurementPanel</t>
  </si>
  <si>
    <t xml:space="preserve">Only when toneValid ∧ P_sig &gt; 0 ∧ P_NAD &gt; 0; otherwise SINAD = ENOB = SNR = 0.</t>
  </si>
  <si>
    <t xml:space="preserve">MATH-176</t>
  </si>
  <si>
    <t xml:space="preserve">DspEngine::computeMetrics [ENOB]</t>
  </si>
  <si>
    <t xml:space="preserve">out.metrics.enob = (out.metrics.sinadDb - 1.76) / 6.02;</t>
  </si>
  <si>
    <t xml:space="preserve">Effective number of bits from SINAD.</t>
  </si>
  <si>
    <t xml:space="preserve">SINAD_dB.</t>
  </si>
  <si>
    <t xml:space="preserve">metrics.enob (bits).</t>
  </si>
  <si>
    <t xml:space="preserve">ENOB = (SINAD_dB − 1.76) / 6.02</t>
  </si>
  <si>
    <t xml:space="preserve">Gated by toneValid (0 otherwise).</t>
  </si>
  <si>
    <t xml:space="preserve">MATH-177</t>
  </si>
  <si>
    <t xml:space="preserve">DspEngine::computeMetrics [SNR]</t>
  </si>
  <si>
    <t xml:space="preserve">out.metrics.snrDb = 10.0 * std::log10(pSig / pNoiseOnly);</t>
  </si>
  <si>
    <t xml:space="preserve">True SNR: signal against integrated noise with harmonic power removed.</t>
  </si>
  <si>
    <t xml:space="preserve">P_sig, P_NAD, P_harm.</t>
  </si>
  <si>
    <t xml:space="preserve">metrics.snrDb (dB).</t>
  </si>
  <si>
    <t xml:space="preserve">P_noise = P_NAD − P_harm if P_NAD &gt; P_harm else P_NAD; SNR_dB = 10·log10(P_sig / P_noise)</t>
  </si>
  <si>
    <t xml:space="preserve">MeasurementPanel, SpectrumPlot info box</t>
  </si>
  <si>
    <t xml:space="preserve">Gated by toneValid. Distinct from peakToFloorDb.</t>
  </si>
  <si>
    <t xml:space="preserve">MATH-178</t>
  </si>
  <si>
    <t xml:space="preserve">DspEngine::computeMetrics [THD]</t>
  </si>
  <si>
    <t xml:space="preserve">out.metrics.thdDbc = 10.0 * std::log10(pHarm / pSig);</t>
  </si>
  <si>
    <t xml:space="preserve">Total harmonic distortion (H2..H6) relative to the fundamental.</t>
  </si>
  <si>
    <t xml:space="preserve">P_harm, P_sig.</t>
  </si>
  <si>
    <t xml:space="preserve">metrics.thdDbc (dBc).</t>
  </si>
  <si>
    <t xml:space="preserve">THD_dBc = 10·log10(P_harm / P_sig)</t>
  </si>
  <si>
    <t xml:space="preserve">Computed whenever P_sig &gt; 0 and P_harm &gt; 0 — not gated by toneValid.</t>
  </si>
  <si>
    <t xml:space="preserve">MATH-179</t>
  </si>
  <si>
    <t xml:space="preserve">DspEngine::computeMetrics [SFDR]</t>
  </si>
  <si>
    <t xml:space="preserve">out.metrics.sfdrDbc = 10.0 * std::log10(pSig / worstSpurLin);</t>
  </si>
  <si>
    <t xml:space="preserve">Spurious-free dynamic range: fundamental over the largest spur (harmonic group or any single remaining bin).</t>
  </si>
  <si>
    <t xml:space="preserve">P_sig, worstSpurLin.</t>
  </si>
  <si>
    <t xml:space="preserve">metrics.sfdrDbc (dBc).</t>
  </si>
  <si>
    <t xml:space="preserve">SFDR_dBc = 10·log10(P_sig / max_spur)</t>
  </si>
  <si>
    <t xml:space="preserve">Not gated by toneValid. P_sig is a multi-bin sum while non-harmonic spurs are single bins.</t>
  </si>
  <si>
    <t xml:space="preserve">MATH-180</t>
  </si>
  <si>
    <t xml:space="preserve">DspEngine::computeMetrics [peak frequency &amp; level]</t>
  </si>
  <si>
    <t xml:space="preserve">out.metrics.peakDbfs   = *peakIt; out.metrics.peakFreqHz = centerHz + ((static_cast&lt;double&gt;(pk) + delta) - n / 2.0) * binHz;</t>
  </si>
  <si>
    <t xml:space="preserve">Peak level and interpolated peak frequency of the fundamental.</t>
  </si>
  <si>
    <t xml:space="preserve">S[pk], pk, δ, centerHz, binHz.</t>
  </si>
  <si>
    <t xml:space="preserve">metrics.peakDbfs (dBFS), metrics.peakFreqHz (Hz).</t>
  </si>
  <si>
    <t xml:space="preserve">peakDbfs = S[pk]; f_peak = centerHz + (pk + δ − N/2)·Fs/N</t>
  </si>
  <si>
    <t xml:space="preserve">dBFS, Hz</t>
  </si>
  <si>
    <t xml:space="preserve">MeasurementPanel, SpectrumPlot info box, MainWindow → ControlWindow3D::setReceivedPeak</t>
  </si>
  <si>
    <t xml:space="preserve">peakDbfs is the raw bin value (no parabolic level correction, unlike findPeaks).</t>
  </si>
  <si>
    <t xml:space="preserve">MATH-181</t>
  </si>
  <si>
    <t xml:space="preserve">DspEngine::computeMetrics [noise floor]</t>
  </si>
  <si>
    <t xml:space="preserve">out.metrics.noiseFloorDbfs = sorted[n / 2];</t>
  </si>
  <si>
    <t xml:space="preserve">Noise floor as the median bin level (robust to the carrier).</t>
  </si>
  <si>
    <t xml:space="preserve">S[k].</t>
  </si>
  <si>
    <t xml:space="preserve">metrics.noiseFloorDbfs (dBFS per bin).</t>
  </si>
  <si>
    <t xml:space="preserve">noiseFloor = median(S) via nth_element at N/2</t>
  </si>
  <si>
    <t xml:space="preserve">dBFS/bin</t>
  </si>
  <si>
    <t xml:space="preserve">peakToFloorDb, findPeaks gate, SpectrumPlot noise-floor line</t>
  </si>
  <si>
    <t xml:space="preserve">Per-bin value; not normalised to dBFS/Hz (no ENBW or binHz correction).</t>
  </si>
  <si>
    <t xml:space="preserve">MATH-182</t>
  </si>
  <si>
    <t xml:space="preserve">DspEngine::computeMetrics [peak-to-floor]</t>
  </si>
  <si>
    <t xml:space="preserve">out.metrics.peakToFloorDb  = out.metrics.peakDbfs - out.metrics.noiseFloorDbfs;</t>
  </si>
  <si>
    <t xml:space="preserve">Display contrast: peak bin over median bin.</t>
  </si>
  <si>
    <t xml:space="preserve">peakDbfs, noiseFloorDbfs.</t>
  </si>
  <si>
    <t xml:space="preserve">metrics.peakToFloorDb (dB).</t>
  </si>
  <si>
    <t xml:space="preserve">peakToFloor = peakDbfs − noiseFloorDbfs</t>
  </si>
  <si>
    <t xml:space="preserve">Explicitly not SNR (two single bins).</t>
  </si>
  <si>
    <t xml:space="preserve">MATH-183</t>
  </si>
  <si>
    <t xml:space="preserve">DspEngine::computeMetrics [99 % occupied bandwidth]</t>
  </si>
  <si>
    <t xml:space="preserve">out.metrics.occupiedBwHz = (hi &gt; lo) ? (hi - lo) * binHz : 0.0;</t>
  </si>
  <si>
    <t xml:space="preserve">99 % occupied bandwidth integrated in linear power from both band edges.</t>
  </si>
  <si>
    <t xml:space="preserve">S[k], binHz.</t>
  </si>
  <si>
    <t xml:space="preserve">metrics.occupiedBwHz (Hz); lo, hi bin indices.</t>
  </si>
  <si>
    <t xml:space="preserve">P_tot = Σ10^(S/10); lo = first i with cumulative-from-left ≥ 0.005·P_tot; hi = first i with cumulative-from-right ≥ 0.005·P_tot; OBW = (hi − lo)·Fs/N</t>
  </si>
  <si>
    <t xml:space="preserve">SpectrumPlot OBW overlay, MeasurementPanel</t>
  </si>
  <si>
    <t xml:space="preserve">DC guard not excluded. Computed only if P_tot &gt; 0.</t>
  </si>
  <si>
    <t xml:space="preserve">MATH-184</t>
  </si>
  <si>
    <t xml:space="preserve">DspEngine::computeMetrics [channel power]</t>
  </si>
  <si>
    <t xml:space="preserve">out.metrics.channelPowerDb = 10.0 * std::log10(band &gt; 1e-20 ? band : 1e-20);</t>
  </si>
  <si>
    <t xml:space="preserve">Integrated power inside the 99 % occupied band.</t>
  </si>
  <si>
    <t xml:space="preserve">lin[lo..hi].</t>
  </si>
  <si>
    <t xml:space="preserve">metrics.channelPowerDb (dB re full scale).</t>
  </si>
  <si>
    <t xml:space="preserve">P_ch = 10·log10(max(Σ_{i=lo}^{hi} 10^(S[i]/10), 1e−20))</t>
  </si>
  <si>
    <t xml:space="preserve">Bins summed directly at the coherent-gain scale, so a pure tone integrates to ≈ ENBW × its peak-bin power.</t>
  </si>
  <si>
    <t xml:space="preserve">MATH-185</t>
  </si>
  <si>
    <t xml:space="preserve">DspEngine::computeMetrics [peak table separation]</t>
  </si>
  <si>
    <t xml:space="preserve">const int minSep = std::max(2, static_cast&lt;int&gt;(n * m_cfg.disp.peakExcursionPct / 100.0));</t>
  </si>
  <si>
    <t xml:space="preserve">Converts the peak-excursion percentage into a minimum bin separation and runs findPeaks.</t>
  </si>
  <si>
    <t xml:space="preserve">N, disp.peakExcursionPct (%), peakThreshDb, peakCount, noiseFloorDbfs.</t>
  </si>
  <si>
    <t xml:space="preserve">metrics.peaks.</t>
  </si>
  <si>
    <t xml:space="preserve">minSep = max(2, ⌊N·peakExcursionPct/100⌋)</t>
  </si>
  <si>
    <t xml:space="preserve">findPeaks</t>
  </si>
  <si>
    <t xml:space="preserve">Defaults: 4 % → 81 bins at N = 2048; threshold 10 dB over floor; 5 peaks. Only when disp.peakSearch.</t>
  </si>
  <si>
    <t xml:space="preserve">MATH-186</t>
  </si>
  <si>
    <t xml:space="preserve">sdr::dsp::toDbfs</t>
  </si>
  <si>
    <t xml:space="preserve">inline float toDbfs(float magSq, float scale)</t>
  </si>
  <si>
    <t xml:space="preserve">Converts a squared FFT magnitude to dBFS with a calibration scale.</t>
  </si>
  <si>
    <t xml:space="preserve">magSq: |X[k]|² (linear); scale: calibration factor (computeSpectrum passes 1/(G²·0.25)).</t>
  </si>
  <si>
    <t xml:space="preserve">Level in dBFS (float).</t>
  </si>
  <si>
    <t xml:space="preserve">dB = 10·log10(max(magSq·scale, 1e−20))</t>
  </si>
  <si>
    <t xml:space="preserve">DspEngine::computeSpectrum (CPU and GPU-offload paths)</t>
  </si>
  <si>
    <t xml:space="preserve">1e−20 floor ⇒ minimum −200 dBFS; avoids log10(0).</t>
  </si>
  <si>
    <t xml:space="preserve">MATH-187</t>
  </si>
  <si>
    <t xml:space="preserve">sdr::dsp::findPeaks</t>
  </si>
  <si>
    <t xml:space="preserve">inline std::vector&lt;Peak&gt; findPeaks(const std::vector&lt;float&gt;&amp; spec, double centreHz, double spanHz, double floorDb, double threshDb, int maxCount, int minSepBins)</t>
  </si>
  <si>
    <t xml:space="preserve">Peak table: strongest local maxima above floor+threshold, each at least minSepBins from every stronger accepted peak, with parabolic sub-bin refinement.</t>
  </si>
  <si>
    <t xml:space="preserve">spec: dBFS spectrum (fftshifted, N bins); centreHz: axis centre (Hz); spanHz: Fs (Hz); floorDb: noise floor (dBFS); threshDb: dB above floor; maxCount: max peaks; minSepBins: min separation (bins).</t>
  </si>
  <si>
    <t xml:space="preserve">std::vector&lt;Peak&gt; {freqHz (Hz), levelDbfs (dBFS)}, strongest first.</t>
  </si>
  <si>
    <t xml:space="preserve">binHz = spanHz/N; candidate i if S[i] ≥ S[i−1] and S[i] &gt; S[i+1] and S[i] &gt; floorDb + threshDb; δ = 0.5·(S[i−1] − S[i+1])/(S[i−1] − 2S[i] + S[i+1]), clamp ±0.5; f = centreHz + (i + δ − N/2)·binHz; level = S[i] − 0.25·(S[i−1] − S[i+1])·δ</t>
  </si>
  <si>
    <t xml:space="preserve">DspEngine::computeMetrics (when disp.peakSearch) → Metrics::peaks → SpectrumPlot peak markers / peak table</t>
  </si>
  <si>
    <t xml:space="preserve">Returns empty if N &lt; 3 or maxCount ≤ 0. δ = 0 when |denominator| ≤ 1e−12. Interpolation done on dB values. Candidates sorted by level; separation test |i − t| &lt; minSepBins rejects.</t>
  </si>
  <si>
    <t xml:space="preserve">MATH-188</t>
  </si>
  <si>
    <t xml:space="preserve">sdr::Metrics</t>
  </si>
  <si>
    <t xml:space="preserve">struct Metrics {</t>
  </si>
  <si>
    <t xml:space="preserve">All per-channel measurement results produced by DspEngine::computeMetrics / computeConstellation.</t>
  </si>
  <si>
    <t xml:space="preserve">peakDbfs (dBFS), peakFreqHz (Hz), noiseFloorDbfs (dBFS), snrDb (dB), occupiedBwHz (Hz), channelPowerDb (dB), evm (fraction), rms, peakAmplitude, paprDb (dB), phaseErrDeg (°), residualHz (Hz), residualValid, sfdrDbc, thdDbc (dBc), sinadDb (dB), enob (bits), toneValid, toneReason, peakToFloorDb (dB), harmonicsDbc[5] (H2..H6, dBc), dcOffset, iqImbalanceDb (dB), peaks</t>
  </si>
  <si>
    <t xml:space="preserve">mixed</t>
  </si>
  <si>
    <t xml:space="preserve">MeasurementPanel, SpectrumPlot, ConstellationPlot, ControlWindow3D</t>
  </si>
  <si>
    <t xml:space="preserve">evm is a fraction (0.03 = 3 %). peakToFloorDb is a display contrast figure, not SNR.</t>
  </si>
  <si>
    <t xml:space="preserve">MATH-189</t>
  </si>
  <si>
    <t xml:space="preserve">DspEngine::processBlock [scope trigger]</t>
  </si>
  <si>
    <t xml:space="preserve">std::size_t trig = 0;</t>
  </si>
  <si>
    <t xml:space="preserve">Oscilloscope-style trigger: first rising zero crossing of I starts the displayed slice.</t>
  </si>
  <si>
    <t xml:space="preserve">m_work (DDC output).</t>
  </si>
  <si>
    <t xml:space="preserve">trig index; cf.iq = up to kMaxTimePoints contiguous samples from trig.</t>
  </si>
  <si>
    <t xml:space="preserve">trig = first i ∈ [1, min(len/4, 8192)) with Re(x[i−1]) ≤ 0 and Re(x[i]) &gt; 0, else 0; plotted = min(512, len − trig)</t>
  </si>
  <si>
    <t xml:space="preserve">TimeDomainPlot, time-domain metrics</t>
  </si>
  <si>
    <t xml:space="preserve">Sample values unchanged; only which samples are shown.</t>
  </si>
  <si>
    <t xml:space="preserve">MATH-190</t>
  </si>
  <si>
    <t xml:space="preserve">DspEngine::computeMetrics [RMS / peak / PAPR]</t>
  </si>
  <si>
    <t xml:space="preserve">out.metrics.paprDb = (meanSq &gt; 1e-20) ? 10.0 * std::log10((peakAmp * peakAmp) / meanSq) : 0.0;</t>
  </si>
  <si>
    <t xml:space="preserve">Time-domain RMS, peak amplitude and peak-to-average power ratio of the plotted slice.</t>
  </si>
  <si>
    <t xml:space="preserve">out.iq (≤ 512 contiguous samples).</t>
  </si>
  <si>
    <t xml:space="preserve">metrics.peakAmplitude, metrics.rms (if not already set), metrics.paprDb (dB).</t>
  </si>
  <si>
    <t xml:space="preserve">meanSq = Σ|v|²/K; rms = √meanSq; peakAmp = max|v|; PAPR_dB = 10·log10(peakAmp²/meanSq)</t>
  </si>
  <si>
    <t xml:space="preserve">linear FS, dB</t>
  </si>
  <si>
    <t xml:space="preserve">rms here is used only if the constellation path did not set metrics.rms. PAPR = 0 when meanSq ≤ 1e−20.</t>
  </si>
  <si>
    <t xml:space="preserve">MATH-191</t>
  </si>
  <si>
    <t xml:space="preserve">DspEngine::computeMetrics [IQ imbalance]</t>
  </si>
  <si>
    <t xml:space="preserve">out.metrics.iqImbalanceDb = (sumQ2 &gt; 1e-20 &amp;&amp; sumI2 &gt; 1e-20) ? 10.0 * std::log10(sumI2 / sumQ2) : 0.0;</t>
  </si>
  <si>
    <t xml:space="preserve">Gain imbalance between I and Q rails over the plotted slice.</t>
  </si>
  <si>
    <t xml:space="preserve">out.iq.</t>
  </si>
  <si>
    <t xml:space="preserve">metrics.iqImbalanceDb (dB).</t>
  </si>
  <si>
    <t xml:space="preserve">IQ_imb_dB = 10·log10(ΣI² / ΣQ²)</t>
  </si>
  <si>
    <t xml:space="preserve">0 if either sum ≤ 1e−20. Real-only formats (Q = 0) give 0.</t>
  </si>
  <si>
    <t xml:space="preserve">MATH-192</t>
  </si>
  <si>
    <t xml:space="preserve">sdr::byteSizeText</t>
  </si>
  <si>
    <t xml:space="preserve">QString byteSizeText(qint64 bytes)</t>
  </si>
  <si>
    <t xml:space="preserve">Formats an exact byte size as MiB, KiB or B.</t>
  </si>
  <si>
    <t xml:space="preserve">MiB if bytes ≥ 2^20 and divisible by 2^20 (bytes &gt;&gt; 20); else KiB if ≥ 1024 and divisible (bytes &gt;&gt; 10); else B</t>
  </si>
  <si>
    <t xml:space="preserve">MiB/KiB/B</t>
  </si>
  <si>
    <t xml:space="preserve">BackendLauncher log/status messages</t>
  </si>
  <si>
    <t xml:space="preserve">ControlWindow3D has a similar static sizeText() that always falls back to KiB.</t>
  </si>
  <si>
    <t xml:space="preserve">MATH-193</t>
  </si>
  <si>
    <t xml:space="preserve">sdr::ResourceMonitor::formatBytes</t>
  </si>
  <si>
    <t xml:space="preserve">QString ResourceMonitor::formatBytes(quint64 b, int decimals)</t>
  </si>
  <si>
    <t xml:space="preserve">Human-readable byte count in binary units.</t>
  </si>
  <si>
    <t xml:space="preserve">b (bytes), decimals (default 1).</t>
  </si>
  <si>
    <t xml:space="preserve">text "v unit".</t>
  </si>
  <si>
    <t xml:space="preserve">v = b; while v ≥ 1024 and i &lt; 5: v ← v/1024, i ← i+1; unit = [B, KiB, MiB, GiB, TiB, PiB][i]</t>
  </si>
  <si>
    <t xml:space="preserve">B…PiB</t>
  </si>
  <si>
    <t xml:space="preserve">RecordingGuard messages, ResourceMonitor alerts</t>
  </si>
  <si>
    <t xml:space="preserve">0 decimals for bytes.</t>
  </si>
  <si>
    <t xml:space="preserve">MATH-194</t>
  </si>
  <si>
    <t xml:space="preserve">sdr::ui::engFreq</t>
  </si>
  <si>
    <t xml:space="preserve">QString engFreq(double hz)</t>
  </si>
  <si>
    <t xml:space="preserve">Engineering-unit frequency text for overlays.</t>
  </si>
  <si>
    <t xml:space="preserve">hz.</t>
  </si>
  <si>
    <t xml:space="preserve">|f| ≥ 1e9 → f/1e9 GHz (4 dp); ≥ 1e6 → MHz (3 dp); ≥ 1e3 → kHz (2 dp); else Hz (1 dp)</t>
  </si>
  <si>
    <t xml:space="preserve">Hz/kHz/MHz/GHz</t>
  </si>
  <si>
    <t xml:space="preserve">SpectrumPlot (peak label, OBW, info box)</t>
  </si>
  <si>
    <t xml:space="preserve">Anonymous namespace in Plots.cpp.</t>
  </si>
  <si>
    <t xml:space="preserve">MATH-195</t>
  </si>
  <si>
    <t xml:space="preserve">sdr::plGpioModeForChannels</t>
  </si>
  <si>
    <t xml:space="preserve">inline int plGpioModeForChannels(int channels)</t>
  </si>
  <si>
    <t xml:space="preserve">Maps a capture channel count to the PL GPIO routing mode (firmware menu 10).</t>
  </si>
  <si>
    <t xml:space="preserve">channels.</t>
  </si>
  <si>
    <t xml:space="preserve">mode 1/2/3.</t>
  </si>
  <si>
    <t xml:space="preserve">mode = 3 if channels ≥ 4; 2 if channels ≥ 2; else 1</t>
  </si>
  <si>
    <t xml:space="preserve">ControlWindow3D::restorePlGpioModeFor uses the same mapping inline.</t>
  </si>
  <si>
    <t xml:space="preserve">MATH-196</t>
  </si>
  <si>
    <t xml:space="preserve">sdr::hw::kWarnFraction</t>
  </si>
  <si>
    <t xml:space="preserve">constexpr double kWarnFraction = 0.90;</t>
  </si>
  <si>
    <t xml:space="preserve">Fraction of a converter's max rate above which the configuration is flagged as near the limit.</t>
  </si>
  <si>
    <t xml:space="preserve">0.90</t>
  </si>
  <si>
    <t xml:space="preserve">warn if rate &gt; 0.90·max</t>
  </si>
  <si>
    <t xml:space="preserve">checkConverter</t>
  </si>
  <si>
    <t xml:space="preserve">01_sdr_workstation_GUI/src/core/ConfigValidator.cpp</t>
  </si>
  <si>
    <t xml:space="preserve">MATH-197</t>
  </si>
  <si>
    <t xml:space="preserve">sdr::hw::checkConverter</t>
  </si>
  <si>
    <t xml:space="preserve">void checkConverter(const BoardSpec&amp; b, const ConverterSpec&amp; c, const QString&amp; label, int reqChannels, double reqRateGsps, ValidationResult&amp; r)</t>
  </si>
  <si>
    <t xml:space="preserve">Validates requested channels and sample rate against one converter's limits (anonymous-namespace helper in ConfigValidator.cpp).</t>
  </si>
  <si>
    <t xml:space="preserve">board, converter spec, label, reqChannels, reqRateGsps.</t>
  </si>
  <si>
    <t xml:space="preserve">findings appended.</t>
  </si>
  <si>
    <t xml:space="preserve">Error if reqChannels &gt; c.channels or ≤ 0; Error if rate &gt; max; Warning if rate &gt; 0.90·max (utilisation = 100·rate/max %); Info if 0 &lt; rate &lt; min</t>
  </si>
  <si>
    <t xml:space="preserve">GSPS, %</t>
  </si>
  <si>
    <t xml:space="preserve">sdr::hw::validate</t>
  </si>
  <si>
    <t xml:space="preserve">Unknown channel count / unverified rate → Warning (cannot check). Below-minimum is informational (fabric decimation).</t>
  </si>
  <si>
    <t xml:space="preserve">MATH-198</t>
  </si>
  <si>
    <t xml:space="preserve">ValidationResult validate(const RequestedConfig&amp; req)</t>
  </si>
  <si>
    <t xml:space="preserve">Full configuration validation including ADC+DAC coexistence checks.</t>
  </si>
  <si>
    <t xml:space="preserve">req (board, mode, channels, rates in GSPS).</t>
  </si>
  <si>
    <t xml:space="preserve">ValidationResult.</t>
  </si>
  <si>
    <t xml:space="preserve">ADC+DAC: Error if maxStreamChannels &gt; 0 and adcCh + dacCh &gt; 2·maxStreamChannels; Warning (both maxima verified, both rates &gt; 0) if max(rateA, rateD)/min(rateA, rateD) &gt; 8</t>
  </si>
  <si>
    <t xml:space="preserve">channels, ratio</t>
  </si>
  <si>
    <t xml:space="preserve">Launcher / ConfigDialog</t>
  </si>
  <si>
    <t xml:space="preserve">Board notes are Warning when the board has unverified specs.</t>
  </si>
  <si>
    <t xml:space="preserve">MATH-199</t>
  </si>
  <si>
    <t xml:space="preserve">sdr::hw::BoardSpec::maxChannelsFor</t>
  </si>
  <si>
    <t xml:space="preserve">int BoardSpec::maxChannelsFor(bool useAdc, bool useDac) const</t>
  </si>
  <si>
    <t xml:space="preserve">Streamable channel count for a data-flow mode: tighter of the converters used and the host path.</t>
  </si>
  <si>
    <t xml:space="preserve">useAdc, useDac.</t>
  </si>
  <si>
    <t xml:space="preserve">n = adc.channels (if ADC); n = n == 0 ? dac.channels : min(n, dac.channels) (if DAC); n == 0 → max(adc, dac); if maxStreamChannels &gt; 0: n = min(n, maxStreamChannels)</t>
  </si>
  <si>
    <t xml:space="preserve">Launcher/ConfigDialog limits</t>
  </si>
  <si>
    <t xml:space="preserve">01_sdr_workstation_GUI/src/core/HardwareDb.cpp</t>
  </si>
  <si>
    <t xml:space="preserve">MATH-200</t>
  </si>
  <si>
    <t xml:space="preserve">sdr::hw::BoardSpec::maxRateGspsFor</t>
  </si>
  <si>
    <t xml:space="preserve">double BoardSpec::maxRateGspsFor(bool useAdc, bool useDac) const</t>
  </si>
  <si>
    <t xml:space="preserve">Lowest applicable verified converter maximum sample rate.</t>
  </si>
  <si>
    <t xml:space="preserve">GSPS (0 = unknown).</t>
  </si>
  <si>
    <t xml:space="preserve">r = min over used converters with known max of maxSampleRateGsps</t>
  </si>
  <si>
    <t xml:space="preserve">GSPS</t>
  </si>
  <si>
    <t xml:space="preserve">Unverified specs contribute nothing.</t>
  </si>
  <si>
    <t xml:space="preserve">MATH-201</t>
  </si>
  <si>
    <t xml:space="preserve">sdr::hw::buildDb [iw_rfsoc_zu47dr]</t>
  </si>
  <si>
    <t xml:space="preserve">b.id          = QStringLiteral("iw_rfsoc_zu47dr");</t>
  </si>
  <si>
    <t xml:space="preserve">Hardware limits used to validate ZU47DR configurations.</t>
  </si>
  <si>
    <t xml:space="preserve">ADC: 8 ch, 14-bit, max 5.0 GSPS, min 0.5 GSPS; DAC: 8 ch, 14-bit, max 9.85 GSPS, min 0.5 GSPS; maxStreamChannels 8</t>
  </si>
  <si>
    <t xml:space="preserve">GSPS, channels, bits</t>
  </si>
  <si>
    <t xml:space="preserve">validate / checkConverter, maxChannelsFor, maxRateGspsFor</t>
  </si>
  <si>
    <t xml:space="preserve">Provenance Verified; note records a secondary source quoting 2.5 GSPS for the ADC.</t>
  </si>
  <si>
    <t xml:space="preserve">MATH-202</t>
  </si>
  <si>
    <t xml:space="preserve">sdr::RecordingGuard::safeCapacity</t>
  </si>
  <si>
    <t xml:space="preserve">quint64 RecordingGuard::safeCapacity(const DiskSample&amp; d)</t>
  </si>
  <si>
    <t xml:space="preserve">Bytes a recording may safely consume on the volume after the reserve.</t>
  </si>
  <si>
    <t xml:space="preserve">d.totalBytes, d.freeBytes, d.valid.</t>
  </si>
  <si>
    <t xml:space="preserve">reserve = max(2 GiB, 0.05·total); safe = free &gt; reserve ? free − reserve : 0</t>
  </si>
  <si>
    <t xml:space="preserve">validateLimit, update, MainWindow default limit</t>
  </si>
  <si>
    <t xml:space="preserve">0 when the sample is invalid.</t>
  </si>
  <si>
    <t xml:space="preserve">01_sdr_workstation_GUI/src/core/RecordingGuard.cpp</t>
  </si>
  <si>
    <t xml:space="preserve">MATH-203</t>
  </si>
  <si>
    <t xml:space="preserve">sdr::RecordingGuard::validateLimit</t>
  </si>
  <si>
    <t xml:space="preserve">QVector&lt;RecWarning&gt; RecordingGuard::validateLimit(double limitMiB, const QString&amp; outputDir, const DiskSample&amp; disk)</t>
  </si>
  <si>
    <t xml:space="preserve">Pre-recording check of a proposed storage limit against safe capacity.</t>
  </si>
  <si>
    <t xml:space="preserve">limitMiB (MiB), outputDir, disk.</t>
  </si>
  <si>
    <t xml:space="preserve">warnings (empty = OK).</t>
  </si>
  <si>
    <t xml:space="preserve">requested = limitMiB·1048576; Critical if requested &gt; safe; Warning if requested &gt; 0.80·safe (pct = 100·requested/safe)</t>
  </si>
  <si>
    <t xml:space="preserve">MainWindow record start</t>
  </si>
  <si>
    <t xml:space="preserve">Critical if limit ≤ 0 or NaN, dir missing / read-only; Warning if disk stats invalid.</t>
  </si>
  <si>
    <t xml:space="preserve">MATH-204</t>
  </si>
  <si>
    <t xml:space="preserve">sdr::RecordingGuard::update</t>
  </si>
  <si>
    <t xml:space="preserve">RecStatus RecordingGuard::update(quint64 sessionBytes, const DiskSample&amp; disk)</t>
  </si>
  <si>
    <t xml:space="preserve">Classifies recording state each poll and raises/clears stateful warnings.</t>
  </si>
  <si>
    <t xml:space="preserve">sessionBytes, disk.</t>
  </si>
  <si>
    <t xml:space="preserve">RecStatus (state, remaining, ETA…).</t>
  </si>
  <si>
    <t xml:space="preserve">usedFrac = session/limit; LimitReached if session ≥ limit; Critical if disk safe = 0, or usedFrac ≥ 0.95, or (ETA reliable ∧ ETA &lt; 60 s); Warning if usedFrac ≥ 0.80; else Normal</t>
  </si>
  <si>
    <t xml:space="preserve">fraction, s</t>
  </si>
  <si>
    <t xml:space="preserve">MainWindow recording loop</t>
  </si>
  <si>
    <t xml:space="preserve">remaining = limit − session (≥ 0). limitReached signal emitted once per session.</t>
  </si>
  <si>
    <t xml:space="preserve">MATH-205</t>
  </si>
  <si>
    <t xml:space="preserve">sdr::RecordingGuard::update [growth rate &amp; ETA]</t>
  </si>
  <si>
    <t xml:space="preserve">const double inst = double(sessionBytes - m_lastBytes) * 1000.0 / double(dtMs);</t>
  </si>
  <si>
    <t xml:space="preserve">Smoothed write-rate and time-to-limit estimate for an active recording.</t>
  </si>
  <si>
    <t xml:space="preserve">sessionBytes, elapsed ms, disk.</t>
  </si>
  <si>
    <t xml:space="preserve">growthBytesPerSec, secondsRemaining, etaText.</t>
  </si>
  <si>
    <t xml:space="preserve">inst = ΔB·1000/Δt_ms; rate = rate ≤ 0 ? inst : 0.7·rate + 0.3·inst; reliable = samples ≥ 3 ∧ rate &gt; 1024 B/s; headroom = min(remaining, safe &gt; 0 ? safe : remaining); ETA = headroom/rate</t>
  </si>
  <si>
    <t xml:space="preserve">B/s, s</t>
  </si>
  <si>
    <t xml:space="preserve">StatusPanel / recording UI</t>
  </si>
  <si>
    <t xml:space="preserve">ETA text: ≥ 3600 s → "h m"; ≥ 60 s → "m s"; else seconds with 1 decimal.</t>
  </si>
  <si>
    <t xml:space="preserve">MATH-206</t>
  </si>
  <si>
    <t xml:space="preserve">sdr::RecordingGuard::kSafetyReserveBytes</t>
  </si>
  <si>
    <t xml:space="preserve">static constexpr quint64 kSafetyReserveBytes = 2ULL * 1024 * 1024 * 1024; // 2 GiB</t>
  </si>
  <si>
    <t xml:space="preserve">Fixed minimum free-space reserve on the recording volume.</t>
  </si>
  <si>
    <t xml:space="preserve">2147483648</t>
  </si>
  <si>
    <t xml:space="preserve">2·1024³</t>
  </si>
  <si>
    <t xml:space="preserve">safeCapacity</t>
  </si>
  <si>
    <t xml:space="preserve">01_sdr_workstation_GUI/src/core/RecordingGuard.h</t>
  </si>
  <si>
    <t xml:space="preserve">MATH-207</t>
  </si>
  <si>
    <t xml:space="preserve">sdr::RecordingGuard::kSafetyReserveFrac</t>
  </si>
  <si>
    <t xml:space="preserve">static constexpr double  kSafetyReserveFrac  = 0.05;                       // 5 %</t>
  </si>
  <si>
    <t xml:space="preserve">Proportional reserve of the volume size.</t>
  </si>
  <si>
    <t xml:space="preserve">0.05</t>
  </si>
  <si>
    <t xml:space="preserve">5 % of total</t>
  </si>
  <si>
    <t xml:space="preserve">MATH-208</t>
  </si>
  <si>
    <t xml:space="preserve">sdr::RecordingGuard::kWarnFraction</t>
  </si>
  <si>
    <t xml:space="preserve">static constexpr double  kWarnFraction       = 0.80;</t>
  </si>
  <si>
    <t xml:space="preserve">Warn when a session passes this fraction of its limit (and when a proposed limit exceeds this fraction of safe capacity).</t>
  </si>
  <si>
    <t xml:space="preserve">0.80</t>
  </si>
  <si>
    <t xml:space="preserve">validateLimit, update</t>
  </si>
  <si>
    <t xml:space="preserve">MATH-209</t>
  </si>
  <si>
    <t xml:space="preserve">sdr::RecordingGuard::kCriticalFraction</t>
  </si>
  <si>
    <t xml:space="preserve">static constexpr double  kCriticalFraction   = 0.95;</t>
  </si>
  <si>
    <t xml:space="preserve">Critical level as a fraction of the recording limit.</t>
  </si>
  <si>
    <t xml:space="preserve">0.95</t>
  </si>
  <si>
    <t xml:space="preserve">update</t>
  </si>
  <si>
    <t xml:space="preserve">MATH-210</t>
  </si>
  <si>
    <t xml:space="preserve">sdr::RecordingGuard::kMinGrowthSamples</t>
  </si>
  <si>
    <t xml:space="preserve">static constexpr int     kMinGrowthSamples   = 3;</t>
  </si>
  <si>
    <t xml:space="preserve">Polls needed before the smoothed growth rate is trusted for an ETA.</t>
  </si>
  <si>
    <t xml:space="preserve">3</t>
  </si>
  <si>
    <t xml:space="preserve">polls</t>
  </si>
  <si>
    <t xml:space="preserve">MATH-211</t>
  </si>
  <si>
    <t xml:space="preserve">sdr::RecordingGuard::kMinGrowthBytesPerSec</t>
  </si>
  <si>
    <t xml:space="preserve">static constexpr double  kMinGrowthBytesPerSec = 1024.0;</t>
  </si>
  <si>
    <t xml:space="preserve">Minimum growth rate for a reliable ETA (paused recordings fail it).</t>
  </si>
  <si>
    <t xml:space="preserve">B/s</t>
  </si>
  <si>
    <t xml:space="preserve">MATH-212</t>
  </si>
  <si>
    <t xml:space="preserve">sdr::ResourceMonitor::classify</t>
  </si>
  <si>
    <t xml:space="preserve">Level ResourceMonitor::classify(double pct, double warn, double crit, Level current) const</t>
  </si>
  <si>
    <t xml:space="preserve">Threshold classification with hysteresis to prevent alert flapping.</t>
  </si>
  <si>
    <t xml:space="preserve">pct, warn, crit, current level; releaseMargin m.</t>
  </si>
  <si>
    <t xml:space="preserve">Level.</t>
  </si>
  <si>
    <t xml:space="preserve">rising: ≥ crit → Critical, ≥ warn → Warning; from Critical: drop only if pct &lt; crit − m (to Warning if ≥ warn else Normal); from Warning: ≥ crit → Critical, &lt; warn − m → Normal</t>
  </si>
  <si>
    <t xml:space="preserve">ResourceMonitor::evaluate</t>
  </si>
  <si>
    <t xml:space="preserve">m = 3.0 percentage points by default.</t>
  </si>
  <si>
    <t xml:space="preserve">MATH-213</t>
  </si>
  <si>
    <t xml:space="preserve">sdr::ResourceThresholds</t>
  </si>
  <si>
    <t xml:space="preserve">struct ResourceThresholds {</t>
  </si>
  <si>
    <t xml:space="preserve">Warning/critical thresholds and hysteresis for resource alerts.</t>
  </si>
  <si>
    <t xml:space="preserve">Fields.</t>
  </si>
  <si>
    <t xml:space="preserve">cpuWarn 85, cpuCrit 95; ramWarn 85, ramCrit 95; gpuWarn 90, gpuCrit 98; diskWarn 85, diskCrit 95; releaseMargin 3.0</t>
  </si>
  <si>
    <t xml:space="preserve">ResourceMonitor::classify / evaluate</t>
  </si>
  <si>
    <t xml:space="preserve">01_sdr_workstation_GUI/src/core/ResourceMonitor.h</t>
  </si>
  <si>
    <t xml:space="preserve">MATH-214</t>
  </si>
  <si>
    <t xml:space="preserve">sdr::IqGenerator::transmittedHz</t>
  </si>
  <si>
    <t xml:space="preserve">double IqGenerator::transmittedHz(const Config&amp; cfg)</t>
  </si>
  <si>
    <t xml:space="preserve">Frequency the configuration actually puts on the DAC.</t>
  </si>
  <si>
    <t xml:space="preserve">cfg.frequencyHz, sampleRateSps, chunkBytes, coherent, waveform.</t>
  </si>
  <si>
    <t xml:space="preserve">coherent and not Noise: f_tx = round(f·N/fs)·fs/N, N = loopPairsFor(chunkBytes); else f_tx = f</t>
  </si>
  <si>
    <t xml:space="preserve">IqGenerator::rebuildLoop (transmitting signal), ControlWindow3D (preview, refreshChain, loop check)</t>
  </si>
  <si>
    <t xml:space="preserve">MATH-215</t>
  </si>
  <si>
    <t xml:space="preserve">sdr::fillNoise</t>
  </si>
  <si>
    <t xml:space="preserve">static void fillNoise(qint16* out, int pairs, double amp, quint32* rng)</t>
  </si>
  <si>
    <t xml:space="preserve">Uniform white noise for I and Q using a 32-bit xorshift PRNG, packed for the DAC.</t>
  </si>
  <si>
    <t xml:space="preserve">out (2·pairs int16), pairs, amp (0..1), rng state.</t>
  </si>
  <si>
    <t xml:space="preserve">out filled; rng advanced.</t>
  </si>
  <si>
    <t xml:space="preserve">r ^= r&lt;&lt;13; r ^= r&gt;&gt;17; r ^= r&lt;&lt;5; a = (int32(r)/2147483648)·amp ∈ [−amp, amp); I = packDac(a), Q = packDac(b) from the next draw</t>
  </si>
  <si>
    <t xml:space="preserve">renderLoop (Noise), fillChunk (Noise)</t>
  </si>
  <si>
    <t xml:space="preserve">Default seed 0x12345678 (m_rng, or a local seed in renderLoop when no state given).</t>
  </si>
  <si>
    <t xml:space="preserve">MATH-216</t>
  </si>
  <si>
    <t xml:space="preserve">sdr::IqGenerator::renderLoop</t>
  </si>
  <si>
    <t xml:space="preserve">void IqGenerator::renderLoop(const Config&amp; cfg, qint16* out, int pairs, quint32* rngState)</t>
  </si>
  <si>
    <t xml:space="preserve">Renders one seamless loop of k whole cycles in `pairs` samples, packed for the DAC.</t>
  </si>
  <si>
    <t xml:space="preserve">cfg (waveform, frequencyHz, sampleRateSps, amplitude, phaseOffset, iqPhaseDiff), out, pairs N, rngState.</t>
  </si>
  <si>
    <t xml:space="preserve">out[2n] = I, out[2n+1] = Q (int16).</t>
  </si>
  <si>
    <t xml:space="preserve">amp = clamp(amplitude, 0, 1); k = round(f·N/fs); φ[n] = phaseOffset + 2π·((k·n) mod N)/N; I[n] = packDac(shape(φ)·amp); Q[n] = packDac(shape(φ + iqPhaseDiff)·amp)</t>
  </si>
  <si>
    <t xml:space="preserve">IqGenerator::rebuildLoop (coherent mode)</t>
  </si>
  <si>
    <t xml:space="preserve">With iqPhaseDiff = −π/2 a Sine gives I = sin φ, Q = −cos φ. Noise branch uses fillNoise.</t>
  </si>
  <si>
    <t xml:space="preserve">MATH-217</t>
  </si>
  <si>
    <t xml:space="preserve">sdr::IqGenerator::fillChunk</t>
  </si>
  <si>
    <t xml:space="preserve">void IqGenerator::fillChunk(qint16* out, int pairs)</t>
  </si>
  <si>
    <t xml:space="preserve">Non-coherent streaming path: phase-continuous synthesis of the exact requested frequency across chunks.</t>
  </si>
  <si>
    <t xml:space="preserve">m_cfg, m_phase (carried).</t>
  </si>
  <si>
    <t xml:space="preserve">out (int16 I/Q); m_phase advanced.</t>
  </si>
  <si>
    <t xml:space="preserve">Δφ = 2π·f/fs; I = packDac(shape(φ)·amp), Q = packDac(shape(φ + iqPhaseDiff)·amp); φ += Δφ, wrapped to (−2π, 2π)</t>
  </si>
  <si>
    <t xml:space="preserve">IqGenerator::streamUntilBroken (coherent off or Noise)</t>
  </si>
  <si>
    <t xml:space="preserve">Replay of each chunk by iwfg_h2c adds loop spurs every fs/N. applyPending shifts m_phase by (new − old) phaseOffset rather than resetting it.</t>
  </si>
  <si>
    <t xml:space="preserve">MATH-218</t>
  </si>
  <si>
    <t xml:space="preserve">sdr::IqGenerator::Config</t>
  </si>
  <si>
    <t xml:space="preserve">struct Config {</t>
  </si>
  <si>
    <t xml:space="preserve">IQ generator configuration.</t>
  </si>
  <si>
    <t xml:space="preserve">Defaults: sampleRateSps 200e6, frequencyHz 10e6, amplitude 0.9, phaseOffset 0, iqPhaseDiff −1.5707963267948966 (−π/2), chunkBytes 16384, coherent true</t>
  </si>
  <si>
    <t xml:space="preserve">SPS, Hz, fraction of FS, rad, bytes</t>
  </si>
  <si>
    <t xml:space="preserve">IqGenerator, ControlWindow3D::genConfig</t>
  </si>
  <si>
    <t xml:space="preserve">chunkBytes must equal iwfg_h2c chunk_bytes (multiple of 4).</t>
  </si>
  <si>
    <t xml:space="preserve">MATH-219</t>
  </si>
  <si>
    <t xml:space="preserve">sdr::wave::kTwoPi</t>
  </si>
  <si>
    <t xml:space="preserve">constexpr double kTwoPi = 6.283185307179586476925286766559;</t>
  </si>
  <si>
    <t xml:space="preserve">2π for waveform phase arithmetic.</t>
  </si>
  <si>
    <t xml:space="preserve">6.283185307179586…</t>
  </si>
  <si>
    <t xml:space="preserve">2π</t>
  </si>
  <si>
    <t xml:space="preserve">wave::shape, loopPhase, SimulatedSource::renderLoopback</t>
  </si>
  <si>
    <t xml:space="preserve">01_sdr_workstation_GUI/src/core/Waveform.h</t>
  </si>
  <si>
    <t xml:space="preserve">MATH-220</t>
  </si>
  <si>
    <t xml:space="preserve">sdr::wave::shape</t>
  </si>
  <si>
    <t xml:space="preserve">inline double shape(int kind, double phi)</t>
  </si>
  <si>
    <t xml:space="preserve">One period of the chosen transmit shape at phase φ, normalised to ±1 (shared by IqGenerator and the simulator).</t>
  </si>
  <si>
    <t xml:space="preserve">kind: Sine 0, Cosine 1, Square 2, Saw 3, Triangle 4, Noise 5; phi (rad).</t>
  </si>
  <si>
    <t xml:space="preserve">sample in [−1, 1].</t>
  </si>
  <si>
    <t xml:space="preserve">Sine: sin φ; Cosine: cos φ; Square: +1 if sin φ ≥ 0 else −1; Saw: 2·p − 1; Triangle: 2·|2p − 1| − 1, with p = frac(φ/2π) ∈ [0,1); Noise/other: 0</t>
  </si>
  <si>
    <t xml:space="preserve">IqGenerator::renderLoop/fillChunk (via waveAt), SimulatedSource::renderLoopback</t>
  </si>
  <si>
    <t xml:space="preserve">Matches iq_source_v9 numbering and shapes. Triangle peaks at +1 for p = 0 and −1 at p = 0.5.</t>
  </si>
  <si>
    <t xml:space="preserve">MATH-221</t>
  </si>
  <si>
    <t xml:space="preserve">sdr::wave::loopResolutionHz</t>
  </si>
  <si>
    <t xml:space="preserve">inline double loopResolutionHz(double fs, int loopPairs)</t>
  </si>
  <si>
    <t xml:space="preserve">Frequency resolution of a seamless N-sample replay loop.</t>
  </si>
  <si>
    <t xml:space="preserve">fs (SPS), loopPairs N.</t>
  </si>
  <si>
    <t xml:space="preserve">Δf = fs / N (0 if fs ≤ 0 or N ≤ 0)</t>
  </si>
  <si>
    <t xml:space="preserve">loopCycles, coherentHz, ControlWindow3D::updateGenPreview</t>
  </si>
  <si>
    <t xml:space="preserve">1 MiB chunk (262144 pairs) at 200 MSPS → 762.9 Hz; 16 KiB (4096 pairs) → 48.83 kHz.</t>
  </si>
  <si>
    <t xml:space="preserve">MATH-222</t>
  </si>
  <si>
    <t xml:space="preserve">sdr::wave::loopCycles</t>
  </si>
  <si>
    <t xml:space="preserve">inline long long loopCycles(double hz, double fs, int loopPairs)</t>
  </si>
  <si>
    <t xml:space="preserve">Whole number of cycles per loop for the nearest loop-coherent frequency.</t>
  </si>
  <si>
    <t xml:space="preserve">hz requested, fs, N.</t>
  </si>
  <si>
    <t xml:space="preserve">k (cycles).</t>
  </si>
  <si>
    <t xml:space="preserve">k = llround(f / (fs/N))</t>
  </si>
  <si>
    <t xml:space="preserve">coherentHz, IqGenerator::renderLoop, SimulatedSource::renderLoopback</t>
  </si>
  <si>
    <t xml:space="preserve">0 if resolution is 0.</t>
  </si>
  <si>
    <t xml:space="preserve">MATH-223</t>
  </si>
  <si>
    <t xml:space="preserve">sdr::wave::coherentHz</t>
  </si>
  <si>
    <t xml:space="preserve">inline double coherentHz(double hz, double fs, int loopPairs)</t>
  </si>
  <si>
    <t xml:space="preserve">Nearest frequency that loops seamlessly in an N-sample replay buffer.</t>
  </si>
  <si>
    <t xml:space="preserve">f_tx = k·fs/N, k = round(f·N/fs)</t>
  </si>
  <si>
    <t xml:space="preserve">IqGenerator::transmittedHz</t>
  </si>
  <si>
    <t xml:space="preserve">Returns hz unchanged if resolution is 0. Max snap error ±fs/(2N).</t>
  </si>
  <si>
    <t xml:space="preserve">MATH-224</t>
  </si>
  <si>
    <t xml:space="preserve">sdr::wave::loopPhase</t>
  </si>
  <si>
    <t xml:space="preserve">inline double loopPhase(long long k, int n, int loopPairs)</t>
  </si>
  <si>
    <t xml:space="preserve">Exact phase of sample n in an N-sample loop holding k cycles, from the integer product (no accumulator drift).</t>
  </si>
  <si>
    <t xml:space="preserve">k cycles, n sample index, N loop length.</t>
  </si>
  <si>
    <t xml:space="preserve">phase (rad).</t>
  </si>
  <si>
    <t xml:space="preserve">φ[n] = 2π·((k·n) mod N)/N</t>
  </si>
  <si>
    <t xml:space="preserve">IqGenerator::renderLoop, SimulatedSource::renderLoopback (coherent)</t>
  </si>
  <si>
    <t xml:space="preserve">Negative modulo corrected (+N). Sample N lands exactly on sample 0's phase.</t>
  </si>
  <si>
    <t xml:space="preserve">MATH-225</t>
  </si>
  <si>
    <t xml:space="preserve">sdr::ui::ControlWindow3D::genConfig</t>
  </si>
  <si>
    <t xml:space="preserve">sdr::IqGenerator::Config ControlWindow3D::genConfig() const</t>
  </si>
  <si>
    <t xml:space="preserve">Builds the generator configuration from the UI in SI units.</t>
  </si>
  <si>
    <t xml:space="preserve">rate (MSPS), tone (MHz), I/Q phase (deg), amplitude, H2C chunk bytes.</t>
  </si>
  <si>
    <t xml:space="preserve">IqGenerator::Config.</t>
  </si>
  <si>
    <t xml:space="preserve">sampleRateSps = MSPS·1e6; frequencyHz = MHz·1e6; iqPhaseDiff = deg·π/180</t>
  </si>
  <si>
    <t xml:space="preserve">SPS, Hz, rad</t>
  </si>
  <si>
    <t xml:space="preserve">refreshChain, updateGenPreview, loop check, generator start</t>
  </si>
  <si>
    <t xml:space="preserve">Defaults when widgets absent: 200 MSPS, 10 MHz, −90°, 0.9. chunkBytes = m_h2cChunkBytes (launcher value).</t>
  </si>
  <si>
    <t xml:space="preserve">MATH-226</t>
  </si>
  <si>
    <t xml:space="preserve">sdr::ui::ControlWindow3D::updateGenPreview</t>
  </si>
  <si>
    <t xml:space="preserve">void ControlWindow3D::updateGenPreview()</t>
  </si>
  <si>
    <t xml:space="preserve">Previews the frequency that will really be transmitted and the loop resolution before starting.</t>
  </si>
  <si>
    <t xml:space="preserve">genConfig().</t>
  </si>
  <si>
    <t xml:space="preserve">preview text.</t>
  </si>
  <si>
    <t xml:space="preserve">N = loopPairsFor(chunkBytes); step = fs/N; f_act = transmittedHz(cfg); exact if |f_act − f_req| &lt; 0.5 Hz; alias warning if |f_act| ≥ fs/2</t>
  </si>
  <si>
    <t xml:space="preserve">Transmit tab</t>
  </si>
  <si>
    <t xml:space="preserve">Buffer shown as chunkBytes/1048576 MiB.</t>
  </si>
  <si>
    <t xml:space="preserve">MATH-227</t>
  </si>
  <si>
    <t xml:space="preserve">sdr::dsp::besselI0</t>
  </si>
  <si>
    <t xml:space="preserve">inline double besselI0(double x)</t>
  </si>
  <si>
    <t xml:space="preserve">Zeroth-order modified Bessel function of the first kind, series form, for the Kaiser window.</t>
  </si>
  <si>
    <t xml:space="preserve">x: real argument (Kaiser uses β·√(1−x²), β = 8.6).</t>
  </si>
  <si>
    <t xml:space="preserve">I0(x) (dimensionless).</t>
  </si>
  <si>
    <t xml:space="preserve">I0(x) = Σ_{k=0}^{∞} ((x²/4)^k)/(k!)²; term_k = term_{k−1}·(x²/4)/k².</t>
  </si>
  <si>
    <t xml:space="preserve">makeWindow (Kaiser)</t>
  </si>
  <si>
    <t xml:space="preserve">Iterates k = 1..59; stops early when term &lt; sum·1e−14.</t>
  </si>
  <si>
    <t xml:space="preserve">MATH-228</t>
  </si>
  <si>
    <t xml:space="preserve">sdr::dsp::makeWindow</t>
  </si>
  <si>
    <t xml:space="preserve">inline std::vector&lt;float&gt; makeWindow(WindowType type, std::size_t n)</t>
  </si>
  <si>
    <t xml:space="preserve">Builds the analysis window coefficients for the selected WindowType; not normalised (coherent-gain correction is applied by the caller).</t>
  </si>
  <si>
    <t xml:space="preserve">type: WindowType (Rectangular, Hann, Hamming, Blackman, BlackmanHarris, FlatTop, Kaiser); n: window length N (= disp.fftSize).</t>
  </si>
  <si>
    <t xml:space="preserve">std::vector&lt;float&gt; w[0..N−1].</t>
  </si>
  <si>
    <t xml:space="preserve">r = i/(N−1), t = 2π·r; w[i] = f_type(t) — see the per-window rows.</t>
  </si>
  <si>
    <t xml:space="preserve">DspEngine::applyConfig (on fftSize/window change) → m_window</t>
  </si>
  <si>
    <t xml:space="preserve">Symmetric windows (denominator N−1). n &lt; 2 returns all ones. Evaluated in double, stored as float. Default window is Blackman-Harris (DisplayConfig::window).</t>
  </si>
  <si>
    <t xml:space="preserve">MATH-229</t>
  </si>
  <si>
    <t xml:space="preserve">sdr::dsp::makeWindow [WindowType::Rectangular]</t>
  </si>
  <si>
    <t xml:space="preserve">case WindowType::Rectangular: v = 1.0;</t>
  </si>
  <si>
    <t xml:space="preserve">Rectangular (no) window.</t>
  </si>
  <si>
    <t xml:space="preserve">n index, N length</t>
  </si>
  <si>
    <t xml:space="preserve">w[n]</t>
  </si>
  <si>
    <t xml:space="preserve">w[n] = 1</t>
  </si>
  <si>
    <t xml:space="preserve">makeWindow</t>
  </si>
  <si>
    <t xml:space="preserve">Computed at N = 2048: coherent gain Σw/N = 1.0, ENBW = 1.0 bin → DC guard = 3 bins.</t>
  </si>
  <si>
    <t xml:space="preserve">MATH-230</t>
  </si>
  <si>
    <t xml:space="preserve">sdr::dsp::makeWindow [WindowType::Hann]</t>
  </si>
  <si>
    <t xml:space="preserve">case WindowType::Hann: v = 0.5 - 0.5 * std::cos(t);</t>
  </si>
  <si>
    <t xml:space="preserve">Hann window.</t>
  </si>
  <si>
    <t xml:space="preserve">w[n] = 0.5 − 0.5·cos(2πn/(N−1))</t>
  </si>
  <si>
    <t xml:space="preserve">Computed at N = 2048: coherent gain ≈ 0.4998, ENBW ≈ 1.501 bins → DC guard = 4 bins.</t>
  </si>
  <si>
    <t xml:space="preserve">MATH-231</t>
  </si>
  <si>
    <t xml:space="preserve">sdr::dsp::makeWindow [WindowType::Hamming]</t>
  </si>
  <si>
    <t xml:space="preserve">case WindowType::Hamming: v = 0.54 - 0.46 * std::cos(t);</t>
  </si>
  <si>
    <t xml:space="preserve">Hamming window.</t>
  </si>
  <si>
    <t xml:space="preserve">w[n] = 0.54 − 0.46·cos(2πn/(N−1))</t>
  </si>
  <si>
    <t xml:space="preserve">Computed at N = 2048: coherent gain ≈ 0.5398, ENBW ≈ 1.363 bins → DC guard = 4 bins.</t>
  </si>
  <si>
    <t xml:space="preserve">MATH-232</t>
  </si>
  <si>
    <t xml:space="preserve">sdr::dsp::makeWindow [WindowType::Blackman]</t>
  </si>
  <si>
    <t xml:space="preserve">case WindowType::Blackman: v = 0.42 - 0.5 * std::cos(t) + 0.08 * std::cos(2 * t);</t>
  </si>
  <si>
    <t xml:space="preserve">Classic 3-term Blackman window.</t>
  </si>
  <si>
    <t xml:space="preserve">w[n] = 0.42 − 0.5·cos(2πn/(N−1)) + 0.08·cos(4πn/(N−1))</t>
  </si>
  <si>
    <t xml:space="preserve">Computed at N = 2048: coherent gain ≈ 0.4198, ENBW ≈ 1.728 bins → DC guard = 4 bins.</t>
  </si>
  <si>
    <t xml:space="preserve">MATH-233</t>
  </si>
  <si>
    <t xml:space="preserve">sdr::dsp::makeWindow [WindowType::BlackmanHarris]</t>
  </si>
  <si>
    <t xml:space="preserve">case WindowType::BlackmanHarris: v = 0.35875 - 0.48829 * std::cos(t) + 0.14128 * std::cos(2 * t) - 0.01168 * std::cos(3 * t);</t>
  </si>
  <si>
    <t xml:space="preserve">4-term Blackman-Harris window (the default analysis window).</t>
  </si>
  <si>
    <t xml:space="preserve">w[n] = 0.35875 − 0.48829·cos(2πn/(N−1)) + 0.14128·cos(4πn/(N−1)) − 0.01168·cos(6πn/(N−1))</t>
  </si>
  <si>
    <t xml:space="preserve">makeWindow (default via DisplayConfig::window)</t>
  </si>
  <si>
    <t xml:space="preserve">Computed at N = 2048: coherent gain ≈ 0.3586, ENBW ≈ 2.005 bins → DC guard / tone half-width = 5 bins.</t>
  </si>
  <si>
    <t xml:space="preserve">MATH-234</t>
  </si>
  <si>
    <t xml:space="preserve">sdr::dsp::makeWindow [WindowType::FlatTop]</t>
  </si>
  <si>
    <t xml:space="preserve">case WindowType::FlatTop: v = 0.21557895 - 0.41663158 * std::cos(t) + 0.277263158 * std::cos(2 * t) - 0.083578947 * std::cos(3 * t) + 0.006947368 * std::cos(4 * t);</t>
  </si>
  <si>
    <t xml:space="preserve">5-term flat-top window for amplitude-accurate peak readings.</t>
  </si>
  <si>
    <t xml:space="preserve">w[n] = 0.21557895 − 0.41663158·cos(t) + 0.277263158·cos(2t) − 0.083578947·cos(3t) + 0.006947368·cos(4t), t = 2πn/(N−1)</t>
  </si>
  <si>
    <t xml:space="preserve">Computed at N = 2048: coherent gain ≈ 0.2155, ENBW ≈ 3.772 bins → DC guard / tone half-width = 7 bins.</t>
  </si>
  <si>
    <t xml:space="preserve">MATH-235</t>
  </si>
  <si>
    <t xml:space="preserve">sdr::dsp::makeWindow [WindowType::Kaiser]</t>
  </si>
  <si>
    <t xml:space="preserve">case WindowType::Kaiser: { constexpr double beta = 8.6; const double x = 2.0 * r - 1.0; v = besselI0(beta * std::sqrt(std::max(0.0, 1.0 - x * x))) / besselI0(beta); }</t>
  </si>
  <si>
    <t xml:space="preserve">Kaiser window with fixed β = 8.6.</t>
  </si>
  <si>
    <t xml:space="preserve">x = 2n/(N−1) − 1; w[n] = I0(β·√max(0, 1 − x²)) / I0(β), β = 8.6</t>
  </si>
  <si>
    <t xml:space="preserve">β is not user-adjustable (UI label "Kaiser β=8.6"). Computed at N = 2048: coherent gain ≈ 0.4206, ENBW ≈ 1.722 bins → DC guard = 4 bins.</t>
  </si>
  <si>
    <t xml:space="preserve">MATH-236</t>
  </si>
  <si>
    <t xml:space="preserve">sdr::dsp::makeWindow::beta</t>
  </si>
  <si>
    <t xml:space="preserve">constexpr double beta = 8.6;</t>
  </si>
  <si>
    <t xml:space="preserve">Kaiser shape parameter.</t>
  </si>
  <si>
    <t xml:space="preserve">8.6</t>
  </si>
  <si>
    <t xml:space="preserve">β = 8.6</t>
  </si>
  <si>
    <t xml:space="preserve">Hard-coded; sidelobe/mainlobe trade-off fixed.</t>
  </si>
  <si>
    <t xml:space="preserve">MATH-237</t>
  </si>
  <si>
    <t xml:space="preserve">sdr::dsp::windowSum</t>
  </si>
  <si>
    <t xml:space="preserve">inline float windowSum(const std::vector&lt;float&gt;&amp; w)</t>
  </si>
  <si>
    <t xml:space="preserve">Coherent gain of a window expressed as the plain sum of its coefficients.</t>
  </si>
  <si>
    <t xml:space="preserve">w: window coefficients.</t>
  </si>
  <si>
    <t xml:space="preserve">G = Σ w[n] (float).</t>
  </si>
  <si>
    <t xml:space="preserve">G = Σ_{n=0}^{N−1} w[n]</t>
  </si>
  <si>
    <t xml:space="preserve">dimensionless (≈ N·coherent gain)</t>
  </si>
  <si>
    <t xml:space="preserve">DspEngine::applyConfig → m_windowGain → computeSpectrum scale</t>
  </si>
  <si>
    <t xml:space="preserve">Accumulated in float (std::accumulate with 0.0f).</t>
  </si>
  <si>
    <t xml:space="preserve">MATH-238</t>
  </si>
  <si>
    <t xml:space="preserve">sdr::dsp::windowEnbw</t>
  </si>
  <si>
    <t xml:space="preserve">inline double windowEnbw(const std::vector&lt;float&gt;&amp; w)</t>
  </si>
  <si>
    <t xml:space="preserve">Equivalent noise bandwidth of the window in FFT bins.</t>
  </si>
  <si>
    <t xml:space="preserve">w: window coefficients (length N).</t>
  </si>
  <si>
    <t xml:space="preserve">ENBW in bins (double).</t>
  </si>
  <si>
    <t xml:space="preserve">ENBW = N·Σw[n]² / (Σw[n])²</t>
  </si>
  <si>
    <t xml:space="preserve">DspEngine::applyConfig (m_windowEnbw); DspEngine::computeMetrics (DC guard / tone width)</t>
  </si>
  <si>
    <t xml:space="preserve">Returns 1.0 if Σw ≤ 0. Accumulated in double. computeMetrics calls windowEnbw(m_window) directly each frame; the cached m_windowEnbw is set but not read elsewhere in DspEngine.</t>
  </si>
  <si>
    <t xml:space="preserve">GUI Qt - API reference</t>
  </si>
  <si>
    <t xml:space="preserve">197 entries. Source: iW-ASCEJ-01-SF-R1.0-REL1.0/iW-ASCEJ-01-SC-R1.0-REL1.0 and iW-ASCEJ-01-FF-R1.0-REL1.0 of release REL1.0 (1.2.5).</t>
  </si>
  <si>
    <t xml:space="preserve">GUI-001</t>
  </si>
  <si>
    <t xml:space="preserve">GUI (Qt)</t>
  </si>
  <si>
    <t xml:space="preserve">sdr::ui::BackendModeDialog</t>
  </si>
  <si>
    <t xml:space="preserve">class BackendModeDialog : public QDialog</t>
  </si>
  <si>
    <t xml:space="preserve">Modal 'Start Live Acquisition' picker for C2H (capture) or H2C_C2H (playback + capture loopback).</t>
  </si>
  <si>
    <t xml:space="preserve">Included by MainWindow.cpp but not instantiated in 1.2.5: startBackendThenAcquire takes the launcher's data-flow choice instead</t>
  </si>
  <si>
    <t xml:space="preserve">Header-only.</t>
  </si>
  <si>
    <t xml:space="preserve">01_sdr_workstation_GUI/src/ui/BackendModeDialog.h</t>
  </si>
  <si>
    <t xml:space="preserve">GUI-002</t>
  </si>
  <si>
    <t xml:space="preserve">BackendModeDialog::BackendModeDialog</t>
  </si>
  <si>
    <t xml:space="preserve">explicit BackendModeDialog(sdr::BackendMode current = sdr::BackendMode::C2H, QWidget* parent = nullptr)</t>
  </si>
  <si>
    <t xml:space="preserve">Builds the two radio buttons with 'current' pre-selected.</t>
  </si>
  <si>
    <t xml:space="preserve">current, parent</t>
  </si>
  <si>
    <t xml:space="preserve">Inline.</t>
  </si>
  <si>
    <t xml:space="preserve">GUI-003</t>
  </si>
  <si>
    <t xml:space="preserve">BackendModeDialog::mode</t>
  </si>
  <si>
    <t xml:space="preserve">sdr::BackendMode mode() const</t>
  </si>
  <si>
    <t xml:space="preserve">Selected backend mode.</t>
  </si>
  <si>
    <t xml:space="preserve">BackendMode::C2H or H2C_C2H</t>
  </si>
  <si>
    <t xml:space="preserve">GUI-004</t>
  </si>
  <si>
    <t xml:space="preserve">sdr::ui::ChannelDialog</t>
  </si>
  <si>
    <t xml:space="preserve">class ChannelDialog : public QDialog</t>
  </si>
  <si>
    <t xml:space="preserve">Modal selector for any combination of channels 1..16 (Select All / Clear All; OK disabled when none ticked).</t>
  </si>
  <si>
    <t xml:space="preserve">SourcePanel::openChannelDialog</t>
  </si>
  <si>
    <t xml:space="preserve">Header-only; layout sized from font metrics.</t>
  </si>
  <si>
    <t xml:space="preserve">01_sdr_workstation_GUI/src/ui/ChannelDialog.h</t>
  </si>
  <si>
    <t xml:space="preserve">GUI-005</t>
  </si>
  <si>
    <t xml:space="preserve">ChannelDialog::ChannelDialog</t>
  </si>
  <si>
    <t xml:space="preserve">ChannelDialog(int available, quint32 mask, QWidget* parent = nullptr)</t>
  </si>
  <si>
    <t xml:space="preserve">Builds one checkbox per available channel (clamped 1..16) pre-ticked from the mask (0 = all).</t>
  </si>
  <si>
    <t xml:space="preserve">available, mask (bit c = channel c), parent</t>
  </si>
  <si>
    <t xml:space="preserve">GUI-006</t>
  </si>
  <si>
    <t xml:space="preserve">ChannelDialog::mask</t>
  </si>
  <si>
    <t xml:space="preserve">quint32 mask() const</t>
  </si>
  <si>
    <t xml:space="preserve">Selected channel bitmask (never 0 from an accepted dialog).</t>
  </si>
  <si>
    <t xml:space="preserve">quint32 mask</t>
  </si>
  <si>
    <t xml:space="preserve">GUI-007</t>
  </si>
  <si>
    <t xml:space="preserve">ChannelDialog::label</t>
  </si>
  <si>
    <t xml:space="preserve">static QString label(quint32 mask, int available)</t>
  </si>
  <si>
    <t xml:space="preserve">Compact label for the Source panel, e.g. '1,2,5,8', 'All (16)' or 'None'.</t>
  </si>
  <si>
    <t xml:space="preserve">mask, available</t>
  </si>
  <si>
    <t xml:space="preserve">QString</t>
  </si>
  <si>
    <t xml:space="preserve">SourcePanel::refreshChannelField</t>
  </si>
  <si>
    <t xml:space="preserve">Inline, static.</t>
  </si>
  <si>
    <t xml:space="preserve">GUI-008</t>
  </si>
  <si>
    <t xml:space="preserve">ChannelDialog::refreshSummary</t>
  </si>
  <si>
    <t xml:space="preserve">void refreshSummary()</t>
  </si>
  <si>
    <t xml:space="preserve">Updates 'n of N selected' and enables OK only when n &gt; 0.</t>
  </si>
  <si>
    <t xml:space="preserve">Each checkbox toggled</t>
  </si>
  <si>
    <t xml:space="preserve">GUI-009</t>
  </si>
  <si>
    <t xml:space="preserve">sdr::ui::ColorMap</t>
  </si>
  <si>
    <t xml:space="preserve">class ColorMap</t>
  </si>
  <si>
    <t xml:space="preserve">256-entry colour lookup table (Jet, Viridis, Inferno, Grayscale) for waterfall and constellation density.</t>
  </si>
  <si>
    <t xml:space="preserve">WaterfallPlot, ConstellationPlot</t>
  </si>
  <si>
    <t xml:space="preserve">Header-only, not a QObject.</t>
  </si>
  <si>
    <t xml:space="preserve">GUI-010</t>
  </si>
  <si>
    <t xml:space="preserve">ColorMap::Preset</t>
  </si>
  <si>
    <t xml:space="preserve">enum Preset { Jet, Viridis, Inferno, Grayscale };</t>
  </si>
  <si>
    <t xml:space="preserve">Colour map presets (index = DisplayConfig.colorMap).</t>
  </si>
  <si>
    <t xml:space="preserve">DisplayPanel colour map combo</t>
  </si>
  <si>
    <t xml:space="preserve">GUI-011</t>
  </si>
  <si>
    <t xml:space="preserve">ColorMap::names</t>
  </si>
  <si>
    <t xml:space="preserve">static QStringList names()</t>
  </si>
  <si>
    <t xml:space="preserve">Display names of the presets.</t>
  </si>
  <si>
    <t xml:space="preserve">QStringList</t>
  </si>
  <si>
    <t xml:space="preserve">DisplayPanel colour-map combo (Panels.cpp:809)</t>
  </si>
  <si>
    <t xml:space="preserve">GUI-012</t>
  </si>
  <si>
    <t xml:space="preserve">ColorMap::setPreset</t>
  </si>
  <si>
    <t xml:space="preserve">void setPreset(int i) { build(static_cast&lt;Preset&gt;(std::clamp(i, 0, 3))); }</t>
  </si>
  <si>
    <t xml:space="preserve">Rebuilds the LUT for a preset (int overload clamps 0..3; a Preset overload is at line 26).</t>
  </si>
  <si>
    <t xml:space="preserve">i</t>
  </si>
  <si>
    <t xml:space="preserve">WaterfallPlot/ConstellationPlot::setDisplayConfig</t>
  </si>
  <si>
    <t xml:space="preserve">GUI-013</t>
  </si>
  <si>
    <t xml:space="preserve">ColorMap::rgb</t>
  </si>
  <si>
    <t xml:space="preserve">Maps t (clamped 0..1) to a colour.</t>
  </si>
  <si>
    <t xml:space="preserve">t</t>
  </si>
  <si>
    <t xml:space="preserve">QRgb</t>
  </si>
  <si>
    <t xml:space="preserve">index = int(clamp(t,0,1)*255)</t>
  </si>
  <si>
    <t xml:space="preserve">WaterfallPlot/ConstellationPlot::setFrame</t>
  </si>
  <si>
    <t xml:space="preserve">GUI-014</t>
  </si>
  <si>
    <t xml:space="preserve">sdr::ui::ConfigDialog</t>
  </si>
  <si>
    <t xml:space="preserve">class ConfigDialog : public QDialog</t>
  </si>
  <si>
    <t xml:space="preserve">Pre-launch screen: development kit, interface (PCIe / Ethernet RoCEv2 or UDP), RDMA NIC, compute (CPU/GPU), session mode (simulated / offline / live), data flow (ADC / DAC / both), channels, rate, with live validation and pcap extraction.</t>
  </si>
  <si>
    <t xml:space="preserve">main.cpp (launcher)</t>
  </si>
  <si>
    <t xml:space="preserve">GUI thread. Ethernet toggle detects/configures a Mellanox NIC; GPU toggle probes the GPU (bounded 2.5 s) and falls back to CPU.</t>
  </si>
  <si>
    <t xml:space="preserve">01_sdr_workstation_GUI/src/ui/ConfigDialog.h</t>
  </si>
  <si>
    <t xml:space="preserve">GUI-015</t>
  </si>
  <si>
    <t xml:space="preserve">ConfigDialog::ConfigDialog</t>
  </si>
  <si>
    <t xml:space="preserve">explicit ConfigDialog(QWidget* parent = nullptr);</t>
  </si>
  <si>
    <t xml:space="preserve">Builds the launcher and wires toggles; Launch commits the config, runs the RoCEv2 mapping check or the PcieDiscoveryDialog pre-flight for live sessions, then accepts.</t>
  </si>
  <si>
    <t xml:space="preserve">parent</t>
  </si>
  <si>
    <t xml:space="preserve">Defined ConfigDialog.cpp:44. Launch handler at ConfigDialog.cpp:486; PCIe pre-flight result sets SystemConfig.driverLoadedBySession.</t>
  </si>
  <si>
    <t xml:space="preserve">GUI-016</t>
  </si>
  <si>
    <t xml:space="preserve">ConfigDialog::config</t>
  </si>
  <si>
    <t xml:space="preserve">sdr::SystemConfig config() const { return m_cfg; }</t>
  </si>
  <si>
    <t xml:space="preserve">The SystemConfig chosen in the launcher.</t>
  </si>
  <si>
    <t xml:space="preserve">sdr::SystemConfig</t>
  </si>
  <si>
    <t xml:space="preserve">main.cpp after exec() == Accepted</t>
  </si>
  <si>
    <t xml:space="preserve">GUI-017</t>
  </si>
  <si>
    <t xml:space="preserve">ConfigDialog::repopulateDevices</t>
  </si>
  <si>
    <t xml:space="preserve">void repopulateDevices();</t>
  </si>
  <si>
    <t xml:space="preserve">Rebuilds the Device list for the selected interface: HardwareDb boards for PCIe, discovered netdev-&gt;RDMA mappings for RoCEv2.</t>
  </si>
  <si>
    <t xml:space="preserve">Interface toggles; constructor</t>
  </si>
  <si>
    <t xml:space="preserve">Defined ConfigDialog.cpp:1101.</t>
  </si>
  <si>
    <t xml:space="preserve">GUI-018</t>
  </si>
  <si>
    <t xml:space="preserve">ConfigDialog::refreshState</t>
  </si>
  <si>
    <t xml:space="preserve">void refreshState();</t>
  </si>
  <si>
    <t xml:space="preserve">Re-validates the current selection (hw::validate against the HardwareDb board spec) and updates capability, findings and summary text and the Launch button.</t>
  </si>
  <si>
    <t xml:space="preserve">Most widget change signals</t>
  </si>
  <si>
    <t xml:space="preserve">Defined ConfigDialog.cpp:907.</t>
  </si>
  <si>
    <t xml:space="preserve">GUI-019</t>
  </si>
  <si>
    <t xml:space="preserve">ConfigDialog::commit</t>
  </si>
  <si>
    <t xml:space="preserve">void commit();</t>
  </si>
  <si>
    <t xml:space="preserve">Writes device, interface, compute device, source mode (UDP -&gt; Dma, RoCEv2 -&gt; Roce, PCIe -&gt; Dma), file, GPU flag, device path, format, channels, rate, UDP options and data-flow mode (0 ADC, 1 DAC, 2 both) into m_cfg.</t>
  </si>
  <si>
    <t xml:space="preserve">m_cfg</t>
  </si>
  <si>
    <t xml:space="preserve">Launch button handler</t>
  </si>
  <si>
    <t xml:space="preserve">Defined ConfigDialog.cpp:1189.</t>
  </si>
  <si>
    <t xml:space="preserve">GUI-020</t>
  </si>
  <si>
    <t xml:space="preserve">ConfigDialog::extractCapture</t>
  </si>
  <si>
    <t xml:space="preserve">QString extractCapture(const QString&amp; pcap);</t>
  </si>
  <si>
    <t xml:space="preserve">Asks which encapsulation a .pcap holds and dispatches to the RoCEv2 or UDP extractor.</t>
  </si>
  <si>
    <t xml:space="preserve">pcap path</t>
  </si>
  <si>
    <t xml:space="preserve">Extracted .bin path or empty</t>
  </si>
  <si>
    <t xml:space="preserve">Offline file selection</t>
  </si>
  <si>
    <t xml:space="preserve">Defined ConfigDialog.cpp:740.</t>
  </si>
  <si>
    <t xml:space="preserve">GUI-021</t>
  </si>
  <si>
    <t xml:space="preserve">ConfigDialog::extractPcap</t>
  </si>
  <si>
    <t xml:space="preserve">QString extractPcap(const QString&amp; pcap);</t>
  </si>
  <si>
    <t xml:space="preserve">RoCEv2: runs the external roce-extractor via QProcess with a cancellable progress dialog.</t>
  </si>
  <si>
    <t xml:space="preserve">extractCapture</t>
  </si>
  <si>
    <t xml:space="preserve">Defined ConfigDialog.cpp:792. Polls waitForFinished(50) + processEvents; kill() on cancel.</t>
  </si>
  <si>
    <t xml:space="preserve">GUI-022</t>
  </si>
  <si>
    <t xml:space="preserve">ConfigDialog::extractUdp</t>
  </si>
  <si>
    <t xml:space="preserve">QString extractUdp(const QString&amp; pcap);</t>
  </si>
  <si>
    <t xml:space="preserve">Plain UDP: strips Ethernet/IP/UDP headers in-process via sdr::extractUdpPayloads.</t>
  </si>
  <si>
    <t xml:space="preserve">Defined ConfigDialog.cpp:763.</t>
  </si>
  <si>
    <t xml:space="preserve">GUI-023</t>
  </si>
  <si>
    <t xml:space="preserve">ConfigDialog::detectAndApplyFormat</t>
  </si>
  <si>
    <t xml:space="preserve">void detectAndApplyFormat(const QString&amp; path);</t>
  </si>
  <si>
    <t xml:space="preserve">Picks the wire format by measuring the file rather than trusting its name.</t>
  </si>
  <si>
    <t xml:space="preserve">path</t>
  </si>
  <si>
    <t xml:space="preserve">Defined ConfigDialog.cpp:863.</t>
  </si>
  <si>
    <t xml:space="preserve">GUI-024</t>
  </si>
  <si>
    <t xml:space="preserve">sdr::ui::ConstellationPlot</t>
  </si>
  <si>
    <t xml:space="preserve">class ConstellationPlot : public InstrumentPlot</t>
  </si>
  <si>
    <t xml:space="preserve">'Constellation — I/Q' density plot of demodulated symbols on a 256x256 grid with optional persistence; aspect-preserving.</t>
  </si>
  <si>
    <t xml:space="preserve">MainWindow::buildCentral</t>
  </si>
  <si>
    <t xml:space="preserve">Markers not supported.</t>
  </si>
  <si>
    <t xml:space="preserve">GUI-025</t>
  </si>
  <si>
    <t xml:space="preserve">ConstellationPlot::setFrame</t>
  </si>
  <si>
    <t xml:space="preserve">void setFrame(const sdr::FrameResult&amp; f) override;</t>
  </si>
  <si>
    <t xml:space="preserve">Decays the density grid, splats each symbol with a 3x3 kernel and colour-maps sqrt(density/peak).</t>
  </si>
  <si>
    <t xml:space="preserve">f</t>
  </si>
  <si>
    <t xml:space="preserve">pixel t = sqrt(density/peak); centre weight 1.0, neighbours 0.35</t>
  </si>
  <si>
    <t xml:space="preserve">Defined Plots.cpp:635. Decay = persistDecay (&lt;= 0.995) when persistence on, else 0.</t>
  </si>
  <si>
    <t xml:space="preserve">GUI-026</t>
  </si>
  <si>
    <t xml:space="preserve">ConstellationPlot::setDisplayConfig</t>
  </si>
  <si>
    <t xml:space="preserve">void setDisplayConfig(const sdr::DisplayConfig&amp; cfg) override;</t>
  </si>
  <si>
    <t xml:space="preserve">Applies display config and colour map change.</t>
  </si>
  <si>
    <t xml:space="preserve">cfg</t>
  </si>
  <si>
    <t xml:space="preserve">MainWindow::onConfigChanged</t>
  </si>
  <si>
    <t xml:space="preserve">Defined Plots.cpp:620.</t>
  </si>
  <si>
    <t xml:space="preserve">GUI-027</t>
  </si>
  <si>
    <t xml:space="preserve">ConstellationPlot::clearTraces</t>
  </si>
  <si>
    <t xml:space="preserve">void clearTraces() override;</t>
  </si>
  <si>
    <t xml:space="preserve">Clears the density grid.</t>
  </si>
  <si>
    <t xml:space="preserve">MainWindow; channel change</t>
  </si>
  <si>
    <t xml:space="preserve">Defined Plots.cpp:628.</t>
  </si>
  <si>
    <t xml:space="preserve">GUI-028</t>
  </si>
  <si>
    <t xml:space="preserve">sdr::ui::ControlWindow3D</t>
  </si>
  <si>
    <t xml:space="preserve">class ControlWindow3D : public QDialog</t>
  </si>
  <si>
    <t xml:space="preserve">Floating non-modal 'H2C Transmit &amp; RF Data Converter Control' window with Transmit (live chain, IQ generator, RDMA iq_ctl block, log), Signal chain and RFDC (PCIe BAR converter control) tabs.</t>
  </si>
  <si>
    <t xml:space="preserve">Created lazily by MainWindow on first H2C CONTROL click</t>
  </si>
  <si>
    <t xml:space="preserve">GUI thread. Owns H2cControl (GUI thread), RfdcControl on QThread 'rfdcCtl', IqGenerator on QThread 'iqGen'. Hidden on close, never destroyed, so state persists.</t>
  </si>
  <si>
    <t xml:space="preserve">01_sdr_workstation_GUI/src/ui/ControlWindow3D.h</t>
  </si>
  <si>
    <t xml:space="preserve">GUI-029</t>
  </si>
  <si>
    <t xml:space="preserve">ControlWindow3D::ControlWindow3D</t>
  </si>
  <si>
    <t xml:space="preserve">explicit ControlWindow3D(QWidget* parent = nullptr);</t>
  </si>
  <si>
    <t xml:space="preserve">Builds the window, creates H2cControl, moves RfdcControl to its own thread and wires all its signals, builds the Transmit/Signal chain/RFDC tabs, then attaches the iq_ctl block and (best-effort) the RFDC PCIe path.</t>
  </si>
  <si>
    <t xml:space="preserve">parent: MainWindow</t>
  </si>
  <si>
    <t xml:space="preserve">MainWindow (H2C CONTROL action lambda, MainWindow.cpp:114)</t>
  </si>
  <si>
    <t xml:space="preserve">Defined ControlWindow3D.cpp:37. RFDC transactions busy-poll up to 15 s, hence the dedicated thread; every call to it is queued.</t>
  </si>
  <si>
    <t xml:space="preserve">GUI-030</t>
  </si>
  <si>
    <t xml:space="preserve">ControlWindow3D::~ControlWindow3D</t>
  </si>
  <si>
    <t xml:space="preserve">~ControlWindow3D() override;</t>
  </si>
  <si>
    <t xml:space="preserve">Stops the generator and aborts any in-flight RFDC transaction, then quits both worker threads.</t>
  </si>
  <si>
    <t xml:space="preserve">Qt object tree at application shutdown</t>
  </si>
  <si>
    <t xml:space="preserve">Defined ControlWindow3D.cpp:1752. wait(3000) then terminate()+wait(500) as last resort.</t>
  </si>
  <si>
    <t xml:space="preserve">GUI-031</t>
  </si>
  <si>
    <t xml:space="preserve">ControlWindow3D::setViewport</t>
  </si>
  <si>
    <t xml:space="preserve">void setViewport(QWidget* view);</t>
  </si>
  <si>
    <t xml:space="preserve">Extension point: installs a 3D view widget in place of the placeholder (takes ownership).</t>
  </si>
  <si>
    <t xml:space="preserve">view: widget</t>
  </si>
  <si>
    <t xml:space="preserve">No caller in this source tree (extension point)</t>
  </si>
  <si>
    <t xml:space="preserve">Defined ControlWindow3D.cpp:1713.</t>
  </si>
  <si>
    <t xml:space="preserve">GUI-032</t>
  </si>
  <si>
    <t xml:space="preserve">ControlWindow3D::addControlPanel</t>
  </si>
  <si>
    <t xml:space="preserve">QWidget* addControlPanel(const QString&amp; title);</t>
  </si>
  <si>
    <t xml:space="preserve">Extension point: adds a named scrollable tab and returns its page for the caller to populate.</t>
  </si>
  <si>
    <t xml:space="preserve">title: tab title</t>
  </si>
  <si>
    <t xml:space="preserve">QWidget* page with a QVBoxLayout</t>
  </si>
  <si>
    <t xml:space="preserve">buildTransmitPanel, buildSignalChainPanel, buildRfdcPanel</t>
  </si>
  <si>
    <t xml:space="preserve">Defined ControlWindow3D.cpp:1727.</t>
  </si>
  <si>
    <t xml:space="preserve">GUI-033</t>
  </si>
  <si>
    <t xml:space="preserve">ControlWindow3D::hasViewport</t>
  </si>
  <si>
    <t xml:space="preserve">bool hasViewport() const { return m_hasViewport; }</t>
  </si>
  <si>
    <t xml:space="preserve">True once a real 3D viewport has been installed.</t>
  </si>
  <si>
    <t xml:space="preserve">bool</t>
  </si>
  <si>
    <t xml:space="preserve">GUI-034</t>
  </si>
  <si>
    <t xml:space="preserve">ControlWindow3D::attachControl</t>
  </si>
  <si>
    <t xml:space="preserve">void attachControl(const QString&amp; path = QStringLiteral("/dev/shm/iqctl"));</t>
  </si>
  <si>
    <t xml:space="preserve">Attaches to the rdma_tx shared-memory control block; enables the RDMA rate/centre/pace controls on success or disables them with the reason.</t>
  </si>
  <si>
    <t xml:space="preserve">path: shm control block (default /dev/shm/iqctl)</t>
  </si>
  <si>
    <t xml:space="preserve">Constructor</t>
  </si>
  <si>
    <t xml:space="preserve">Defined ControlWindow3D.cpp:1665. Calls H2cControl::attach; safe to call repeatedly.</t>
  </si>
  <si>
    <t xml:space="preserve">GUI-035</t>
  </si>
  <si>
    <t xml:space="preserve">ControlWindow3D::attachRfdc</t>
  </si>
  <si>
    <t xml:space="preserve">void attachRfdc(const QString&amp; bdf = QString(), int bar = 2);</t>
  </si>
  <si>
    <t xml:space="preserve">Attaches the RF Data Converter PCIe control path (BAR registers on the ZU47DR) and reads every register before the UI accepts edits.</t>
  </si>
  <si>
    <t xml:space="preserve">bdf: PCI address (default: first discovered endpoint); bar: BAR index (default 2)</t>
  </si>
  <si>
    <t xml:space="preserve">Queued RfdcControl::attachAndSync</t>
  </si>
  <si>
    <t xml:space="preserve">Constructor; onRfdcAttach</t>
  </si>
  <si>
    <t xml:space="preserve">Defined ControlWindow3D.cpp:600. open()/mmap() run on the RFDC thread that owns the descriptor.</t>
  </si>
  <si>
    <t xml:space="preserve">GUI-036</t>
  </si>
  <si>
    <t xml:space="preserve">ControlWindow3D::setSimulationMode</t>
  </si>
  <si>
    <t xml:space="preserve">void setSimulationMode(bool simulated);</t>
  </si>
  <si>
    <t xml:space="preserve">Tells the window the source is the simulator: DAC input, DDS and generator then drive the simulated RF loopback and never touch the H2C FIFO.</t>
  </si>
  <si>
    <t xml:space="preserve">simulated: bool</t>
  </si>
  <si>
    <t xml:space="preserve">txStateChanged emitted</t>
  </si>
  <si>
    <t xml:space="preserve">MainWindow H2C CONTROL action; MainWindow::createSource</t>
  </si>
  <si>
    <t xml:space="preserve">Defined ControlWindow3D.cpp:1917. Leaving simulation stops a modelled generator.</t>
  </si>
  <si>
    <t xml:space="preserve">GUI-037</t>
  </si>
  <si>
    <t xml:space="preserve">ControlWindow3D::txState</t>
  </si>
  <si>
    <t xml:space="preserve">sdr::TxState txState() const;</t>
  </si>
  <si>
    <t xml:space="preserve">Snapshot of what the transmit side puts on the DAC (DAC source, DDS Hz, DAC stream rate, generator running/waveform/tone/amplitude/phase, loop length, coherent).</t>
  </si>
  <si>
    <t xml:space="preserve">publishTxState</t>
  </si>
  <si>
    <t xml:space="preserve">Defined ControlWindow3D.cpp:1876. hostRunning = generator running AND iwfg_h2c connected (hardware) or simulated generator running.</t>
  </si>
  <si>
    <t xml:space="preserve">GUI-038</t>
  </si>
  <si>
    <t xml:space="preserve">ControlWindow3D::setH2cChunkBytes</t>
  </si>
  <si>
    <t xml:space="preserve">void setH2cChunkBytes(int bytes);</t>
  </si>
  <si>
    <t xml:space="preserve">Sets the iwfg_h2c chunk size = generator loop length; a running generator is restarted so its loop matches.</t>
  </si>
  <si>
    <t xml:space="preserve">bytes: chunk size</t>
  </si>
  <si>
    <t xml:space="preserve">MainWindow (BackendLauncher::h2cChunkBytesChanged handler; H2C CONTROL action)</t>
  </si>
  <si>
    <t xml:space="preserve">Defined ControlWindow3D.cpp:1962. Loop = bytes/4 I/Q pairs.</t>
  </si>
  <si>
    <t xml:space="preserve">GUI-039</t>
  </si>
  <si>
    <t xml:space="preserve">ControlWindow3D::setH2cThroughput</t>
  </si>
  <si>
    <t xml:space="preserve">void setH2cThroughput(double mibPerSec, int updatesPerSec);</t>
  </si>
  <si>
    <t xml:space="preserve">Shows iwfg_h2c's measured delivery against the DAC's consumption and flags starvation (&lt;98 %).</t>
  </si>
  <si>
    <t xml:space="preserve">mibPerSec: H2C MiB/s; updatesPerSec (unused)</t>
  </si>
  <si>
    <t xml:space="preserve">Link label text/colour; log on state change</t>
  </si>
  <si>
    <t xml:space="preserve">needMib = genRateMsps*1e6*4/1048576; starved if mib/need &lt; 0.98</t>
  </si>
  <si>
    <t xml:space="preserve">MainWindow (BackendLauncher::h2cThroughput handler)</t>
  </si>
  <si>
    <t xml:space="preserve">Defined ControlWindow3D.cpp:1979.</t>
  </si>
  <si>
    <t xml:space="preserve">GUI-040</t>
  </si>
  <si>
    <t xml:space="preserve">ControlWindow3D::setReceivedPeak</t>
  </si>
  <si>
    <t xml:space="preserve">void setReceivedPeak(double basebandHz, double dbfs, bool toneValid, double inputRateHz, double binHz);</t>
  </si>
  <si>
    <t xml:space="preserve">Feeds the receiver's strongest spectral peak (active channel) for the live chain and the loopback check.</t>
  </si>
  <si>
    <t xml:space="preserve">basebandHz (relative to centre), dbfs, toneValid, inputRateHz, binHz</t>
  </si>
  <si>
    <t xml:space="preserve">MainWindow::renderPending (every ~120 ms)</t>
  </si>
  <si>
    <t xml:space="preserve">Defined ControlWindow3D.cpp:2040. Collects samples during loopback-check steps 2 and 4.</t>
  </si>
  <si>
    <t xml:space="preserve">GUI-041</t>
  </si>
  <si>
    <t xml:space="preserve">ControlWindow3D::setRdmaControlVisible</t>
  </si>
  <si>
    <t xml:space="preserve">void setRdmaControlVisible(bool visible);</t>
  </si>
  <si>
    <t xml:space="preserve">Shows the rdma_tx iq_ctl control group only on the RoCEv2 path.</t>
  </si>
  <si>
    <t xml:space="preserve">visible</t>
  </si>
  <si>
    <t xml:space="preserve">MainWindow (H2C CONTROL action; createSource)</t>
  </si>
  <si>
    <t xml:space="preserve">Defined ControlWindow3D.cpp:2018.</t>
  </si>
  <si>
    <t xml:space="preserve">GUI-042</t>
  </si>
  <si>
    <t xml:space="preserve">ControlWindow3D::appendLog</t>
  </si>
  <si>
    <t xml:space="preserve">void appendLog(const QString&amp; line) { log(line); }</t>
  </si>
  <si>
    <t xml:space="preserve">Adds a line to the window's log pane for messages the main window owns.</t>
  </si>
  <si>
    <t xml:space="preserve">line</t>
  </si>
  <si>
    <t xml:space="preserve">MainWindow (backend handlers, checkCaptureRate, transmitGuard, setCaptureChannels)</t>
  </si>
  <si>
    <t xml:space="preserve">Inline; log capped at 200 blocks.</t>
  </si>
  <si>
    <t xml:space="preserve">GUI-043</t>
  </si>
  <si>
    <t xml:space="preserve">ControlWindow3D::setH2cHelperState</t>
  </si>
  <si>
    <t xml:space="preserve">void setH2cHelperState(int state, const QString&amp; detail, bool backendRunning);</t>
  </si>
  <si>
    <t xml:space="preserve">Reports the H2C playback helper (iwfg_h2c) state; Retry transmit is offered only when a live backend is up.</t>
  </si>
  <si>
    <t xml:space="preserve">state: sdr::H2cState as int; detail; backendRunning</t>
  </si>
  <si>
    <t xml:space="preserve">MainWindow::publishHelperState</t>
  </si>
  <si>
    <t xml:space="preserve">Defined ControlWindow3D.cpp:2051.</t>
  </si>
  <si>
    <t xml:space="preserve">GUI-044</t>
  </si>
  <si>
    <t xml:space="preserve">ControlWindow3D::setCaptureRate</t>
  </si>
  <si>
    <t xml:space="preserve">void setCaptureRate(double deliveredMib, double needMib, int channels, double rateMsps, int bytesPerSample);</t>
  </si>
  <si>
    <t xml:space="preserve">Shows delivered vs needed capture rate in the live chain and offers fewer channels when it falls short.</t>
  </si>
  <si>
    <t xml:space="preserve">deliveredMib (0 = not live), needMib, channels, rateMsps, bytesPerSample</t>
  </si>
  <si>
    <t xml:space="preserve">MiB/s, MSPS</t>
  </si>
  <si>
    <t xml:space="preserve">MainWindow::checkCaptureRate</t>
  </si>
  <si>
    <t xml:space="preserve">Defined ControlWindow3D.cpp:2062.</t>
  </si>
  <si>
    <t xml:space="preserve">GUI-045</t>
  </si>
  <si>
    <t xml:space="preserve">ControlWindow3D::restorePlGpioModeFor</t>
  </si>
  <si>
    <t xml:space="preserve">void restorePlGpioModeFor(int channels);</t>
  </si>
  <si>
    <t xml:space="preserve">Puts the PL GPIO routing back to the mode used before a 1-channel switch (or the mode matching 'channels').</t>
  </si>
  <si>
    <t xml:space="preserve">MainWindow::checkCaptureRate (switch did not take effect)</t>
  </si>
  <si>
    <t xml:space="preserve">Defined ControlWindow3D.cpp:2084.</t>
  </si>
  <si>
    <t xml:space="preserve">GUI-046</t>
  </si>
  <si>
    <t xml:space="preserve">ControlWindow3D::rfdcAttached</t>
  </si>
  <si>
    <t xml:space="preserve">bool rfdcAttached() const { return m_rfAttached &amp;&amp; m_rfdc; }</t>
  </si>
  <si>
    <t xml:space="preserve">True when the RFDC PCIe control path is attached and usable.</t>
  </si>
  <si>
    <t xml:space="preserve">GUI-047</t>
  </si>
  <si>
    <t xml:space="preserve">ControlWindow3D::plGpioMode</t>
  </si>
  <si>
    <t xml:space="preserve">int plGpioMode() const;</t>
  </si>
  <si>
    <t xml:space="preserve">PL GPIO routing mode as last read from / written to the device (combo value).</t>
  </si>
  <si>
    <t xml:space="preserve">int mode (0 if none)</t>
  </si>
  <si>
    <t xml:space="preserve">Defined ControlWindow3D.cpp:2092.</t>
  </si>
  <si>
    <t xml:space="preserve">GUI-048</t>
  </si>
  <si>
    <t xml:space="preserve">ControlWindow3D::applyPlGpioMode</t>
  </si>
  <si>
    <t xml:space="preserve">void applyPlGpioMode(int mode, const QString&amp; why);</t>
  </si>
  <si>
    <t xml:space="preserve">Sets the PL GPIO routing mode (1..3) on the RFDC tab combo and, if attached, on the device.</t>
  </si>
  <si>
    <t xml:space="preserve">mode: 1 single, 2 two, 3 four channels; why: log reason</t>
  </si>
  <si>
    <t xml:space="preserve">Queued RfdcControl::setPlGpioRouting</t>
  </si>
  <si>
    <t xml:space="preserve">MainWindow::transmitGuard / checkCaptureRate; 'Capture 1 channel' button</t>
  </si>
  <si>
    <t xml:space="preserve">Defined ControlWindow3D.cpp:2097. Out-of-range modes ignored.</t>
  </si>
  <si>
    <t xml:space="preserve">GUI-049</t>
  </si>
  <si>
    <t xml:space="preserve">ControlWindow3D::setH2cFifoPath</t>
  </si>
  <si>
    <t xml:space="preserve">void setH2cFifoPath(const QString&amp; path);</t>
  </si>
  <si>
    <t xml:space="preserve">Sets the FIFO the generator writes to, matching where the backend launched iwfg_h2c; deferred while the generator runs.</t>
  </si>
  <si>
    <t xml:space="preserve">MainWindow (H2C CONTROL action, startBackendThenAcquire)</t>
  </si>
  <si>
    <t xml:space="preserve">Defined ControlWindow3D.cpp:2073.</t>
  </si>
  <si>
    <t xml:space="preserve">GUI-050</t>
  </si>
  <si>
    <t xml:space="preserve">ControlWindow3D::closeEvent</t>
  </si>
  <si>
    <t xml:space="preserve">void closeEvent(QCloseEvent* e) override;</t>
  </si>
  <si>
    <t xml:space="preserve">Hides instead of destroying the window so reopening preserves state.</t>
  </si>
  <si>
    <t xml:space="preserve">e</t>
  </si>
  <si>
    <t xml:space="preserve">Qt window system</t>
  </si>
  <si>
    <t xml:space="preserve">Defined ControlWindow3D.cpp:1769; e-&gt;ignore(); hide().</t>
  </si>
  <si>
    <t xml:space="preserve">GUI-051</t>
  </si>
  <si>
    <t xml:space="preserve">ControlWindow3D::signalChainChanged</t>
  </si>
  <si>
    <t xml:space="preserve">void signalChainChanged(double ncoMHz, int interp, int decim, int channels, int chunkBytes);</t>
  </si>
  <si>
    <t xml:space="preserve">Signal-chain tab values changed by the operator (applied by the session on (re)start; not live in iq_ctl).</t>
  </si>
  <si>
    <t xml:space="preserve">ncoMHz, interp, decim, channels, chunkBytes</t>
  </si>
  <si>
    <t xml:space="preserve">MHz, bytes</t>
  </si>
  <si>
    <t xml:space="preserve">Emitted from buildSignalChainPanel edits; no connection to it found in MainWindow</t>
  </si>
  <si>
    <t xml:space="preserve">GUI-052</t>
  </si>
  <si>
    <t xml:space="preserve">ControlWindow3D::txStateChanged</t>
  </si>
  <si>
    <t xml:space="preserve">void txStateChanged(const sdr::TxState&amp; tx);</t>
  </si>
  <si>
    <t xml:space="preserve">Emitted whenever anything that determines the DAC output changes (DAC source, DDS, generator state/params).</t>
  </si>
  <si>
    <t xml:space="preserve">MainWindow lambda: transmitGuard on hostRunning edge, queued ISignalSource::setTxState, BackendLauncher::ensureH2c when generator starts in capture-only session</t>
  </si>
  <si>
    <t xml:space="preserve">Emitted by publishTxState().</t>
  </si>
  <si>
    <t xml:space="preserve">GUI-053</t>
  </si>
  <si>
    <t xml:space="preserve">ControlWindow3D::deviceRatesRead</t>
  </si>
  <si>
    <t xml:space="preserve">void deviceRatesRead(double adcStreamMsps, double dacStreamMsps);</t>
  </si>
  <si>
    <t xml:space="preserve">Stream clocks read from the device; the main window aligns its display sample rate to the ADC stream clock.</t>
  </si>
  <si>
    <t xml:space="preserve">adcStreamMsps, dacStreamMsps</t>
  </si>
  <si>
    <t xml:space="preserve">MainWindow lambda updates m_cfg.acq.sampleRateMsps in DMA mode and pushConfig()</t>
  </si>
  <si>
    <t xml:space="preserve">Emitted from onRfdcSnapshot.</t>
  </si>
  <si>
    <t xml:space="preserve">GUI-054</t>
  </si>
  <si>
    <t xml:space="preserve">ControlWindow3D::h2cRestartRequested</t>
  </si>
  <si>
    <t xml:space="preserve">void h2cRestartRequested();</t>
  </si>
  <si>
    <t xml:space="preserve">Operator pressed 'Retry transmit' (relaunch iwfg_h2c).</t>
  </si>
  <si>
    <t xml:space="preserve">MainWindow lambda -&gt; BackendLauncher::restartH2c(defaultH2cChunkBytes())</t>
  </si>
  <si>
    <t xml:space="preserve">GUI-055</t>
  </si>
  <si>
    <t xml:space="preserve">ControlWindow3D::captureChannelsRequested</t>
  </si>
  <si>
    <t xml:space="preserve">void captureChannelsRequested(int channels);</t>
  </si>
  <si>
    <t xml:space="preserve">Request to capture this many channels (PL GPIO mode already set).</t>
  </si>
  <si>
    <t xml:space="preserve">MainWindow lambda -&gt; setCaptureChannels(n)</t>
  </si>
  <si>
    <t xml:space="preserve">Emitted by 'Capture 1 channel (PL GPIO mode 1)'.</t>
  </si>
  <si>
    <t xml:space="preserve">GUI-056</t>
  </si>
  <si>
    <t xml:space="preserve">ControlWindow3D::onApply</t>
  </si>
  <si>
    <t xml:space="preserve">void onApply();</t>
  </si>
  <si>
    <t xml:space="preserve">RDMA block 'Apply': writes pace (0 = unlimited), sample rate and centre frequency to iq_ctl and bumps the sequence.</t>
  </si>
  <si>
    <t xml:space="preserve">H2cControl::apply(pace, rateHz, centreHz)</t>
  </si>
  <si>
    <t xml:space="preserve">Gb/s, Hz</t>
  </si>
  <si>
    <t xml:space="preserve">m_apply QPushButton::clicked</t>
  </si>
  <si>
    <t xml:space="preserve">Defined ControlWindow3D.cpp:1700.</t>
  </si>
  <si>
    <t xml:space="preserve">GUI-057</t>
  </si>
  <si>
    <t xml:space="preserve">ControlWindow3D::onRevert</t>
  </si>
  <si>
    <t xml:space="preserve">void onRevert();</t>
  </si>
  <si>
    <t xml:space="preserve">RDMA block 'Revert': reloads pace, rate and centre from the control block.</t>
  </si>
  <si>
    <t xml:space="preserve">m_revert clicked; attachControl</t>
  </si>
  <si>
    <t xml:space="preserve">Defined ControlWindow3D.cpp:1686.</t>
  </si>
  <si>
    <t xml:space="preserve">GUI-058</t>
  </si>
  <si>
    <t xml:space="preserve">ControlWindow3D::onRfdcAttach</t>
  </si>
  <si>
    <t xml:space="preserve">void onRfdcAttach();</t>
  </si>
  <si>
    <t xml:space="preserve">RFDC 'Attach' button: attaches to the selected BDF/BAR.</t>
  </si>
  <si>
    <t xml:space="preserve">m_rfAttach clicked</t>
  </si>
  <si>
    <t xml:space="preserve">Defined ControlWindow3D.cpp:647.</t>
  </si>
  <si>
    <t xml:space="preserve">GUI-059</t>
  </si>
  <si>
    <t xml:space="preserve">ControlWindow3D::onRfdcResetDefaults</t>
  </si>
  <si>
    <t xml:space="preserve">void onRfdcResetDefaults();</t>
  </si>
  <si>
    <t xml:space="preserve">Resets every RFDC control to the firmware boot defaults (PCIE_DEF_*) and, if attached, issues one restoreDefaults command then re-reads the snapshot.</t>
  </si>
  <si>
    <t xml:space="preserve">Queued RfdcControl::restoreDefaults + readSnapshot(0,2,true)</t>
  </si>
  <si>
    <t xml:space="preserve">m_rfDefaults clicked</t>
  </si>
  <si>
    <t xml:space="preserve">Defined ControlWindow3D.cpp:662.</t>
  </si>
  <si>
    <t xml:space="preserve">GUI-060</t>
  </si>
  <si>
    <t xml:space="preserve">ControlWindow3D::onRfdcPing</t>
  </si>
  <si>
    <t xml:space="preserve">void onRfdcPing();</t>
  </si>
  <si>
    <t xml:space="preserve">RFDC 'Ping': queued no-op round trip to the firmware.</t>
  </si>
  <si>
    <t xml:space="preserve">Queued RfdcControl::ping</t>
  </si>
  <si>
    <t xml:space="preserve">m_rfPing clicked</t>
  </si>
  <si>
    <t xml:space="preserve">Defined ControlWindow3D.cpp:738.</t>
  </si>
  <si>
    <t xml:space="preserve">GUI-061</t>
  </si>
  <si>
    <t xml:space="preserve">ControlWindow3D::onRfdcRefresh</t>
  </si>
  <si>
    <t xml:space="preserve">void onRfdcRefresh();</t>
  </si>
  <si>
    <t xml:space="preserve">Queues a read of the ring/cfg registers; result arrives via registersRead.</t>
  </si>
  <si>
    <t xml:space="preserve">Queued RfdcControl::pollRegisters</t>
  </si>
  <si>
    <t xml:space="preserve">m_rfRefresh clicked; after edits, busy end, verify/reset results</t>
  </si>
  <si>
    <t xml:space="preserve">Defined ControlWindow3D.cpp:888.</t>
  </si>
  <si>
    <t xml:space="preserve">GUI-062</t>
  </si>
  <si>
    <t xml:space="preserve">ControlWindow3D::onRfdcReadFromHardware</t>
  </si>
  <si>
    <t xml:space="preserve">void onRfdcReadFromHardware();</t>
  </si>
  <si>
    <t xml:space="preserve">'Read from hardware': one queued snapshot of all live converter values for the selected tile/channel/target.</t>
  </si>
  <si>
    <t xml:space="preserve">Queued RfdcControl::readSnapshot(tile, chan, adc)</t>
  </si>
  <si>
    <t xml:space="preserve">m_rfReadHw clicked; onGenToggle</t>
  </si>
  <si>
    <t xml:space="preserve">Defined ControlWindow3D.cpp:720.</t>
  </si>
  <si>
    <t xml:space="preserve">GUI-063</t>
  </si>
  <si>
    <t xml:space="preserve">ControlWindow3D::onRfdcBusyChanged</t>
  </si>
  <si>
    <t xml:space="preserve">void onRfdcBusyChanged(bool busy);</t>
  </si>
  <si>
    <t xml:space="preserve">Shows the busy bar/Abort and disables device-touching buttons while a command is in flight.</t>
  </si>
  <si>
    <t xml:space="preserve">busy</t>
  </si>
  <si>
    <t xml:space="preserve">RfdcControl::busyChanged</t>
  </si>
  <si>
    <t xml:space="preserve">Defined ControlWindow3D.cpp:743.</t>
  </si>
  <si>
    <t xml:space="preserve">GUI-064</t>
  </si>
  <si>
    <t xml:space="preserve">ControlWindow3D::onRfdcSnapshot</t>
  </si>
  <si>
    <t xml:space="preserve">void onRfdcSnapshot(const QVariantMap&amp; values);</t>
  </si>
  <si>
    <t xml:space="preserve">Populates every RFDC field, the Signal chain tab and the generator sample rate from the device snapshot, caches the live chain values, emits deviceRatesRead and logs advisory notes (decimation 1x, DAC on host with no generator, QMC ~0).</t>
  </si>
  <si>
    <t xml:space="preserve">values: QVariantMap (fs_mhz, decimation, interpolation, nco_khz, dds_hz, dsa_db10, vop_ua, qmc_10000, dac_source, pl_gpio, axis, nyquist, dac/adc_stream_khz, dac/adc_nco_khz, ...)</t>
  </si>
  <si>
    <t xml:space="preserve">deviceRatesRead; txStateChanged</t>
  </si>
  <si>
    <t xml:space="preserve">processing gain = 10*log10(D) dB; ENOB loss = gain/6.02</t>
  </si>
  <si>
    <t xml:space="preserve">MHz, kHz, dB</t>
  </si>
  <si>
    <t xml:space="preserve">RfdcControl::snapshotReady</t>
  </si>
  <si>
    <t xml:space="preserve">Defined ControlWindow3D.cpp:764.</t>
  </si>
  <si>
    <t xml:space="preserve">GUI-065</t>
  </si>
  <si>
    <t xml:space="preserve">ControlWindow3D::onRfdcAttachResult</t>
  </si>
  <si>
    <t xml:space="preserve">void onRfdcAttachResult(bool ok, const QString&amp; detail);</t>
  </si>
  <si>
    <t xml:space="preserve">Enables/disables all RFDC controls and shows the attach outcome.</t>
  </si>
  <si>
    <t xml:space="preserve">ok, detail</t>
  </si>
  <si>
    <t xml:space="preserve">RfdcControl::attachResult</t>
  </si>
  <si>
    <t xml:space="preserve">Defined ControlWindow3D.cpp:630.</t>
  </si>
  <si>
    <t xml:space="preserve">GUI-066</t>
  </si>
  <si>
    <t xml:space="preserve">ControlWindow3D::onRfdcRegisters</t>
  </si>
  <si>
    <t xml:space="preserve">void onRfdcRegisters(quint32 ring, quint32 cfg);</t>
  </si>
  <si>
    <t xml:space="preserve">Displays ring/cfg registers, NEW_CMD bit and the decoded ACK error status.</t>
  </si>
  <si>
    <t xml:space="preserve">ring, cfg</t>
  </si>
  <si>
    <t xml:space="preserve">RfdcControl::registersRead</t>
  </si>
  <si>
    <t xml:space="preserve">Defined ControlWindow3D.cpp:1091. Uses RING_ACK_VALID/RING_ACK_ERR from pcie_regs.h.</t>
  </si>
  <si>
    <t xml:space="preserve">GUI-067</t>
  </si>
  <si>
    <t xml:space="preserve">ControlWindow3D::onRfdcSyncing</t>
  </si>
  <si>
    <t xml:space="preserve">void onRfdcSyncing(bool syncing);</t>
  </si>
  <si>
    <t xml:space="preserve">Locks the RFDC panel while a sync/reset sequence owns the device.</t>
  </si>
  <si>
    <t xml:space="preserve">syncing</t>
  </si>
  <si>
    <t xml:space="preserve">RfdcControl::syncingChanged</t>
  </si>
  <si>
    <t xml:space="preserve">Defined ControlWindow3D.cpp:975.</t>
  </si>
  <si>
    <t xml:space="preserve">GUI-068</t>
  </si>
  <si>
    <t xml:space="preserve">ControlWindow3D::onRfdcSyncFinished</t>
  </si>
  <si>
    <t xml:space="preserve">void onRfdcSyncFinished(bool ok, const QString&amp; detail);</t>
  </si>
  <si>
    <t xml:space="preserve">On a successful sync, edits are sent immediately (apply-on-edit); on failure the fields hold software defaults and edits are only recorded until 'Apply changed values'.</t>
  </si>
  <si>
    <t xml:space="preserve">RfdcControl::syncFinished</t>
  </si>
  <si>
    <t xml:space="preserve">Defined ControlWindow3D.cpp:989. Prevents writing defaults such as QMC 0 or VOP 0 mA to hardware.</t>
  </si>
  <si>
    <t xml:space="preserve">GUI-069</t>
  </si>
  <si>
    <t xml:space="preserve">ControlWindow3D::onRfdcVerify</t>
  </si>
  <si>
    <t xml:space="preserve">void onRfdcVerify(const QString&amp; name, bool ok, quint32 req, quint32 act, const QString&amp; detail);</t>
  </si>
  <si>
    <t xml:space="preserve">Shows a write-verify outcome; on failure pops a modal 'Verification failed' warning with requested vs device values.</t>
  </si>
  <si>
    <t xml:space="preserve">name, ok, req, act, detail</t>
  </si>
  <si>
    <t xml:space="preserve">RfdcControl::verifyResult</t>
  </si>
  <si>
    <t xml:space="preserve">Defined ControlWindow3D.cpp:1030.</t>
  </si>
  <si>
    <t xml:space="preserve">GUI-070</t>
  </si>
  <si>
    <t xml:space="preserve">ControlWindow3D::onRfdcResetFinished</t>
  </si>
  <si>
    <t xml:space="preserve">void onRfdcResetFinished(bool ok, const QString&amp; detail);</t>
  </si>
  <si>
    <t xml:space="preserve">Reports Complete Reset success/failure in a message box.</t>
  </si>
  <si>
    <t xml:space="preserve">RfdcControl::resetFinished</t>
  </si>
  <si>
    <t xml:space="preserve">Defined ControlWindow3D.cpp:1055.</t>
  </si>
  <si>
    <t xml:space="preserve">GUI-071</t>
  </si>
  <si>
    <t xml:space="preserve">ControlWindow3D::onRfdcCompleteReset</t>
  </si>
  <si>
    <t xml:space="preserve">void onRfdcCompleteReset();</t>
  </si>
  <si>
    <t xml:space="preserve">'Complete Reset' after confirmation: stop datapath, restore boot configuration, restart and re-read all registers.</t>
  </si>
  <si>
    <t xml:space="preserve">Queued RfdcControl::completeReset(tile, chan, adc)</t>
  </si>
  <si>
    <t xml:space="preserve">m_rfFullReset clicked</t>
  </si>
  <si>
    <t xml:space="preserve">Defined ControlWindow3D.cpp:1071.</t>
  </si>
  <si>
    <t xml:space="preserve">GUI-072</t>
  </si>
  <si>
    <t xml:space="preserve">ControlWindow3D::onRfdcApplyDirty</t>
  </si>
  <si>
    <t xml:space="preserve">void onRfdcApplyDirty();</t>
  </si>
  <si>
    <t xml:space="preserve">Sends only the fields the operator edited, in safe order: decimation/interpolation then MTS, NCO, phase, DSA, QMC, VOP, DAC source, DDS last.</t>
  </si>
  <si>
    <t xml:space="preserve">One queued RfdcControl job</t>
  </si>
  <si>
    <t xml:space="preserve">m_rfApplyDirty clicked</t>
  </si>
  <si>
    <t xml:space="preserve">Defined ControlWindow3D.cpp:924.</t>
  </si>
  <si>
    <t xml:space="preserve">GUI-073</t>
  </si>
  <si>
    <t xml:space="preserve">ControlWindow3D::onGenToggle</t>
  </si>
  <si>
    <t xml:space="preserve">void onGenToggle();</t>
  </si>
  <si>
    <t xml:space="preserve">'Start/Stop generator': in simulation toggles the modelled generator; on hardware stops it, or ensures DAC input = host stream, reads the chain, and starts IqGenerator into the H2C FIFO.</t>
  </si>
  <si>
    <t xml:space="preserve">IqGenerator::start(Config) queued / IqGenerator::stop()</t>
  </si>
  <si>
    <t xml:space="preserve">m_genBtn clicked; onVerifyLoopback</t>
  </si>
  <si>
    <t xml:space="preserve">Defined ControlWindow3D.cpp:1306. stop() is an atomic flag, safe cross-thread; start queued to the iqGen thread.</t>
  </si>
  <si>
    <t xml:space="preserve">GUI-074</t>
  </si>
  <si>
    <t xml:space="preserve">ControlWindow3D::onVerifyLoopback</t>
  </si>
  <si>
    <t xml:space="preserve">void onVerifyLoopback();</t>
  </si>
  <si>
    <t xml:space="preserve">'Verify loopback': starts the generator if needed, then hops the tone by ~7.3 MHz and back, checking that the ADC-received tone moves with it (about 6 s).</t>
  </si>
  <si>
    <t xml:space="preserve">Verdict text in the chain group and log</t>
  </si>
  <si>
    <t xml:space="preserve">m_verifyBtn clicked</t>
  </si>
  <si>
    <t xml:space="preserve">Defined ControlWindow3D.cpp:2307. Requires a received peak within the last 2 s. Drives loopCheckTick via 100 ms QTimer.</t>
  </si>
  <si>
    <t xml:space="preserve">GUI-075</t>
  </si>
  <si>
    <t xml:space="preserve">ControlWindow3D::loopCheckTick</t>
  </si>
  <si>
    <t xml:space="preserve">void loopCheckTick();</t>
  </si>
  <si>
    <t xml:space="preserve">Loopback-check state machine: wait for transmit (8 s timeout), settle 1.5 s, measure tone A 1.2 s, move tone, settle, measure B, then finishLoopCheck().</t>
  </si>
  <si>
    <t xml:space="preserve">tol = max(3*binHz*k, 0.01*|dTx|); pass if ||dRx|-|dTx|| &lt;= tol</t>
  </si>
  <si>
    <t xml:space="preserve">m_lcTimer QTimer::timeout (100 ms)</t>
  </si>
  <si>
    <t xml:space="preserve">Defined ControlWindow3D.cpp:2329. Median of collected peak samples.</t>
  </si>
  <si>
    <t xml:space="preserve">GUI-076</t>
  </si>
  <si>
    <t xml:space="preserve">ControlWindow3D::onGenProgress</t>
  </si>
  <si>
    <t xml:space="preserve">void onGenProgress(quint64 total, double msps, quint64 chunks, quint64 reconnects);</t>
  </si>
  <si>
    <t xml:space="preserve">Shows proof of transmission: loop loads (coherent) or MSPS written and chunk count (streaming), plus reconnects.</t>
  </si>
  <si>
    <t xml:space="preserve">total, msps, chunks, reconnects</t>
  </si>
  <si>
    <t xml:space="preserve">IqGenerator::progress</t>
  </si>
  <si>
    <t xml:space="preserve">Defined ControlWindow3D.cpp:1356.</t>
  </si>
  <si>
    <t xml:space="preserve">GUI-077</t>
  </si>
  <si>
    <t xml:space="preserve">ControlWindow3D::rfdcInvoke</t>
  </si>
  <si>
    <t xml:space="preserve">void rfdcInvoke(const std::function&lt;void()&gt;&amp; job);</t>
  </si>
  <si>
    <t xml:space="preserve">Queues a job onto the RFDC worker thread, refusing if not attached or a command is already in flight.</t>
  </si>
  <si>
    <t xml:space="preserve">job: functor</t>
  </si>
  <si>
    <t xml:space="preserve">All RFDC edit handlers</t>
  </si>
  <si>
    <t xml:space="preserve">Defined ControlWindow3D.cpp:731. QMetaObject::invokeMethod(m_rfdc, job, QueuedConnection); never blocks the GUI.</t>
  </si>
  <si>
    <t xml:space="preserve">GUI-078</t>
  </si>
  <si>
    <t xml:space="preserve">ControlWindow3D::sendOnEdit</t>
  </si>
  <si>
    <t xml:space="preserve">bool sendOnEdit(QWidget* w);</t>
  </si>
  <si>
    <t xml:space="preserve">Returns true if an edit may be transmitted now (values came from the device); otherwise marks the widget dirty for an explicit Apply.</t>
  </si>
  <si>
    <t xml:space="preserve">w: edited widget</t>
  </si>
  <si>
    <t xml:space="preserve">RFDC per-control edit handlers</t>
  </si>
  <si>
    <t xml:space="preserve">Defined ControlWindow3D.cpp:906.</t>
  </si>
  <si>
    <t xml:space="preserve">GUI-079</t>
  </si>
  <si>
    <t xml:space="preserve">ControlWindow3D::ensureHostRouting</t>
  </si>
  <si>
    <t xml:space="preserve">void ensureHostRouting();</t>
  </si>
  <si>
    <t xml:space="preserve">On generator start, switches the DAC input to 'Host / GNU Radio stream' if attached and idle, else logs why it could not.</t>
  </si>
  <si>
    <t xml:space="preserve">Queued RfdcControl::setDacSource(PCIE_DAC_SRC_HOST)</t>
  </si>
  <si>
    <t xml:space="preserve">onGenToggle; onVerifyLoopback</t>
  </si>
  <si>
    <t xml:space="preserve">Defined ControlWindow3D.cpp:1849.</t>
  </si>
  <si>
    <t xml:space="preserve">GUI-080</t>
  </si>
  <si>
    <t xml:space="preserve">ControlWindow3D::publishTxState</t>
  </si>
  <si>
    <t xml:space="preserve">void publishTxState();</t>
  </si>
  <si>
    <t xml:space="preserve">Emits txStateChanged(txState()) and refreshes the live chain.</t>
  </si>
  <si>
    <t xml:space="preserve">txStateChanged</t>
  </si>
  <si>
    <t xml:space="preserve">Generator/DAC-source/DDS handlers, snapshot, sim mode changes</t>
  </si>
  <si>
    <t xml:space="preserve">Defined ControlWindow3D.cpp:1895.</t>
  </si>
  <si>
    <t xml:space="preserve">GUI-081</t>
  </si>
  <si>
    <t xml:space="preserve">ControlWindow3D::refreshChain</t>
  </si>
  <si>
    <t xml:space="preserve">void refreshChain();</t>
  </si>
  <si>
    <t xml:space="preserve">Rebuilds the live transmit-chain group (DAC input, DAC, NCO/RF, ADC, H2C playback, H2C to card, C2H capture, Received) from device readback and measurements.</t>
  </si>
  <si>
    <t xml:space="preserve">Most setters and publishTxState</t>
  </si>
  <si>
    <t xml:space="preserve">Defined ControlWindow3D.cpp:2105.</t>
  </si>
  <si>
    <t xml:space="preserve">GUI-082</t>
  </si>
  <si>
    <t xml:space="preserve">ControlWindow3D::rxTrueHz</t>
  </si>
  <si>
    <t xml:space="preserve">double rxTrueHz(double displayedHz) const;</t>
  </si>
  <si>
    <t xml:space="preserve">Corrects a displayed received frequency for a display-rate vs ADC-stream-rate mismatch.</t>
  </si>
  <si>
    <t xml:space="preserve">displayedHz</t>
  </si>
  <si>
    <t xml:space="preserve">displayedHz * adcStreamMsps*1e6 / displayRateHz</t>
  </si>
  <si>
    <t xml:space="preserve">setReceivedPeak</t>
  </si>
  <si>
    <t xml:space="preserve">Defined ControlWindow3D.cpp:2023.</t>
  </si>
  <si>
    <t xml:space="preserve">GUI-083</t>
  </si>
  <si>
    <t xml:space="preserve">ControlWindow3D::expectedRxHz</t>
  </si>
  <si>
    <t xml:space="preserve">double expectedRxHz(double txHz) const;</t>
  </si>
  <si>
    <t xml:space="preserve">Magnitude of the baseband frequency at which the ADC should see a transmitted tone, given both NCOs.</t>
  </si>
  <si>
    <t xml:space="preserve">txHz</t>
  </si>
  <si>
    <t xml:space="preserve">|txHz + (dacNcoMHz - adcNcoMHz)*1e6|</t>
  </si>
  <si>
    <t xml:space="preserve">refreshChain; finishLoopCheck</t>
  </si>
  <si>
    <t xml:space="preserve">Defined ControlWindow3D.cpp:2032.</t>
  </si>
  <si>
    <t xml:space="preserve">GUI-084</t>
  </si>
  <si>
    <t xml:space="preserve">sdr::ui::DisplayPanel</t>
  </si>
  <si>
    <t xml:space="preserve">class DisplayPanel : public QWidget</t>
  </si>
  <si>
    <t xml:space="preserve">Right dock 'Display &amp; Analysis': FFT size, window, averaging, refresh rate, dB floor/ceiling, colour map, waterfall rows, persistence, peak search, active channel / overlay and Reset averaging.</t>
  </si>
  <si>
    <t xml:space="preserve">MainWindow::buildDocks</t>
  </si>
  <si>
    <t xml:space="preserve">GUI thread.</t>
  </si>
  <si>
    <t xml:space="preserve">01_sdr_workstation_GUI/src/ui/Panels.h</t>
  </si>
  <si>
    <t xml:space="preserve">GUI-085</t>
  </si>
  <si>
    <t xml:space="preserve">DisplayPanel::displayConfig</t>
  </si>
  <si>
    <t xml:space="preserve">sdr::DisplayConfig displayConfig() const;</t>
  </si>
  <si>
    <t xml:space="preserve">Builds the DisplayConfig from the widgets (ceiling clamped to floor+10 dB if below floor).</t>
  </si>
  <si>
    <t xml:space="preserve">MainWindow::onConfigChanged / onSourceRestartRequired</t>
  </si>
  <si>
    <t xml:space="preserve">Defined Panels.cpp:846.</t>
  </si>
  <si>
    <t xml:space="preserve">GUI-086</t>
  </si>
  <si>
    <t xml:space="preserve">DisplayPanel::loadFrom</t>
  </si>
  <si>
    <t xml:space="preserve">void loadFrom(const sdr::Config&amp; cfg);</t>
  </si>
  <si>
    <t xml:space="preserve">Loads FFT size, window, averaging, refresh rate, floor/ceiling and colour map from a Config.</t>
  </si>
  <si>
    <t xml:space="preserve">MainWindow constructor</t>
  </si>
  <si>
    <t xml:space="preserve">Defined Panels.cpp:876.</t>
  </si>
  <si>
    <t xml:space="preserve">GUI-087</t>
  </si>
  <si>
    <t xml:space="preserve">DisplayPanel::setChannelCount</t>
  </si>
  <si>
    <t xml:space="preserve">void setChannelCount(int n);</t>
  </si>
  <si>
    <t xml:space="preserve">Rebuilds the active-channel combo (CH 0..n-1), keeping the current choice when possible.</t>
  </si>
  <si>
    <t xml:space="preserve">n</t>
  </si>
  <si>
    <t xml:space="preserve">Defined Panels.cpp:889.</t>
  </si>
  <si>
    <t xml:space="preserve">GUI-088</t>
  </si>
  <si>
    <t xml:space="preserve">DisplayPanel::configChanged</t>
  </si>
  <si>
    <t xml:space="preserve">void configChanged();</t>
  </si>
  <si>
    <t xml:space="preserve">Any display setting changed.</t>
  </si>
  <si>
    <t xml:space="preserve">GUI-089</t>
  </si>
  <si>
    <t xml:space="preserve">DisplayPanel::resetAveragingRequested</t>
  </si>
  <si>
    <t xml:space="preserve">void resetAveragingRequested();</t>
  </si>
  <si>
    <t xml:space="preserve">Operator pressed Reset averaging.</t>
  </si>
  <si>
    <t xml:space="preserve">MainWindow lambda -&gt; queued DspEngine::clearAverages + clearTraces on all plots</t>
  </si>
  <si>
    <t xml:space="preserve">GUI-090</t>
  </si>
  <si>
    <t xml:space="preserve">sdr::ui::InstrumentPlot</t>
  </si>
  <si>
    <t xml:space="preserve">class InstrumentPlot : public PlotBase</t>
  </si>
  <si>
    <t xml:space="preserve">Abstract plot that receives FrameResults and the DisplayConfig; base of the four instrument plots.</t>
  </si>
  <si>
    <t xml:space="preserve">MainWindow::plots()</t>
  </si>
  <si>
    <t xml:space="preserve">GUI-091</t>
  </si>
  <si>
    <t xml:space="preserve">InstrumentPlot::setFrame</t>
  </si>
  <si>
    <t xml:space="preserve">virtual void setFrame(const sdr::FrameResult&amp; frame) = 0;</t>
  </si>
  <si>
    <t xml:space="preserve">Pure virtual: consume a new DSP frame.</t>
  </si>
  <si>
    <t xml:space="preserve">frame</t>
  </si>
  <si>
    <t xml:space="preserve">MainWindow::renderPending (visible plots only)</t>
  </si>
  <si>
    <t xml:space="preserve">GUI-092</t>
  </si>
  <si>
    <t xml:space="preserve">InstrumentPlot::setDisplayConfig</t>
  </si>
  <si>
    <t xml:space="preserve">virtual void setDisplayConfig(const sdr::DisplayConfig&amp; cfg) { m_disp = cfg; update(); }</t>
  </si>
  <si>
    <t xml:space="preserve">Stores display settings and repaints.</t>
  </si>
  <si>
    <t xml:space="preserve">Overridden by Spectrum/Waterfall/Constellation.</t>
  </si>
  <si>
    <t xml:space="preserve">GUI-093</t>
  </si>
  <si>
    <t xml:space="preserve">InstrumentPlot::clearTraces</t>
  </si>
  <si>
    <t xml:space="preserve">virtual void clearTraces() {}</t>
  </si>
  <si>
    <t xml:space="preserve">Clears accumulated traces/history.</t>
  </si>
  <si>
    <t xml:space="preserve">MainWindow (restart, Reset averaging)</t>
  </si>
  <si>
    <t xml:space="preserve">GUI-094</t>
  </si>
  <si>
    <t xml:space="preserve">InstrumentPlot::visibleChannels</t>
  </si>
  <si>
    <t xml:space="preserve">QVector&lt;int&gt; visibleChannels(std::size_t available) const;</t>
  </si>
  <si>
    <t xml:space="preserve">Channels to draw: all in Overlay view, else only the (clamped) active channel.</t>
  </si>
  <si>
    <t xml:space="preserve">available</t>
  </si>
  <si>
    <t xml:space="preserve">channel indices</t>
  </si>
  <si>
    <t xml:space="preserve">TimeDomainPlot/SpectrumPlot::setFrame</t>
  </si>
  <si>
    <t xml:space="preserve">Defined Plots.cpp:27.</t>
  </si>
  <si>
    <t xml:space="preserve">GUI-095</t>
  </si>
  <si>
    <t xml:space="preserve">sdr::ui::MainWindow</t>
  </si>
  <si>
    <t xml:space="preserve">class MainWindow : public QMainWindow</t>
  </si>
  <si>
    <t xml:space="preserve">The workstation shell: dockable Source/Display/Status/Measurement panels around a four-plot grid, toolbar transport (Start/Pause/Stop/Record/Open), status bar, and the owner of the acquisition, DSP and recorder worker threads and the backend launcher.</t>
  </si>
  <si>
    <t xml:space="preserve">Created in main() after the launcher dialog (main.cpp)</t>
  </si>
  <si>
    <t xml:space="preserve">GUI thread. Owns QThreads 'acquisition', 'dsp', 'recorder' (LowPriority); ControlWindow3D created lazily on first H2C CONTROL click.</t>
  </si>
  <si>
    <t xml:space="preserve">01_sdr_workstation_GUI/src/ui/MainWindow.h</t>
  </si>
  <si>
    <t xml:space="preserve">GUI-096</t>
  </si>
  <si>
    <t xml:space="preserve">MainWindow::MainWindow</t>
  </si>
  <si>
    <t xml:space="preserve">explicit MainWindow(const sdr::SystemConfig&amp; sys, QWidget* parent = nullptr);</t>
  </si>
  <si>
    <t xml:space="preserve">Builds actions, plot grid, docks, menus, ResourceMonitor/ResourceBar, H2C CONTROL action, toolbar, status bar and the worker pipeline; restores QSettings layout, applies config, creates the source and auto-starts acquisition.</t>
  </si>
  <si>
    <t xml:space="preserve">sys: SystemConfig from the launcher (initial Config, device, data-flow mode, UDP options, driverLoadedBySession)</t>
  </si>
  <si>
    <t xml:space="preserve">Defined MainWindow.cpp:70. Creates DriverManager only if sys.driverLoadedBySession. Starts ResourceMonitor at 1000 ms; render QTimer (PreciseTimer) at 1000/clamp(refreshFps,1,120) ms. Calls onStart() at the end.</t>
  </si>
  <si>
    <t xml:space="preserve">GUI-097</t>
  </si>
  <si>
    <t xml:space="preserve">MainWindow::~MainWindow</t>
  </si>
  <si>
    <t xml:space="preserve">~MainWindow() override;</t>
  </si>
  <si>
    <t xml:space="preserve">Ordered shutdown: queues source stop/delete, deletes the backend launcher (bounded ~2 s), stops the recorder, quits worker threads, and rmmods the iwfg driver only if this session loaded it.</t>
  </si>
  <si>
    <t xml:space="preserve">Qt object tree / application exit</t>
  </si>
  <si>
    <t xml:space="preserve">Defined MainWindow.cpp:223. Recorder stop uses BlockingQueuedConnection; each thread quit() + wait(2000). Driver removal is last so rmmod cannot race a live DMA.</t>
  </si>
  <si>
    <t xml:space="preserve">GUI-098</t>
  </si>
  <si>
    <t xml:space="preserve">MainWindow::closeEvent</t>
  </si>
  <si>
    <t xml:space="preserve">Saves window geometry, dock state and splitter positions to QSettings before the window closes.</t>
  </si>
  <si>
    <t xml:space="preserve">e: close event</t>
  </si>
  <si>
    <t xml:space="preserve">Defined MainWindow.cpp:300; calls saveSettings().</t>
  </si>
  <si>
    <t xml:space="preserve">GUI-099</t>
  </si>
  <si>
    <t xml:space="preserve">MainWindow::eventFilter</t>
  </si>
  <si>
    <t xml:space="preserve">bool eventFilter(QObject* o, QEvent* e) override;</t>
  </si>
  <si>
    <t xml:space="preserve">Edge-resizing for the frameless window: a left-press within 6 px of an edge hands the drag to the compositor; mouse-move sets the matching resize cursor.</t>
  </si>
  <si>
    <t xml:space="preserve">o, e: watched object and event</t>
  </si>
  <si>
    <t xml:space="preserve">true when a system resize was started</t>
  </si>
  <si>
    <t xml:space="preserve">Qt event dispatch</t>
  </si>
  <si>
    <t xml:space="preserve">Defined MainWindow.cpp:253. Uses QWindow::startSystemResize(edges); inactive when maximised or no TitleBar.</t>
  </si>
  <si>
    <t xml:space="preserve">GUI-100</t>
  </si>
  <si>
    <t xml:space="preserve">MainWindow::onFrameReady</t>
  </si>
  <si>
    <t xml:space="preserve">void onFrameReady(const sdr::FrameResult&amp; frame);</t>
  </si>
  <si>
    <t xml:space="preserve">Stores the newest DSP frame and marks it pending; painting is deferred to the render timer so bursts of frames coalesce into one repaint.</t>
  </si>
  <si>
    <t xml:space="preserve">frame: FrameResult from DspEngine</t>
  </si>
  <si>
    <t xml:space="preserve">connected from DspEngine::frameReady in buildPipeline()</t>
  </si>
  <si>
    <t xml:space="preserve">Defined MainWindow.cpp:1494. GUI thread (queued from dsp thread). Non-blocking; no painting here.</t>
  </si>
  <si>
    <t xml:space="preserve">GUI-101</t>
  </si>
  <si>
    <t xml:space="preserve">void renderPending();</t>
  </si>
  <si>
    <t xml:space="preserve">Paints the most recent frame into every visible plot, refreshes the measurement tables at most every 120 ms, feeds the received peak to the H2C window, updates display FPS and re-opens the render gate.</t>
  </si>
  <si>
    <t xml:space="preserve">Plots/tables updated; m_renderGate released to 0</t>
  </si>
  <si>
    <t xml:space="preserve">binHz = displayRateHz / fftSize; fps = frames*1000/elapsed_ms</t>
  </si>
  <si>
    <t xml:space="preserve">Hz, frames/s</t>
  </si>
  <si>
    <t xml:space="preserve">connected from m_renderTimer QTimer::timeout (constructor)</t>
  </si>
  <si>
    <t xml:space="preserve">Defined MainWindow.cpp:1505. GUI thread. Calls ControlWindow3D::setReceivedPeak with peak relative to centre; FPS recomputed every 1000 ms.</t>
  </si>
  <si>
    <t xml:space="preserve">GUI-102</t>
  </si>
  <si>
    <t xml:space="preserve">MainWindow::onStats</t>
  </si>
  <si>
    <t xml:space="preserve">void onStats(const sdr::StreamStats&amp; stats);</t>
  </si>
  <si>
    <t xml:space="preserve">Updates status bar (source, MB/s, drops with percentage colouring, buffer bar) and status/source panels; runs the 6 s silent-idle watchdog and calls checkCaptureRate().</t>
  </si>
  <si>
    <t xml:space="preserve">stats: StreamStats from the source</t>
  </si>
  <si>
    <t xml:space="preserve">Status widgets updated; 'No data received' notice after 6 s with no blocks</t>
  </si>
  <si>
    <t xml:space="preserve">MB/s, %</t>
  </si>
  <si>
    <t xml:space="preserve">connected from ISignalSource::statsUpdated in createSource()</t>
  </si>
  <si>
    <t xml:space="preserve">Defined MainWindow.cpp:1426. GUI thread. Drops coloured warn &gt;=1 %, danger &gt;=5 %.</t>
  </si>
  <si>
    <t xml:space="preserve">GUI-103</t>
  </si>
  <si>
    <t xml:space="preserve">MainWindow::onRunState</t>
  </si>
  <si>
    <t xml:space="preserve">void onRunState(sdr::RunState state);</t>
  </si>
  <si>
    <t xml:space="preserve">Enables/disables Start/Stop/Pause according to the run state and recolours the toolbar state pill (Running green, Paused amber, Error red).</t>
  </si>
  <si>
    <t xml:space="preserve">state: RunState</t>
  </si>
  <si>
    <t xml:space="preserve">connected from ISignalSource::runStateChanged in createSource()</t>
  </si>
  <si>
    <t xml:space="preserve">Defined MainWindow.cpp:1394. GUI thread.</t>
  </si>
  <si>
    <t xml:space="preserve">GUI-104</t>
  </si>
  <si>
    <t xml:space="preserve">MainWindow::onSourceError</t>
  </si>
  <si>
    <t xml:space="preserve">void onSourceError(const QString&amp; text);</t>
  </si>
  <si>
    <t xml:space="preserve">Shows an acquisition error in the status bar and as a non-modal 'Acquisition' notice.</t>
  </si>
  <si>
    <t xml:space="preserve">text: error message</t>
  </si>
  <si>
    <t xml:space="preserve">connected from ISignalSource::sourceError in createSource()</t>
  </si>
  <si>
    <t xml:space="preserve">Defined MainWindow.cpp:1419. Uses showNotice key 'acquisition'.</t>
  </si>
  <si>
    <t xml:space="preserve">GUI-105</t>
  </si>
  <si>
    <t xml:space="preserve">void onConfigChanged();</t>
  </si>
  <si>
    <t xml:space="preserve">Collects the panels' settings into the session Config, adjusts render-timer cadence, updates channel counts and plot display configs, disables Record in offline mode and pushes the config to source and DSP.</t>
  </si>
  <si>
    <t xml:space="preserve">m_cfg updated; applyConfig queued to source and DspEngine</t>
  </si>
  <si>
    <t xml:space="preserve">connected from SourcePanel::configChanged and DisplayPanel::configChanged (buildDocks); also called by setCaptureChannels/checkCaptureRate</t>
  </si>
  <si>
    <t xml:space="preserve">Defined MainWindow.cpp:789. GUI thread; non-blocking (queued).</t>
  </si>
  <si>
    <t xml:space="preserve">GUI-106</t>
  </si>
  <si>
    <t xml:space="preserve">MainWindow::onSourceRestartRequired</t>
  </si>
  <si>
    <t xml:space="preserve">void onSourceRestartRequired();</t>
  </si>
  <si>
    <t xml:space="preserve">Applies a source-structural change: a live DMA source is reconfigured in place (so the c2h FIFO is not closed); otherwise the backend is stopped when leaving live mode, the source is recreated and restarted if it was running.</t>
  </si>
  <si>
    <t xml:space="preserve">connected from SourcePanel::sourceRestartRequired; called from BackendLauncher::becameReady handler and onOpenCapture</t>
  </si>
  <si>
    <t xml:space="preserve">Defined MainWindow.cpp:809. Re-entrancy guarded by m_restarting. In-place DMA reconfig avoids c2h_stream exiting on EPIPE.</t>
  </si>
  <si>
    <t xml:space="preserve">GUI-107</t>
  </si>
  <si>
    <t xml:space="preserve">MainWindow::onStart</t>
  </si>
  <si>
    <t xml:space="preserve">void onStart();</t>
  </si>
  <si>
    <t xml:space="preserve">Start (F5): in live DMA mode without a ready backend it launches the UDP receiver or the PCIe backend first; otherwise resets DSP counters, applies config and starts the source.</t>
  </si>
  <si>
    <t xml:space="preserve">Queued applyConfig/start on the source; or backend launch</t>
  </si>
  <si>
    <t xml:space="preserve">QAction 'Start' triggered (buildActions); constructor; becameReady handler; onOpenCapture; onSourceRestartRequired</t>
  </si>
  <si>
    <t xml:space="preserve">Defined MainWindow.cpp:849. GUI thread; all source calls via QMetaObject::invokeMethod QueuedConnection.</t>
  </si>
  <si>
    <t xml:space="preserve">GUI-108</t>
  </si>
  <si>
    <t xml:space="preserve">MainWindow::startBackendThenAcquire</t>
  </si>
  <si>
    <t xml:space="preserve">void startBackendThenAcquire();</t>
  </si>
  <si>
    <t xml:space="preserve">Launches the PCIe C2H (or H2C+C2H when the launcher's data-flow mode has a transmit path) helper applications, building them first if missing and checking the C2H device node exists; acquisition starts when the backend reports ready.</t>
  </si>
  <si>
    <t xml:space="preserve">BackendLauncher::start(BackendConfig)</t>
  </si>
  <si>
    <t xml:space="preserve">MainWindow::onStart (DMA mode, non-UDP)</t>
  </si>
  <si>
    <t xml:space="preserve">Defined MainWindow.cpp:1318. Honors env IWFG_C2H_DEVICE, IWFG_H2C_DEVICE, IWFG_C2H_FIFO, IWFG_H2C_FIFO. buildBinaries() runs synchronously with a wait cursor. Notice 'device-missing' if node absent.</t>
  </si>
  <si>
    <t xml:space="preserve">GUI-109</t>
  </si>
  <si>
    <t xml:space="preserve">MainWindow::startUdpThenAcquire</t>
  </si>
  <si>
    <t xml:space="preserve">void startUdpThenAcquire();</t>
  </si>
  <si>
    <t xml:space="preserve">Live UDP transport: builds the UDP receiver if needed, checks the port is free, and starts it in UdpStream mode writing the capture FIFO.</t>
  </si>
  <si>
    <t xml:space="preserve">BackendLauncher::start with mode UdpStream</t>
  </si>
  <si>
    <t xml:space="preserve">MainWindow::onStart when SystemConfig.udpTransport</t>
  </si>
  <si>
    <t xml:space="preserve">Defined MainWindow.cpp:1273. Default FIFO /tmp/iwfg_c2h.fifo; empty udpInterface = plain UDP socket. Notice 'udp-port' if port busy.</t>
  </si>
  <si>
    <t xml:space="preserve">GUI-110</t>
  </si>
  <si>
    <t xml:space="preserve">MainWindow::onPause</t>
  </si>
  <si>
    <t xml:space="preserve">void onPause(bool paused);</t>
  </si>
  <si>
    <t xml:space="preserve">Pause/Resume (F6): holds the display without tearing down the stream.</t>
  </si>
  <si>
    <t xml:space="preserve">paused: checked state</t>
  </si>
  <si>
    <t xml:space="preserve">Queued ISignalSource::setPaused</t>
  </si>
  <si>
    <t xml:space="preserve">QAction 'Pause' toggled</t>
  </si>
  <si>
    <t xml:space="preserve">Defined MainWindow.cpp:871. Action text toggles Pause/Resume.</t>
  </si>
  <si>
    <t xml:space="preserve">GUI-111</t>
  </si>
  <si>
    <t xml:space="preserve">MainWindow::onStop</t>
  </si>
  <si>
    <t xml:space="preserve">void onStop();</t>
  </si>
  <si>
    <t xml:space="preserve">Stop (F7): tells the source to stop, then stops the backend helpers so the capture app is not writing into an undrained FIFO.</t>
  </si>
  <si>
    <t xml:space="preserve">Queued ISignalSource::stop; BackendLauncher::stop()</t>
  </si>
  <si>
    <t xml:space="preserve">QAction 'Stop' triggered; onOpenCapture</t>
  </si>
  <si>
    <t xml:space="preserve">Defined MainWindow.cpp:879. Ordered: reader first, then backend. Non-blocking.</t>
  </si>
  <si>
    <t xml:space="preserve">GUI-112</t>
  </si>
  <si>
    <t xml:space="preserve">MainWindow::onToggleRecord</t>
  </si>
  <si>
    <t xml:space="preserve">void onToggleRecord(bool on);</t>
  </si>
  <si>
    <t xml:space="preserve">Record (F9): asks for a destination file and a storage limit (validated against real free space by RecordingGuard), then starts the Recorder; unchecking stops it and ends the guard session.</t>
  </si>
  <si>
    <t xml:space="preserve">on: checked state</t>
  </si>
  <si>
    <t xml:space="preserve">Queued Recorder::startRecording(path, Config) / stopRecording</t>
  </si>
  <si>
    <t xml:space="preserve">QAction 'Record' toggled; RecordingGuard::limitReached unchecks it</t>
  </si>
  <si>
    <t xml:space="preserve">Defined MainWindow.cpp:1583. Critical findings block the recording (modal QMessageBox exec); suggested limit min(5000 MiB, 50 % of safe capacity).</t>
  </si>
  <si>
    <t xml:space="preserve">GUI-113</t>
  </si>
  <si>
    <t xml:space="preserve">MainWindow::onOpenCapture</t>
  </si>
  <si>
    <t xml:space="preserve">void onOpenCapture();</t>
  </si>
  <si>
    <t xml:space="preserve">Open capture (Ctrl+O): stops live acquisition, switches to File mode with the chosen file, restores its sidecar (rate/format/resampling) and starts offline replay.</t>
  </si>
  <si>
    <t xml:space="preserve">QAction 'Open capture…' triggered</t>
  </si>
  <si>
    <t xml:space="preserve">Defined MainWindow.cpp:1557. Filter: *.bin *.dat *.iq *.cf32 *.cs16 *.raw.</t>
  </si>
  <si>
    <t xml:space="preserve">GUI-114</t>
  </si>
  <si>
    <t xml:space="preserve">MainWindow::onExportIq</t>
  </si>
  <si>
    <t xml:space="preserve">void onExportIq();</t>
  </si>
  <si>
    <t xml:space="preserve">Writes the active channel's displayed I/Q samples of the last frame to an interleaved complex-float32 (.cf32) file.</t>
  </si>
  <si>
    <t xml:space="preserve">Binary .cf32 file</t>
  </si>
  <si>
    <t xml:space="preserve">File menu 'Export displayed I/Q…'</t>
  </si>
  <si>
    <t xml:space="preserve">Defined MainWindow.cpp:1669. std::ofstream binary write on the GUI thread.</t>
  </si>
  <si>
    <t xml:space="preserve">GUI-115</t>
  </si>
  <si>
    <t xml:space="preserve">MainWindow::onScreenshot</t>
  </si>
  <si>
    <t xml:space="preserve">void onScreenshot();</t>
  </si>
  <si>
    <t xml:space="preserve">Saves a PNG of the whole workstation window.</t>
  </si>
  <si>
    <t xml:space="preserve">PNG file</t>
  </si>
  <si>
    <t xml:space="preserve">File menu 'Save screenshot…'</t>
  </si>
  <si>
    <t xml:space="preserve">Defined MainWindow.cpp:1695. Uses QWidget::grab().</t>
  </si>
  <si>
    <t xml:space="preserve">GUI-116</t>
  </si>
  <si>
    <t xml:space="preserve">MainWindow::onResetLayout</t>
  </si>
  <si>
    <t xml:space="preserve">void onResetLayout();</t>
  </si>
  <si>
    <t xml:space="preserve">Re-docks and shows all four docks in their default areas and applies the four-up plot preset.</t>
  </si>
  <si>
    <t xml:space="preserve">View menu 'Reset dock layout'</t>
  </si>
  <si>
    <t xml:space="preserve">Defined MainWindow.cpp:1743.</t>
  </si>
  <si>
    <t xml:space="preserve">GUI-117</t>
  </si>
  <si>
    <t xml:space="preserve">MainWindow::buildPipeline</t>
  </si>
  <si>
    <t xml:space="preserve">void buildPipeline();</t>
  </si>
  <si>
    <t xml:space="preserve">Registers metatypes, creates the shared BackPressure (capacity 24), the dsp/recorder/acquisition threads, the DspEngine and Recorder moved to their threads, and wires their signals to the status bar and RecordingGuard.</t>
  </si>
  <si>
    <t xml:space="preserve">Defined MainWindow.cpp:646. qRegisterMetaType for SampleBlock, FrameResult, Config, StreamStats, RunState, TxState. Threads started at QThread::LowPriority; workers deleted via QThread::finished -&gt; deleteLater.</t>
  </si>
  <si>
    <t xml:space="preserve">GUI-118</t>
  </si>
  <si>
    <t xml:space="preserve">MainWindow::createSource</t>
  </si>
  <si>
    <t xml:space="preserve">void createSource();</t>
  </si>
  <si>
    <t xml:space="preserve">Destroys any old source and creates the ISignalSource for the configured mode (FileSource, DmaSource, RoceShmSource or SimulatedSource), moves it to the acquisition thread and wires blockReady/statsUpdated/runStateChanged/sourceError/statusMessage.</t>
  </si>
  <si>
    <t xml:space="preserve">m_source</t>
  </si>
  <si>
    <t xml:space="preserve">constructor; onStart; onSourceRestartRequired</t>
  </si>
  <si>
    <t xml:space="preserve">Defined MainWindow.cpp:723. blockReady feeds both DspEngine::processBlock and Recorder::writeBlock (recorder fed from source so recordings are lossless while display throttles).</t>
  </si>
  <si>
    <t xml:space="preserve">GUI-119</t>
  </si>
  <si>
    <t xml:space="preserve">MainWindow::destroySource</t>
  </si>
  <si>
    <t xml:space="preserve">void destroySource();</t>
  </si>
  <si>
    <t xml:space="preserve">Disconnects the current source, queues its stop() and deleteLater() on its own thread, and clears the back-pressure counter.</t>
  </si>
  <si>
    <t xml:space="preserve">createSource; destructor</t>
  </si>
  <si>
    <t xml:space="preserve">Defined MainWindow.cpp:762. 1.2.4+: queued, never blocking (1.2.3 used BlockingQueuedConnection and could hang the GUI on a parked read).</t>
  </si>
  <si>
    <t xml:space="preserve">GUI-120</t>
  </si>
  <si>
    <t xml:space="preserve">MainWindow::pushConfig</t>
  </si>
  <si>
    <t xml:space="preserve">void pushConfig();</t>
  </si>
  <si>
    <t xml:space="preserve">Queues the current Config to the source's and DspEngine's applyConfig slots.</t>
  </si>
  <si>
    <t xml:space="preserve">onConfigChanged; onSourceRestartRequired; deviceRatesRead handler</t>
  </si>
  <si>
    <t xml:space="preserve">Defined MainWindow.cpp:781. QueuedConnection, by-value Config copy.</t>
  </si>
  <si>
    <t xml:space="preserve">GUI-121</t>
  </si>
  <si>
    <t xml:space="preserve">MainWindow::ensureBackend</t>
  </si>
  <si>
    <t xml:space="preserve">void ensureBackend();</t>
  </si>
  <si>
    <t xml:space="preserve">Creates the BackendLauncher once and wires all its signals: status/log lines to status bar and log file, H2C chunk/throughput/state to the H2C window, C2H recovery and device-reset messages, becameReady -&gt; point DmaSource at the FIFO and start, startFailed/processFailed -&gt; notices (fatal failures stop acquisition).</t>
  </si>
  <si>
    <t xml:space="preserve">m_backend</t>
  </si>
  <si>
    <t xml:space="preserve">startBackendThenAcquire; startUdpThenAcquire</t>
  </si>
  <si>
    <t xml:space="preserve">Defined MainWindow.cpp:953. 1.2.4: single wiring for UDP and PCIe paths. Rate lines containing ' MB/s' go to the log only.</t>
  </si>
  <si>
    <t xml:space="preserve">GUI-122</t>
  </si>
  <si>
    <t xml:space="preserve">MainWindow::showNotice</t>
  </si>
  <si>
    <t xml:space="preserve">void showNotice(const QString&amp; key, int icon, const QString&amp; title, const QString&amp; text, const QString&amp; details = QString());</t>
  </si>
  <si>
    <t xml:space="preserve">Shows a non-modal, de-duplicated QMessageBox keyed by 'key' (a repeat updates the existing box instead of stacking a new one) and logs it to the backend log.</t>
  </si>
  <si>
    <t xml:space="preserve">key: dedupe key; icon: QMessageBox::Icon; title; text; details (optional detailed text)</t>
  </si>
  <si>
    <t xml:space="preserve">Visible non-modal notice</t>
  </si>
  <si>
    <t xml:space="preserve">onSourceError, ensureBackend handlers, checkCaptureRate, transmitGuard, start*ThenAcquire, onStats watchdog, recorderError</t>
  </si>
  <si>
    <t xml:space="preserve">Defined MainWindow.cpp:894. 1.2.4: replaces modal boxes that blocked all windows. WA_DeleteOnClose; tracked via QPointer in m_notices.</t>
  </si>
  <si>
    <t xml:space="preserve">GUI-123</t>
  </si>
  <si>
    <t xml:space="preserve">MainWindow::backendLog</t>
  </si>
  <si>
    <t xml:space="preserve">void backendLog(const QString&amp; line);</t>
  </si>
  <si>
    <t xml:space="preserve">Appends a timestamped line to QDir::tempPath()/sdr_backend.log.</t>
  </si>
  <si>
    <t xml:space="preserve">line: text</t>
  </si>
  <si>
    <t xml:space="preserve">Log file line</t>
  </si>
  <si>
    <t xml:space="preserve">showNotice, ensureBackend handlers, checkCaptureRate, transmitGuard</t>
  </si>
  <si>
    <t xml:space="preserve">Defined MainWindow.cpp:913. Rotates to .1 if &gt;8 MiB at session start; stops writing past 16 MiB.</t>
  </si>
  <si>
    <t xml:space="preserve">GUI-124</t>
  </si>
  <si>
    <t xml:space="preserve">void checkCaptureRate(const sdr::StreamStats&amp; stats);</t>
  </si>
  <si>
    <t xml:space="preserve">Compares delivered C2H MiB/s with what channels x rate x sample size needs; warns on overload (&lt;0.90) or excess (&gt;1.30) after 5 consecutive updates, verifies a recent channel switch after 3 s, and auto-resets the DMA device after ~12 zero-rate updates (max 2 resets per 3 min, then a 'Capture stopped' notice).</t>
  </si>
  <si>
    <t xml:space="preserve">stats: StreamStats</t>
  </si>
  <si>
    <t xml:space="preserve">Status/log messages; ControlWindow3D::setCaptureRate; BackendLauncher::resetDevice</t>
  </si>
  <si>
    <t xml:space="preserve">needMib = channels*rateMsps*1e6*bytesPerSample/2^20; ratio = dmaMBps/needMib</t>
  </si>
  <si>
    <t xml:space="preserve">Defined MainWindow.cpp:1056. 1.2.5: stalled-capture recovery and channel-switch verification via impliedCaptureChannels().</t>
  </si>
  <si>
    <t xml:space="preserve">GUI-125</t>
  </si>
  <si>
    <t xml:space="preserve">MainWindow::setCaptureChannels</t>
  </si>
  <si>
    <t xml:space="preserve">void setCaptureChannels(int n, bool fromCheck = false);</t>
  </si>
  <si>
    <t xml:space="preserve">Sets the capture/display channel count (clamped 1..8), re-frames the DMA source in place and, unless called from a check, arms verification against the measured rate.</t>
  </si>
  <si>
    <t xml:space="preserve">n: channels; fromCheck: skip re-verification</t>
  </si>
  <si>
    <t xml:space="preserve">ControlWindow3D::captureChannelsRequested handler; transmitGuard; checkCaptureRate</t>
  </si>
  <si>
    <t xml:space="preserve">Defined MainWindow.cpp:1252.</t>
  </si>
  <si>
    <t xml:space="preserve">GUI-126</t>
  </si>
  <si>
    <t xml:space="preserve">void transmitGuard(bool starting);</t>
  </si>
  <si>
    <t xml:space="preserve">1.2.5: when the H2C generator starts in a live DMA session and the capture exceeds the host budget, reduces capture channels and PL GPIO mode via the RFDC tab; restores them when the generator stops. Warns instead if the RFDC tab is not attached.</t>
  </si>
  <si>
    <t xml:space="preserve">starting: true on generator start, false on stop</t>
  </si>
  <si>
    <t xml:space="preserve">PL GPIO mode + channel change, status/log messages</t>
  </si>
  <si>
    <t xml:space="preserve">ControlWindow3D::txStateChanged handler (on hostRunning edge)</t>
  </si>
  <si>
    <t xml:space="preserve">Defined MainWindow.cpp:1190. Uses captureChannelsWithinBudget/plGpioModeForChannels (CaptureBudget.h, budget 1600 MiB/s).</t>
  </si>
  <si>
    <t xml:space="preserve">GUI-127</t>
  </si>
  <si>
    <t xml:space="preserve">void publishHelperState();</t>
  </si>
  <si>
    <t xml:space="preserve">Pushes the H2C playback helper state (or a 'not running' reason) to the H2C control window.</t>
  </si>
  <si>
    <t xml:space="preserve">ControlWindow3D::setH2cHelperState(int, detail, running)</t>
  </si>
  <si>
    <t xml:space="preserve">ensureBackend handlers (h2cStateChanged, stopped, becameReady, startFailed); H2C CONTROL action</t>
  </si>
  <si>
    <t xml:space="preserve">Defined MainWindow.cpp:934.</t>
  </si>
  <si>
    <t xml:space="preserve">GUI-128</t>
  </si>
  <si>
    <t xml:space="preserve">MainWindow::applyLayoutPreset</t>
  </si>
  <si>
    <t xml:space="preserve">void applyLayoutPreset(int preset);</t>
  </si>
  <si>
    <t xml:space="preserve">Applies a plot layout: 0 four-up, 1 spectrum focus, 2 time-domain focus, 3 spectrum + waterfall.</t>
  </si>
  <si>
    <t xml:space="preserve">preset: 0..3</t>
  </si>
  <si>
    <t xml:space="preserve">View &gt; Layout menu; onResetLayout</t>
  </si>
  <si>
    <t xml:space="preserve">Defined MainWindow.cpp:1719.</t>
  </si>
  <si>
    <t xml:space="preserve">GUI-129</t>
  </si>
  <si>
    <t xml:space="preserve">MainWindow::saveSettings</t>
  </si>
  <si>
    <t xml:space="preserve">void saveSettings();</t>
  </si>
  <si>
    <t xml:space="preserve">Persists geometry, dock state and splitter states with QSettings.</t>
  </si>
  <si>
    <t xml:space="preserve">closeEvent</t>
  </si>
  <si>
    <t xml:space="preserve">Defined MainWindow.cpp:1758. Keys geometry, windowState, splitMain, splitTop, splitBottom.</t>
  </si>
  <si>
    <t xml:space="preserve">GUI-130</t>
  </si>
  <si>
    <t xml:space="preserve">MainWindow::restoreSettings</t>
  </si>
  <si>
    <t xml:space="preserve">void restoreSettings();</t>
  </si>
  <si>
    <t xml:space="preserve">Restores geometry, dock state and splitter states from QSettings.</t>
  </si>
  <si>
    <t xml:space="preserve">constructor</t>
  </si>
  <si>
    <t xml:space="preserve">Defined MainWindow.cpp:1768.</t>
  </si>
  <si>
    <t xml:space="preserve">GUI-131</t>
  </si>
  <si>
    <t xml:space="preserve">sdr::ui::MeasurementPanel</t>
  </si>
  <si>
    <t xml:space="preserve">class MeasurementPanel : public QWidget</t>
  </si>
  <si>
    <t xml:space="preserve">Bottom dock 'Measurements': per-channel signal-parameter table (peak, floor, SNR, OBW, power, RMS, PAPR, EVM, phase error, DC, I/Q imbalance, SINAD, ENOB, SFDR, THD, H2-H6, residual carrier) and the detected-peaks table.</t>
  </si>
  <si>
    <t xml:space="preserve">GUI-132</t>
  </si>
  <si>
    <t xml:space="preserve">MeasurementPanel::setFrame</t>
  </si>
  <si>
    <t xml:space="preserve">void setFrame(const sdr::FrameResult&amp; frame);</t>
  </si>
  <si>
    <t xml:space="preserve">Fills the parameter table for every channel and the peak table for the active channel; SNR/SINAD/ENOB show a dash when no valid tone.</t>
  </si>
  <si>
    <t xml:space="preserve">dBFS, dB, dBc, Hz, bits</t>
  </si>
  <si>
    <t xml:space="preserve">MainWindow::renderPending (throttled to 120 ms)</t>
  </si>
  <si>
    <t xml:space="preserve">Defined Panels.cpp:1004. Asserts label/value rows stay in step.</t>
  </si>
  <si>
    <t xml:space="preserve">GUI-133</t>
  </si>
  <si>
    <t xml:space="preserve">MeasurementPanel::setActiveChannel</t>
  </si>
  <si>
    <t xml:space="preserve">void setActiveChannel(int ch) { m_active = ch; }</t>
  </si>
  <si>
    <t xml:space="preserve">Selects which channel's peak table to show.</t>
  </si>
  <si>
    <t xml:space="preserve">GUI-134</t>
  </si>
  <si>
    <t xml:space="preserve">MeasurementPanel::clear</t>
  </si>
  <si>
    <t xml:space="preserve">void clear();</t>
  </si>
  <si>
    <t xml:space="preserve">Resets every cell to a dash and empties the peak table.</t>
  </si>
  <si>
    <t xml:space="preserve">Defined Panels.cpp:996.</t>
  </si>
  <si>
    <t xml:space="preserve">GUI-135</t>
  </si>
  <si>
    <t xml:space="preserve">sdr::ui::PcieDiscoveryDialog</t>
  </si>
  <si>
    <t xml:space="preserve">class PcieDiscoveryDialog : public QDialog</t>
  </si>
  <si>
    <t xml:space="preserve">PCIe pre-flight screen shown before the workstation opens: reveals link, speed/width, enumeration, IDs, BARs, module, node and DMA results row by row (~1.1 s); auto-accepts on success, otherwise offers Build/Load driver.</t>
  </si>
  <si>
    <t xml:space="preserve">ConfigDialog Launch handler (live PCIe sessions)</t>
  </si>
  <si>
    <t xml:space="preserve">Modal (exec()).</t>
  </si>
  <si>
    <t xml:space="preserve">01_sdr_workstation_GUI/src/ui/PcieDiscoveryDialog.h</t>
  </si>
  <si>
    <t xml:space="preserve">GUI-136</t>
  </si>
  <si>
    <t xml:space="preserve">PcieDiscoveryDialog::PcieDiscoveryDialog</t>
  </si>
  <si>
    <t xml:space="preserve">explicit PcieDiscoveryDialog(const QString&amp; devicePath, QWidget* parent = nullptr);</t>
  </si>
  <si>
    <t xml:space="preserve">Runs probe::pciePreflight(devicePath) and starts the row-reveal timer.</t>
  </si>
  <si>
    <t xml:space="preserve">devicePath</t>
  </si>
  <si>
    <t xml:space="preserve">Defined PcieDiscoveryDialog.cpp:16. Timer interval max(60, 1100/items) ms.</t>
  </si>
  <si>
    <t xml:space="preserve">GUI-137</t>
  </si>
  <si>
    <t xml:space="preserve">PcieDiscoveryDialog::passed</t>
  </si>
  <si>
    <t xml:space="preserve">bool passed() const { return m_passed; }</t>
  </si>
  <si>
    <t xml:space="preserve">True when acquisition may proceed.</t>
  </si>
  <si>
    <t xml:space="preserve">ConfigDialog Launch handler</t>
  </si>
  <si>
    <t xml:space="preserve">GUI-138</t>
  </si>
  <si>
    <t xml:space="preserve">PcieDiscoveryDialog::driverLoadedHere</t>
  </si>
  <si>
    <t xml:space="preserve">bool driverLoadedHere() const { return m_driverLoadedHere; }</t>
  </si>
  <si>
    <t xml:space="preserve">True when 'Build &amp; load driver' inserted the module during this dialog, so the session unloads it on exit.</t>
  </si>
  <si>
    <t xml:space="preserve">ConfigDialog -&gt; SystemConfig.driverLoadedBySession -&gt; MainWindow DriverManager</t>
  </si>
  <si>
    <t xml:space="preserve">GUI-139</t>
  </si>
  <si>
    <t xml:space="preserve">PcieDiscoveryDialog::revealNext</t>
  </si>
  <si>
    <t xml:space="preserve">void revealNext();</t>
  </si>
  <si>
    <t xml:space="preserve">Shows the next result row; when all are shown, calls finish(report.ok).</t>
  </si>
  <si>
    <t xml:space="preserve">m_timer QTimer::timeout</t>
  </si>
  <si>
    <t xml:space="preserve">Defined PcieDiscoveryDialog.cpp:99.</t>
  </si>
  <si>
    <t xml:space="preserve">GUI-140</t>
  </si>
  <si>
    <t xml:space="preserve">PcieDiscoveryDialog::onFixDriver</t>
  </si>
  <si>
    <t xml:space="preserve">void onFixDriver();</t>
  </si>
  <si>
    <t xml:space="preserve">Builds (if needed) and inserts the iwfg driver via DriverManager::ensureDriver, re-runs the pre-flight, and shows the full make/insmod transcript.</t>
  </si>
  <si>
    <t xml:space="preserve">m_fixBtn clicked</t>
  </si>
  <si>
    <t xml:space="preserve">Defined PcieDiscoveryDialog.cpp:135. Synchronous on the GUI thread; accepts 900 ms after success.</t>
  </si>
  <si>
    <t xml:space="preserve">GUI-141</t>
  </si>
  <si>
    <t xml:space="preserve">sdr::ui::PlotBase</t>
  </si>
  <si>
    <t xml:space="preserve">class PlotBase : public QWidget</t>
  </si>
  <si>
    <t xml:space="preserve">Common chrome for every instrument plot: data-unit view, 1-2-5 ticks, wheel zoom (Ctrl Y, Shift both), drag pan, Shift-drag box zoom, double-click reset, Ctrl-click markers (max 4), crosshair and right-click menu, all painted with QPainter.</t>
  </si>
  <si>
    <t xml:space="preserve">Base of InstrumentPlot</t>
  </si>
  <si>
    <t xml:space="preserve">GUI thread. Subclasses implement drawContent and data extents.</t>
  </si>
  <si>
    <t xml:space="preserve">01_sdr_workstation_GUI/src/ui/PlotBase.h</t>
  </si>
  <si>
    <t xml:space="preserve">GUI-142</t>
  </si>
  <si>
    <t xml:space="preserve">PlotBase::setViewX</t>
  </si>
  <si>
    <t xml:space="preserve">void setViewX(double x0, double x1, bool user = true);</t>
  </si>
  <si>
    <t xml:space="preserve">Sets the X view (data units); used to link spectrum and waterfall zoom.</t>
  </si>
  <si>
    <t xml:space="preserve">x0, x1, user (marks manual control)</t>
  </si>
  <si>
    <t xml:space="preserve">MainWindow::buildCentral xViewChanged lambdas</t>
  </si>
  <si>
    <t xml:space="preserve">Defined PlotBase.cpp:67. Ignored if span &lt; minimum.</t>
  </si>
  <si>
    <t xml:space="preserve">GUI-143</t>
  </si>
  <si>
    <t xml:space="preserve">PlotBase::resetView</t>
  </si>
  <si>
    <t xml:space="preserve">void resetView();</t>
  </si>
  <si>
    <t xml:space="preserve">Auto-fit: returns both axes to following the data and clears the readout.</t>
  </si>
  <si>
    <t xml:space="preserve">xViewChanged, readoutChanged</t>
  </si>
  <si>
    <t xml:space="preserve">Context menu 'Auto fit'; double-click; View &gt; Reset all plot views</t>
  </si>
  <si>
    <t xml:space="preserve">Defined PlotBase.cpp:117.</t>
  </si>
  <si>
    <t xml:space="preserve">GUI-144</t>
  </si>
  <si>
    <t xml:space="preserve">PlotBase::zoomAtCentre</t>
  </si>
  <si>
    <t xml:space="preserve">void zoomAtCentre(double factor);</t>
  </si>
  <si>
    <t xml:space="preserve">Zooms about the view centre (0.80 in, 1.25 out from the context menu).</t>
  </si>
  <si>
    <t xml:space="preserve">factor</t>
  </si>
  <si>
    <t xml:space="preserve">xViewChanged</t>
  </si>
  <si>
    <t xml:space="preserve">Context menu Zoom in/out</t>
  </si>
  <si>
    <t xml:space="preserve">Defined PlotBase.cpp:76.</t>
  </si>
  <si>
    <t xml:space="preserve">GUI-145</t>
  </si>
  <si>
    <t xml:space="preserve">PlotBase::promptAxisRange</t>
  </si>
  <si>
    <t xml:space="preserve">void promptAxisRange();</t>
  </si>
  <si>
    <t xml:space="preserve">Asks for an explicit 'min, max' X range via QInputDialog.</t>
  </si>
  <si>
    <t xml:space="preserve">Context menu 'Set axis range…'</t>
  </si>
  <si>
    <t xml:space="preserve">Defined PlotBase.cpp:90.</t>
  </si>
  <si>
    <t xml:space="preserve">GUI-146</t>
  </si>
  <si>
    <t xml:space="preserve">PlotBase::clearMarkers</t>
  </si>
  <si>
    <t xml:space="preserve">void clearMarkers();</t>
  </si>
  <si>
    <t xml:space="preserve">Removes all markers and clears the readout.</t>
  </si>
  <si>
    <t xml:space="preserve">readoutChanged('')</t>
  </si>
  <si>
    <t xml:space="preserve">Context menu; View &gt; Clear all markers</t>
  </si>
  <si>
    <t xml:space="preserve">Defined PlotBase.cpp:126.</t>
  </si>
  <si>
    <t xml:space="preserve">GUI-147</t>
  </si>
  <si>
    <t xml:space="preserve">PlotBase::setCrosshairEnabled</t>
  </si>
  <si>
    <t xml:space="preserve">void setCrosshairEnabled(bool on) { m_crosshair = on; update(); }</t>
  </si>
  <si>
    <t xml:space="preserve">Toggles the crosshair overlay.</t>
  </si>
  <si>
    <t xml:space="preserve">on</t>
  </si>
  <si>
    <t xml:space="preserve">Context menu 'Crosshair' toggle</t>
  </si>
  <si>
    <t xml:space="preserve">GUI-148</t>
  </si>
  <si>
    <t xml:space="preserve">PlotBase::xViewChanged</t>
  </si>
  <si>
    <t xml:space="preserve">void xViewChanged(double x0, double x1);</t>
  </si>
  <si>
    <t xml:space="preserve">X view changed, so a linked plot can follow.</t>
  </si>
  <si>
    <t xml:space="preserve">x0, x1 (data units)</t>
  </si>
  <si>
    <t xml:space="preserve">MainWindow::buildCentral links SpectrumPlot &lt;-&gt; WaterfallPlot (m_linking guards recursion)</t>
  </si>
  <si>
    <t xml:space="preserve">GUI-149</t>
  </si>
  <si>
    <t xml:space="preserve">PlotBase::readoutChanged</t>
  </si>
  <si>
    <t xml:space="preserve">void readoutChanged(const QString&amp; text);</t>
  </si>
  <si>
    <t xml:space="preserve">Human-readable marker/delta readout for the status bar.</t>
  </si>
  <si>
    <t xml:space="preserve">text (empty = none)</t>
  </si>
  <si>
    <t xml:space="preserve">MainWindow::buildCentral -&gt; m_sbReadout</t>
  </si>
  <si>
    <t xml:space="preserve">Built by emitReadout (markers M1..M4 and delta of last two).</t>
  </si>
  <si>
    <t xml:space="preserve">GUI-150</t>
  </si>
  <si>
    <t xml:space="preserve">PlotBase::syncView</t>
  </si>
  <si>
    <t xml:space="preserve">void syncView();</t>
  </si>
  <si>
    <t xml:space="preserve">Re-syncs the view to the data extent on any axis the user has not taken manual control of.</t>
  </si>
  <si>
    <t xml:space="preserve">Subclass setFrame/setDisplayConfig</t>
  </si>
  <si>
    <t xml:space="preserve">Defined PlotBase.cpp:59.</t>
  </si>
  <si>
    <t xml:space="preserve">GUI-151</t>
  </si>
  <si>
    <t xml:space="preserve">PlotBase::niceTicks</t>
  </si>
  <si>
    <t xml:space="preserve">static QVector&lt;double&gt; niceTicks(double lo, double hi, int target);</t>
  </si>
  <si>
    <t xml:space="preserve">Generates 1-2-5 'nice' tick positions covering [lo, hi].</t>
  </si>
  <si>
    <t xml:space="preserve">lo, hi, target count</t>
  </si>
  <si>
    <t xml:space="preserve">tick values (&lt;= 65)</t>
  </si>
  <si>
    <t xml:space="preserve">raw=(hi-lo)/target; mag=10^floor(log10 raw); step = {1,2,5,10}*mag by raw/mag thresholds 1.5/3/7</t>
  </si>
  <si>
    <t xml:space="preserve">drawGrid/drawAxes</t>
  </si>
  <si>
    <t xml:space="preserve">Defined PlotBase.cpp:165.</t>
  </si>
  <si>
    <t xml:space="preserve">GUI-152</t>
  </si>
  <si>
    <t xml:space="preserve">sdr::ui::ResourceBar</t>
  </si>
  <si>
    <t xml:space="preserve">class ResourceBar : public QWidget</t>
  </si>
  <si>
    <t xml:space="preserve">Compact CPU / RAM / GPU read-out on the toolbar that switches to storage detail while recording, coloured by severity.</t>
  </si>
  <si>
    <t xml:space="preserve">MainWindow constructor (installed on toolbar)</t>
  </si>
  <si>
    <t xml:space="preserve">01_sdr_workstation_GUI/src/ui/ResourceBar.h</t>
  </si>
  <si>
    <t xml:space="preserve">GUI-153</t>
  </si>
  <si>
    <t xml:space="preserve">ResourceBar::setMonitor</t>
  </si>
  <si>
    <t xml:space="preserve">void setMonitor(sdr::ResourceMonitor* m);</t>
  </si>
  <si>
    <t xml:space="preserve">Shares the application's ResourceMonitor and refreshes on its updated() signal.</t>
  </si>
  <si>
    <t xml:space="preserve">m</t>
  </si>
  <si>
    <t xml:space="preserve">Defined ResourceBar.cpp:44.</t>
  </si>
  <si>
    <t xml:space="preserve">GUI-154</t>
  </si>
  <si>
    <t xml:space="preserve">ResourceBar::setRecording</t>
  </si>
  <si>
    <t xml:space="preserve">void setRecording(bool on);</t>
  </si>
  <si>
    <t xml:space="preserve">Enters/leaves the recording presentation (storage instead of CPU/RAM/GPU).</t>
  </si>
  <si>
    <t xml:space="preserve">Defined ResourceBar.cpp:52.</t>
  </si>
  <si>
    <t xml:space="preserve">GUI-155</t>
  </si>
  <si>
    <t xml:space="preserve">ResourceBar::setRecordingStatus</t>
  </si>
  <si>
    <t xml:space="preserve">void setRecordingStatus(const sdr::RecStatus&amp; st);</t>
  </si>
  <si>
    <t xml:space="preserve">Updates the storage read-out from the RecordingGuard status.</t>
  </si>
  <si>
    <t xml:space="preserve">st</t>
  </si>
  <si>
    <t xml:space="preserve">MainWindow (Recorder::recordingProgress handler)</t>
  </si>
  <si>
    <t xml:space="preserve">Defined ResourceBar.cpp:64.</t>
  </si>
  <si>
    <t xml:space="preserve">GUI-156</t>
  </si>
  <si>
    <t xml:space="preserve">ResourceBar::refresh</t>
  </si>
  <si>
    <t xml:space="preserve">void refresh();</t>
  </si>
  <si>
    <t xml:space="preserve">Repaints CPU/RAM/GPU or disk values with Normal/Warning/Critical colouring.</t>
  </si>
  <si>
    <t xml:space="preserve">ResourceMonitor::updated</t>
  </si>
  <si>
    <t xml:space="preserve">Defined ResourceBar.cpp:96.</t>
  </si>
  <si>
    <t xml:space="preserve">GUI-157</t>
  </si>
  <si>
    <t xml:space="preserve">sdr::ui::SourcePanel</t>
  </si>
  <si>
    <t xml:space="preserve">class SourcePanel : public QWidget</t>
  </si>
  <si>
    <t xml:space="preserve">Left dock 'Source &amp; Signal Chain': source mode (Simulated / Offline file / Live), live device path, wire format, channels and channel mask, block size; file path/format/header/loop/paced/speed/seek; simulation modulation/SNR/offset; sample rate, decimation, interpolation, NCO, centre frequency and buffer size.</t>
  </si>
  <si>
    <t xml:space="preserve">GUI thread. A QStackedWidget shows only the page for the current mode.</t>
  </si>
  <si>
    <t xml:space="preserve">GUI-158</t>
  </si>
  <si>
    <t xml:space="preserve">SourcePanel::sourceConfig</t>
  </si>
  <si>
    <t xml:space="preserve">sdr::SourceConfig sourceConfig() const;</t>
  </si>
  <si>
    <t xml:space="preserve">Builds the SourceConfig for the current mode from the widgets.</t>
  </si>
  <si>
    <t xml:space="preserve">sdr::SourceConfig</t>
  </si>
  <si>
    <t xml:space="preserve">applyTo</t>
  </si>
  <si>
    <t xml:space="preserve">Defined Panels.cpp:565. File/simulated use blockSamples 16384; live uses the block-size combo.</t>
  </si>
  <si>
    <t xml:space="preserve">GUI-159</t>
  </si>
  <si>
    <t xml:space="preserve">SourcePanel::acqConfig</t>
  </si>
  <si>
    <t xml:space="preserve">sdr::AcqConfig acqConfig() const;</t>
  </si>
  <si>
    <t xml:space="preserve">Builds the AcqConfig (rate, decimation, interpolation, NCO, centre, buffer, modulation, SNR, offset) from the widgets.</t>
  </si>
  <si>
    <t xml:space="preserve">MSPS, MHz, GHz, MiB, dB</t>
  </si>
  <si>
    <t xml:space="preserve">Defined Panels.cpp:599. Rate &lt;= 0 falls back to 122.88 MSPS.</t>
  </si>
  <si>
    <t xml:space="preserve">GUI-160</t>
  </si>
  <si>
    <t xml:space="preserve">SourcePanel::applyTo</t>
  </si>
  <si>
    <t xml:space="preserve">void applyTo(sdr::Config&amp; cfg) const;</t>
  </si>
  <si>
    <t xml:space="preserve">Writes the panel's source and acquisition settings into a Config.</t>
  </si>
  <si>
    <t xml:space="preserve">cfg (in/out)</t>
  </si>
  <si>
    <t xml:space="preserve">cfg.src, cfg.acq</t>
  </si>
  <si>
    <t xml:space="preserve">Defined Panels.cpp:615.</t>
  </si>
  <si>
    <t xml:space="preserve">GUI-161</t>
  </si>
  <si>
    <t xml:space="preserve">SourcePanel::loadFrom</t>
  </si>
  <si>
    <t xml:space="preserve">Populates every page's widgets from a Config without emitting change signals.</t>
  </si>
  <si>
    <t xml:space="preserve">MainWindow (constructor, becameReady, setCaptureChannels, deviceRatesRead, onOpenCapture, checkCaptureRate)</t>
  </si>
  <si>
    <t xml:space="preserve">Defined Panels.cpp:621. m_loading suppresses signals; remembers whether live means Dma or Roce.</t>
  </si>
  <si>
    <t xml:space="preserve">GUI-162</t>
  </si>
  <si>
    <t xml:space="preserve">SourcePanel::mode</t>
  </si>
  <si>
    <t xml:space="preserve">sdr::SourceMode mode() const;</t>
  </si>
  <si>
    <t xml:space="preserve">Current source mode; the 'live' entry returns the transport (Dma or Roce) chosen in the launcher.</t>
  </si>
  <si>
    <t xml:space="preserve">sdr::SourceMode</t>
  </si>
  <si>
    <t xml:space="preserve">sourceConfig, setStats</t>
  </si>
  <si>
    <t xml:space="preserve">Defined Panels.cpp:450.</t>
  </si>
  <si>
    <t xml:space="preserve">GUI-163</t>
  </si>
  <si>
    <t xml:space="preserve">SourcePanel::setRunState</t>
  </si>
  <si>
    <t xml:space="preserve">void setRunState(sdr::RunState state);</t>
  </si>
  <si>
    <t xml:space="preserve">Locks mode, format, channel, path and block-size widgets while acquisition is Running/Paused.</t>
  </si>
  <si>
    <t xml:space="preserve">state</t>
  </si>
  <si>
    <t xml:space="preserve">Defined Panels.cpp:662.</t>
  </si>
  <si>
    <t xml:space="preserve">GUI-164</t>
  </si>
  <si>
    <t xml:space="preserve">SourcePanel::setStats</t>
  </si>
  <si>
    <t xml:space="preserve">void setStats(const sdr::StreamStats&amp; stats);</t>
  </si>
  <si>
    <t xml:space="preserve">In file mode, moves the seek slider and position label to the replay position.</t>
  </si>
  <si>
    <t xml:space="preserve">stats</t>
  </si>
  <si>
    <t xml:space="preserve">Defined Panels.cpp:681. Skipped while the slider is being dragged.</t>
  </si>
  <si>
    <t xml:space="preserve">GUI-165</t>
  </si>
  <si>
    <t xml:space="preserve">SourcePanel::applySidecar</t>
  </si>
  <si>
    <t xml:space="preserve">void applySidecar(const QString&amp; path);</t>
  </si>
  <si>
    <t xml:space="preserve">Reads '&lt;capture&gt;.meta' (format, channels, sample_rate_msps, center_freq_ghz, nco_freq_mhz, decimation, interpolation, channel_mask, header_bytes) so a capture reopens with the settings it was recorded with.</t>
  </si>
  <si>
    <t xml:space="preserve">path: capture file</t>
  </si>
  <si>
    <t xml:space="preserve">MainWindow constructor / onOpenCapture; browseForFile</t>
  </si>
  <si>
    <t xml:space="preserve">Defined Panels.cpp:478. Per-widget signals suppressed; caller emits one configChanged.</t>
  </si>
  <si>
    <t xml:space="preserve">GUI-166</t>
  </si>
  <si>
    <t xml:space="preserve">SourcePanel::configChanged</t>
  </si>
  <si>
    <t xml:space="preserve">Any panel setting changed.</t>
  </si>
  <si>
    <t xml:space="preserve">Suppressed while m_loading.</t>
  </si>
  <si>
    <t xml:space="preserve">GUI-167</t>
  </si>
  <si>
    <t xml:space="preserve">SourcePanel::sourceRestartRequired</t>
  </si>
  <si>
    <t xml:space="preserve">void sourceRestartRequired();</t>
  </si>
  <si>
    <t xml:space="preserve">Mode, path, wire format, channel count, block size or header bytes changed: the source must be rebuilt/reconfigured.</t>
  </si>
  <si>
    <t xml:space="preserve">Always emitted after configChanged.</t>
  </si>
  <si>
    <t xml:space="preserve">GUI-168</t>
  </si>
  <si>
    <t xml:space="preserve">SourcePanel::seekRequested</t>
  </si>
  <si>
    <t xml:space="preserve">void seekRequested(double fraction);</t>
  </si>
  <si>
    <t xml:space="preserve">Operator released the file seek slider.</t>
  </si>
  <si>
    <t xml:space="preserve">fraction 0..1</t>
  </si>
  <si>
    <t xml:space="preserve">MainWindow lambda -&gt; queued ISignalSource::seekFraction</t>
  </si>
  <si>
    <t xml:space="preserve">Emitted on sliderReleased only (not on every value).</t>
  </si>
  <si>
    <t xml:space="preserve">GUI-169</t>
  </si>
  <si>
    <t xml:space="preserve">void openChannelDialog();</t>
  </si>
  <si>
    <t xml:space="preserve">Opens the modal ChannelDialog to choose the channel mask; Cancel preserves the selection.</t>
  </si>
  <si>
    <t xml:space="preserve">configChanged</t>
  </si>
  <si>
    <t xml:space="preserve">m_channelField clicked</t>
  </si>
  <si>
    <t xml:space="preserve">Defined Panels.cpp:537.</t>
  </si>
  <si>
    <t xml:space="preserve">GUI-170</t>
  </si>
  <si>
    <t xml:space="preserve">SourcePanel::browseForFile</t>
  </si>
  <si>
    <t xml:space="preserve">void browseForFile();</t>
  </si>
  <si>
    <t xml:space="preserve">Browse for a capture file, apply its sidecar and request a source restart.</t>
  </si>
  <si>
    <t xml:space="preserve">configChanged + sourceRestartRequired</t>
  </si>
  <si>
    <t xml:space="preserve">m_fileBrowse clicked</t>
  </si>
  <si>
    <t xml:space="preserve">Defined Panels.cpp:463.</t>
  </si>
  <si>
    <t xml:space="preserve">GUI-171</t>
  </si>
  <si>
    <t xml:space="preserve">SourcePanel::browseForDevice</t>
  </si>
  <si>
    <t xml:space="preserve">void browseForDevice();</t>
  </si>
  <si>
    <t xml:space="preserve">Browse /dev for a DMA device node or FIFO (non-native dialog showing system entries) and request a restart.</t>
  </si>
  <si>
    <t xml:space="preserve">m_deviceBrowse clicked</t>
  </si>
  <si>
    <t xml:space="preserve">Defined Panels.cpp:547.</t>
  </si>
  <si>
    <t xml:space="preserve">GUI-172</t>
  </si>
  <si>
    <t xml:space="preserve">sdr::ui::SpectrumPlot</t>
  </si>
  <si>
    <t xml:space="preserve">class SpectrumPlot : public InstrumentPlot</t>
  </si>
  <si>
    <t xml:space="preserve">Power spectrum in dBFS vs frequency (MHz) over centre ± span/2, with per-channel overlay and peak/metric info.</t>
  </si>
  <si>
    <t xml:space="preserve">X axis linked to WaterfallPlot.</t>
  </si>
  <si>
    <t xml:space="preserve">GUI-173</t>
  </si>
  <si>
    <t xml:space="preserve">SpectrumPlot::setFrame</t>
  </si>
  <si>
    <t xml:space="preserve">Takes centre/display rate and the spectrum + metrics of each visible channel.</t>
  </si>
  <si>
    <t xml:space="preserve">Defined Plots.cpp:257.</t>
  </si>
  <si>
    <t xml:space="preserve">GUI-174</t>
  </si>
  <si>
    <t xml:space="preserve">SpectrumPlot::setDisplayConfig</t>
  </si>
  <si>
    <t xml:space="preserve">Applies display config and re-syncs the Y range to floor/ceiling.</t>
  </si>
  <si>
    <t xml:space="preserve">Defined Plots.cpp:245.</t>
  </si>
  <si>
    <t xml:space="preserve">GUI-175</t>
  </si>
  <si>
    <t xml:space="preserve">SpectrumPlot::clearTraces</t>
  </si>
  <si>
    <t xml:space="preserve">Clears spectrum traces.</t>
  </si>
  <si>
    <t xml:space="preserve">Defined Plots.cpp:251.</t>
  </si>
  <si>
    <t xml:space="preserve">GUI-176</t>
  </si>
  <si>
    <t xml:space="preserve">sdr::ui::StatusPanel</t>
  </si>
  <si>
    <t xml:space="preserve">class StatusPanel : public QWidget</t>
  </si>
  <si>
    <t xml:space="preserve">Right dock 'Acquisition Status': state, source, DMA throughput, measured rate, display fps, elapsed, buffer fill, blocks, drops, throttled frames, recorded bytes and channel information.</t>
  </si>
  <si>
    <t xml:space="preserve">GUI-177</t>
  </si>
  <si>
    <t xml:space="preserve">StatusPanel::setStats</t>
  </si>
  <si>
    <t xml:space="preserve">void setStats(const sdr::StreamStats&amp; stats, double displayFps);</t>
  </si>
  <si>
    <t xml:space="preserve">Updates all acquisition-health readouts; buffer bar coloured green/amber(&gt;60 %)/red(&gt;85 %), drops amber &gt;=1 %, red &gt;=5 %.</t>
  </si>
  <si>
    <t xml:space="preserve">stats, displayFps</t>
  </si>
  <si>
    <t xml:space="preserve">MB/s, MSPS, fps, %</t>
  </si>
  <si>
    <t xml:space="preserve">MainWindow::onStats / onRunState / renderPending</t>
  </si>
  <si>
    <t xml:space="preserve">Defined Panels.cpp:1163.</t>
  </si>
  <si>
    <t xml:space="preserve">GUI-178</t>
  </si>
  <si>
    <t xml:space="preserve">StatusPanel::setChannelInfo</t>
  </si>
  <si>
    <t xml:space="preserve">void setChannelInfo(const sdr::Config&amp; cfg);</t>
  </si>
  <si>
    <t xml:space="preserve">Shows channel count, configured rate, centre, span, RBW and wire format.</t>
  </si>
  <si>
    <t xml:space="preserve">RBW = displayRateHz / fftSize</t>
  </si>
  <si>
    <t xml:space="preserve">Defined Panels.cpp:1216.</t>
  </si>
  <si>
    <t xml:space="preserve">GUI-179</t>
  </si>
  <si>
    <t xml:space="preserve">sdr::ui::theme</t>
  </si>
  <si>
    <t xml:space="preserve">namespace sdr::ui::theme</t>
  </si>
  <si>
    <t xml:space="preserve">Single source of truth for the instrument palette (appBg, panel, plotBg, grid, text, accent, ok, warn, danger, trace colours, marker, cursor) used by painted plots; dark.qss mirrors it for widget chrome.</t>
  </si>
  <si>
    <t xml:space="preserve">Plots, Panels, MainWindow state pill/status colours</t>
  </si>
  <si>
    <t xml:space="preserve">Header-only namespace of inline const QColor values (not a class).</t>
  </si>
  <si>
    <t xml:space="preserve">01_sdr_workstation_GUI/src/ui/Theme.h</t>
  </si>
  <si>
    <t xml:space="preserve">GUI-180</t>
  </si>
  <si>
    <t xml:space="preserve">theme::channelColor</t>
  </si>
  <si>
    <t xml:space="preserve">inline QColor channelColor(int ch)</t>
  </si>
  <si>
    <t xml:space="preserve">Per-channel trace colour for overlay mode (8-colour cycle).</t>
  </si>
  <si>
    <t xml:space="preserve">QColor</t>
  </si>
  <si>
    <t xml:space="preserve">Plots overlay drawing</t>
  </si>
  <si>
    <t xml:space="preserve">GUI-181</t>
  </si>
  <si>
    <t xml:space="preserve">theme::uiFont</t>
  </si>
  <si>
    <t xml:space="preserve">inline QFont uiFont(int px = 11, bool bold = false)</t>
  </si>
  <si>
    <t xml:space="preserve">DejaVu Sans UI font at a pixel size.</t>
  </si>
  <si>
    <t xml:space="preserve">px, bold</t>
  </si>
  <si>
    <t xml:space="preserve">QFont</t>
  </si>
  <si>
    <t xml:space="preserve">PlotBase/Plots painting (titles, ticks, legends)</t>
  </si>
  <si>
    <t xml:space="preserve">GUI-182</t>
  </si>
  <si>
    <t xml:space="preserve">theme::monoFont</t>
  </si>
  <si>
    <t xml:space="preserve">inline QFont monoFont(int px = 11, bool bold = false)</t>
  </si>
  <si>
    <t xml:space="preserve">DejaVu Sans Mono for in-place numeric readouts so digits do not jitter.</t>
  </si>
  <si>
    <t xml:space="preserve">MainWindow status bar, MeasurementPanel, StatusPanel</t>
  </si>
  <si>
    <t xml:space="preserve">GUI-183</t>
  </si>
  <si>
    <t xml:space="preserve">sdr::ui::TimeDomainPlot</t>
  </si>
  <si>
    <t xml:space="preserve">class TimeDomainPlot : public InstrumentPlot</t>
  </si>
  <si>
    <t xml:space="preserve">'Time domain — I/Q' plot of I and Q against time in µs with a min/max column envelope.</t>
  </si>
  <si>
    <t xml:space="preserve">GUI-184</t>
  </si>
  <si>
    <t xml:space="preserve">TimeDomainPlot::setFrame</t>
  </si>
  <si>
    <t xml:space="preserve">Copies I/Q of the visible channels, sets the span from blockSpanSec, and applies slow AGC to the Y scale.</t>
  </si>
  <si>
    <t xml:space="preserve">yMax = 0.85*yMax + 0.15*1.25*peak; spanUs = blockSpanSec*1e6</t>
  </si>
  <si>
    <t xml:space="preserve">µs</t>
  </si>
  <si>
    <t xml:space="preserve">Defined Plots.cpp:53.</t>
  </si>
  <si>
    <t xml:space="preserve">GUI-185</t>
  </si>
  <si>
    <t xml:space="preserve">TimeDomainPlot::clearTraces</t>
  </si>
  <si>
    <t xml:space="preserve">Clears traces and resets Y scale to 1.0.</t>
  </si>
  <si>
    <t xml:space="preserve">Defined Plots.cpp:46.</t>
  </si>
  <si>
    <t xml:space="preserve">GUI-186</t>
  </si>
  <si>
    <t xml:space="preserve">sdr::ui::TitleBar</t>
  </si>
  <si>
    <t xml:space="preserve">class TitleBar : public QWidget</t>
  </si>
  <si>
    <t xml:space="preserve">Application-owned title bar (logo, title, minimise/maximise/close) for a frameless window, reproducing drag-to-move and double-click maximise.</t>
  </si>
  <si>
    <t xml:space="preserve">Declared as MainWindow::m_titleBar but not instantiated in this 1.2.5 source (pointer stays nullptr)</t>
  </si>
  <si>
    <t xml:space="preserve">Header-only. 40 px high.</t>
  </si>
  <si>
    <t xml:space="preserve">01_sdr_workstation_GUI/src/ui/TitleBar.h</t>
  </si>
  <si>
    <t xml:space="preserve">GUI-187</t>
  </si>
  <si>
    <t xml:space="preserve">TitleBar::TitleBar</t>
  </si>
  <si>
    <t xml:space="preserve">explicit TitleBar(const QString&amp; title, QWidget* parent = nullptr)</t>
  </si>
  <si>
    <t xml:space="preserve">Builds logo, centred title and the three window buttons.</t>
  </si>
  <si>
    <t xml:space="preserve">title, parent</t>
  </si>
  <si>
    <t xml:space="preserve">GUI-188</t>
  </si>
  <si>
    <t xml:space="preserve">TitleBar::setTitle</t>
  </si>
  <si>
    <t xml:space="preserve">void setTitle(const QString&amp; t) { m_title-&gt;setText(t); }</t>
  </si>
  <si>
    <t xml:space="preserve">Sets the title text.</t>
  </si>
  <si>
    <t xml:space="preserve">GUI-189</t>
  </si>
  <si>
    <t xml:space="preserve">TitleBar::minimiseRequested</t>
  </si>
  <si>
    <t xml:space="preserve">void minimiseRequested();</t>
  </si>
  <si>
    <t xml:space="preserve">Minimise button clicked.</t>
  </si>
  <si>
    <t xml:space="preserve">No connection in this source</t>
  </si>
  <si>
    <t xml:space="preserve">GUI-190</t>
  </si>
  <si>
    <t xml:space="preserve">TitleBar::maximiseRequested</t>
  </si>
  <si>
    <t xml:space="preserve">void maximiseRequested();</t>
  </si>
  <si>
    <t xml:space="preserve">Maximise button clicked or title double-clicked.</t>
  </si>
  <si>
    <t xml:space="preserve">GUI-191</t>
  </si>
  <si>
    <t xml:space="preserve">TitleBar::closeRequested</t>
  </si>
  <si>
    <t xml:space="preserve">void closeRequested();</t>
  </si>
  <si>
    <t xml:space="preserve">Close button clicked.</t>
  </si>
  <si>
    <t xml:space="preserve">GUI-192</t>
  </si>
  <si>
    <t xml:space="preserve">TitleBar::dragged</t>
  </si>
  <si>
    <t xml:space="preserve">void dragged(const QPoint&amp; globalDelta);</t>
  </si>
  <si>
    <t xml:space="preserve">Emitted while dragging with the global-coordinate delta.</t>
  </si>
  <si>
    <t xml:space="preserve">globalDelta</t>
  </si>
  <si>
    <t xml:space="preserve">GUI-193</t>
  </si>
  <si>
    <t xml:space="preserve">TitleBar::dragStarted</t>
  </si>
  <si>
    <t xml:space="preserve">void dragStarted();</t>
  </si>
  <si>
    <t xml:space="preserve">Left button pressed on the bar.</t>
  </si>
  <si>
    <t xml:space="preserve">GUI-194</t>
  </si>
  <si>
    <t xml:space="preserve">sdr::ui::WaterfallPlot</t>
  </si>
  <si>
    <t xml:space="preserve">class WaterfallPlot : public InstrumentPlot</t>
  </si>
  <si>
    <t xml:space="preserve">'Waterfall — spectrogram' of the active channel, newest row at top, with colour bar.</t>
  </si>
  <si>
    <t xml:space="preserve">Ring-buffer QImage (one row written per frame).</t>
  </si>
  <si>
    <t xml:space="preserve">GUI-195</t>
  </si>
  <si>
    <t xml:space="preserve">WaterfallPlot::setFrame</t>
  </si>
  <si>
    <t xml:space="preserve">Writes one colour-mapped row (max-hold over bins per column, up to 2048 columns) into the ring image.</t>
  </si>
  <si>
    <t xml:space="preserve">t = (peak_dB - floor)/(ceil - floor); head = (head + rows - 1) % rows</t>
  </si>
  <si>
    <t xml:space="preserve">Defined Plots.cpp:505.</t>
  </si>
  <si>
    <t xml:space="preserve">GUI-196</t>
  </si>
  <si>
    <t xml:space="preserve">WaterfallPlot::setDisplayConfig</t>
  </si>
  <si>
    <t xml:space="preserve">Applies colour map, maps floor+20/ceil-20 dB, and resizes history (min 32 rows) when rows or map change.</t>
  </si>
  <si>
    <t xml:space="preserve">Defined Plots.cpp:462.</t>
  </si>
  <si>
    <t xml:space="preserve">GUI-197</t>
  </si>
  <si>
    <t xml:space="preserve">WaterfallPlot::clearTraces</t>
  </si>
  <si>
    <t xml:space="preserve">Clears the history image.</t>
  </si>
  <si>
    <t xml:space="preserve">Defined Plots.cpp:480.</t>
  </si>
  <si>
    <t xml:space="preserve">App Core - API reference</t>
  </si>
  <si>
    <t xml:space="preserve">303 entries. Source: iW-ASCEJ-01-SF-R1.0-REL1.0/iW-ASCEJ-01-SC-R1.0-REL1.0 and iW-ASCEJ-01-FF-R1.0-REL1.0 of release REL1.0 (1.2.5).</t>
  </si>
  <si>
    <t xml:space="preserve">CORE-001</t>
  </si>
  <si>
    <t xml:space="preserve">Entry point</t>
  </si>
  <si>
    <t xml:space="preserve">scheduleCapture</t>
  </si>
  <si>
    <t xml:space="preserve">void scheduleCapture(QWidget* w, const QString&amp; path, int delayMs)</t>
  </si>
  <si>
    <t xml:space="preserve">Dev/CI helper: after a delay grabs a widget to an image file and quits (reproducible screenshots).</t>
  </si>
  <si>
    <t xml:space="preserve">w, path, delayMs</t>
  </si>
  <si>
    <t xml:space="preserve">image file; app quits</t>
  </si>
  <si>
    <t xml:space="preserve">main (--capture)</t>
  </si>
  <si>
    <t xml:space="preserve">Anonymous namespace; QTimer::singleShot + QWidget::grab.</t>
  </si>
  <si>
    <t xml:space="preserve">01_sdr_workstation_GUI/src/main.cpp</t>
  </si>
  <si>
    <t xml:space="preserve">CORE-002</t>
  </si>
  <si>
    <t xml:space="preserve">main</t>
  </si>
  <si>
    <t xml:space="preserve">int main(int argc, char** argv)</t>
  </si>
  <si>
    <t xml:space="preserve">Application entry: configures High-DPI, ignores SIGPIPE, creates QApplication (name 'iWave SDR Analysis Tool', icon, dark.qss), parses options, optionally prints the GPU/RDMA pre-flight and exits, otherwise builds a SystemConfig (from options or the ConfigDialog launcher), runs the PCIe discovery for DMA sessions, then shows MainWindow and enters the event loop.</t>
  </si>
  <si>
    <t xml:space="preserve">argc, argv (command-line options)</t>
  </si>
  <si>
    <t xml:space="preserve">Process exit code: app.exec(); 0 if launcher cancelled; 1 if PCIe discovery fails; 0/2 for --preflight (gpuPathViable)</t>
  </si>
  <si>
    <t xml:space="preserve">OS process start</t>
  </si>
  <si>
    <t xml:space="preserve">GUI thread. setApplicationName/OrganizationName called before QSettings use; organization name is set twice (last 'SignalAnalysis').</t>
  </si>
  <si>
    <t xml:space="preserve">CORE-003</t>
  </si>
  <si>
    <t xml:space="preserve">main: command-line options</t>
  </si>
  <si>
    <t xml:space="preserve">QCommandLineParser parser; ... parser.process(app);</t>
  </si>
  <si>
    <t xml:space="preserve">Options: --skip-config, --mode sim|file|dma (roce also accepted), --file &lt;path&gt;, --roce &lt;ring&gt; (default /dev/shm/iqring), --device &lt;path&gt;, --format cs8|cu8|cs12|cs16|cs32|cf32|cf64, --channels n (1..16), --rate msps (default 122.88), --capture &lt;file&gt;, --capture-delay ms, --preflight/--gpu-rdma-preflight, --help, --version.</t>
  </si>
  <si>
    <t xml:space="preserve">argv</t>
  </si>
  <si>
    <t xml:space="preserve">SystemConfig.initial fields</t>
  </si>
  <si>
    <t xml:space="preserve">MSPS, ms</t>
  </si>
  <si>
    <t xml:space="preserve">Any of --skip-config/--file/--device/--mode/--roce skips the launcher dialog.</t>
  </si>
  <si>
    <t xml:space="preserve">CORE-004</t>
  </si>
  <si>
    <t xml:space="preserve">main: GPU/RDMA preflight mode</t>
  </si>
  <si>
    <t xml:space="preserve">if (parser.isSet(preflight)) { ... runGpuNetPreflight() ... }</t>
  </si>
  <si>
    <t xml:space="preserve">Headless capability report: prints the Ethernet/RoCEv2 -&gt; GPU dependency matrix and transport decision to stdout and exits.</t>
  </si>
  <si>
    <t xml:space="preserve">--preflight</t>
  </si>
  <si>
    <t xml:space="preserve">stdout report; exit 0 if GPU path viable else 2</t>
  </si>
  <si>
    <t xml:space="preserve">Side-effect free; runs before any window or stylesheet.</t>
  </si>
  <si>
    <t xml:space="preserve">CORE-005</t>
  </si>
  <si>
    <t xml:space="preserve">main: RoCE ring adoption</t>
  </si>
  <si>
    <t xml:space="preserve">if (sdr::RoceShmSource::peekRingInfo(cfg.initial.src.devicePath, &amp;rate, &amp;ctr)) {</t>
  </si>
  <si>
    <t xml:space="preserve">For --roce, forces Cs16 single channel and adopts sample rate and centre frequency from the ring's control block (decimation/interpolation 1, NCO 0).</t>
  </si>
  <si>
    <t xml:space="preserve">ring path</t>
  </si>
  <si>
    <t xml:space="preserve">cfg.initial.acq updated</t>
  </si>
  <si>
    <t xml:space="preserve">MSPS, GHz</t>
  </si>
  <si>
    <t xml:space="preserve">CORE-006</t>
  </si>
  <si>
    <t xml:space="preserve">main: launcher dialog</t>
  </si>
  <si>
    <t xml:space="preserve">sdr::ui::ConfigDialog dialog; ... if (dialog.exec() != QDialog::Accepted) return 0; cfg = dialog.config();</t>
  </si>
  <si>
    <t xml:space="preserve">When not preconfigured, shows the modal ConfigDialog launcher; Cancel exits; Accept replaces the SystemConfig with the launcher's choices.</t>
  </si>
  <si>
    <t xml:space="preserve">SystemConfig</t>
  </si>
  <si>
    <t xml:space="preserve">With --capture the dialog is shown and screenshotted instead.</t>
  </si>
  <si>
    <t xml:space="preserve">CORE-007</t>
  </si>
  <si>
    <t xml:space="preserve">main: PCIe discovery</t>
  </si>
  <si>
    <t xml:space="preserve">sdr::ui::PcieDiscoveryDialog discovery(cfg.initial.src.devicePath); discovery.exec(); if (!discovery.passed()) return 1;</t>
  </si>
  <si>
    <t xml:space="preserve">Whenever the session starts in Dma mode (PCIe or a UDP FIFO, both map to Dma), runs the PCIe pre-flight splash before the workstation opens; failure exits with code 1.</t>
  </si>
  <si>
    <t xml:space="preserve">Runs in addition to the launcher's own pre-flight (ConfigDialog Launch); a FIFO path passes with only the node check. driverLoadedHere() of this instance is not copied into SystemConfig. Skipped in --capture mode unless SDR_CAPTURE_DISCOVERY is set.</t>
  </si>
  <si>
    <t xml:space="preserve">CORE-008</t>
  </si>
  <si>
    <t xml:space="preserve">main: workstation start</t>
  </si>
  <si>
    <t xml:space="preserve">auto* window = new sdr::ui::MainWindow(cfg); window-&gt;setAttribute(Qt::WA_DeleteOnClose); window-&gt;show();</t>
  </si>
  <si>
    <t xml:space="preserve">Creates and shows the MainWindow (which auto-starts acquisition) and runs the Qt event loop.</t>
  </si>
  <si>
    <t xml:space="preserve">app.exec() result</t>
  </si>
  <si>
    <t xml:space="preserve">WA_DeleteOnClose so ~MainWindow's ordered teardown runs on close.</t>
  </si>
  <si>
    <t xml:space="preserve">CORE-009</t>
  </si>
  <si>
    <t xml:space="preserve">Application core</t>
  </si>
  <si>
    <t xml:space="preserve">sdr::BackendMode</t>
  </si>
  <si>
    <t xml:space="preserve">enum class BackendMode { C2H, H2C_C2H, UdpStream };</t>
  </si>
  <si>
    <t xml:space="preserve">Backend pipeline: capture only; H2C playback + C2H capture loopback; 100G UDP receiver.</t>
  </si>
  <si>
    <t xml:space="preserve">BackendConfig.mode; MainWindow::startBackendThenAcquire (dataFlowMode != 0 -&gt; H2C_C2H)</t>
  </si>
  <si>
    <t xml:space="preserve">Q_DECLARE_METATYPE.</t>
  </si>
  <si>
    <t xml:space="preserve">CORE-010</t>
  </si>
  <si>
    <t xml:space="preserve">sdr::backendModeName</t>
  </si>
  <si>
    <t xml:space="preserve">QString backendModeName(BackendMode m);</t>
  </si>
  <si>
    <t xml:space="preserve">Display name of a backend mode.</t>
  </si>
  <si>
    <t xml:space="preserve">MainWindow::startBackendThenAcquire; start</t>
  </si>
  <si>
    <t xml:space="preserve">Defined BackendLauncher.cpp:198.</t>
  </si>
  <si>
    <t xml:space="preserve">CORE-011</t>
  </si>
  <si>
    <t xml:space="preserve">Step-down ladder of iwfg_h2c chunk sizes; default 1 MiB (kH2cChunkDefault), limits 1024..64 MiB.</t>
  </si>
  <si>
    <t xml:space="preserve">host tone resolution = fs / (bytes/4)</t>
  </si>
  <si>
    <t xml:space="preserve">Constants, not functions.</t>
  </si>
  <si>
    <t xml:space="preserve">CORE-012</t>
  </si>
  <si>
    <t xml:space="preserve">int defaultH2cChunkBytes();</t>
  </si>
  <si>
    <t xml:space="preserve">Starting H2C chunk: IWFG_H2C_CHUNK_BYTES if valid (1024..64 MiB, multiple of 4), else 1 MiB.</t>
  </si>
  <si>
    <t xml:space="preserve">BackendConfig default; MainWindow (Retry transmit); ControlWindow3D ctor; restartH2c</t>
  </si>
  <si>
    <t xml:space="preserve">Defined BackendLauncher.cpp:90.</t>
  </si>
  <si>
    <t xml:space="preserve">CORE-013</t>
  </si>
  <si>
    <t xml:space="preserve">int nextSmallerH2cChunk(int bytes);</t>
  </si>
  <si>
    <t xml:space="preserve">Next smaller ladder rung below bytes, or 0 at the bottom.</t>
  </si>
  <si>
    <t xml:space="preserve">retryH2cSmaller</t>
  </si>
  <si>
    <t xml:space="preserve">Defined BackendLauncher.cpp:98.</t>
  </si>
  <si>
    <t xml:space="preserve">CORE-014</t>
  </si>
  <si>
    <t xml:space="preserve">QString byteSizeText(qint64 bytes);</t>
  </si>
  <si>
    <t xml:space="preserve">Formats '16 MiB', '256 KiB', '1000 B'.</t>
  </si>
  <si>
    <t xml:space="preserve">BackendLauncher messages</t>
  </si>
  <si>
    <t xml:space="preserve">Defined BackendLauncher.cpp:105.</t>
  </si>
  <si>
    <t xml:space="preserve">CORE-015</t>
  </si>
  <si>
    <t xml:space="preserve">bool parseH2cRateLine(const QString&amp; line, double* mibPerSec, int* updatesPerSec);</t>
  </si>
  <si>
    <t xml:space="preserve">Parses iwfg_h2c's '[H2C] 640.58 MB/s ... GR_updates=48/s' line (MB = MiB).</t>
  </si>
  <si>
    <t xml:space="preserve">mibPerSec, updatesPerSec (-1 if absent); bool</t>
  </si>
  <si>
    <t xml:space="preserve">handleH2cLine</t>
  </si>
  <si>
    <t xml:space="preserve">Defined BackendLauncher.cpp:114. QRegularExpression.</t>
  </si>
  <si>
    <t xml:space="preserve">CORE-016</t>
  </si>
  <si>
    <t xml:space="preserve">bool parseC2hRateLine(const QString&amp; line, double* mibPerSec);</t>
  </si>
  <si>
    <t xml:space="preserve">Parses c2h_stream's 'Streaming: 2416.93 MB/s' line.</t>
  </si>
  <si>
    <t xml:space="preserve">mibPerSec; bool</t>
  </si>
  <si>
    <t xml:space="preserve">handleC2hLine</t>
  </si>
  <si>
    <t xml:space="preserve">Defined BackendLauncher.cpp:125.</t>
  </si>
  <si>
    <t xml:space="preserve">CORE-017</t>
  </si>
  <si>
    <t xml:space="preserve">sdr::isH2cStallLine</t>
  </si>
  <si>
    <t xml:space="preserve">bool isH2cStallLine(const QString&amp; line);</t>
  </si>
  <si>
    <t xml:space="preserve">True when iwfg_h2c reports the card is not consuming (stall kick, timeout, EBUSY, cycling).</t>
  </si>
  <si>
    <t xml:space="preserve">Defined BackendLauncher.cpp:135.</t>
  </si>
  <si>
    <t xml:space="preserve">CORE-018</t>
  </si>
  <si>
    <t xml:space="preserve">sdr::H2cState</t>
  </si>
  <si>
    <t xml:space="preserve">enum class H2cState { NotRunning, WaitingForData, Starting, Streaming, Stalled, Restarting, Failed };</t>
  </si>
  <si>
    <t xml:space="preserve">Transmit-helper (iwfg_h2c) state for display.</t>
  </si>
  <si>
    <t xml:space="preserve">BackendLauncher::h2cStateChanged -&gt; MainWindow -&gt; ControlWindow3D::setH2cHelperState</t>
  </si>
  <si>
    <t xml:space="preserve">CORE-019</t>
  </si>
  <si>
    <t xml:space="preserve">sdr::h2cStateName</t>
  </si>
  <si>
    <t xml:space="preserve">QString h2cStateName(H2cState s);</t>
  </si>
  <si>
    <t xml:space="preserve">Display name of an H2cState.</t>
  </si>
  <si>
    <t xml:space="preserve">MainWindow log; ControlWindow3D::setH2cHelperState</t>
  </si>
  <si>
    <t xml:space="preserve">Defined BackendLauncher.cpp:146.</t>
  </si>
  <si>
    <t xml:space="preserve">CORE-020</t>
  </si>
  <si>
    <t xml:space="preserve">sdr::C2hExit</t>
  </si>
  <si>
    <t xml:space="preserve">enum class C2hExit { Unknown, ReaderClosed, DriverError, Interrupted, StartupError };</t>
  </si>
  <si>
    <t xml:space="preserve">Why c2h_stream ended (it exits 0 for all of these; classified from its output).</t>
  </si>
  <si>
    <t xml:space="preserve">onProcessFinished</t>
  </si>
  <si>
    <t xml:space="preserve">CORE-021</t>
  </si>
  <si>
    <t xml:space="preserve">sdr::classifyC2hExit</t>
  </si>
  <si>
    <t xml:space="preserve">C2hExit classifyC2hExit(const QStringList&amp; lines, QString* detail);</t>
  </si>
  <si>
    <t xml:space="preserve">Classifies a c2h_stream exit from its printed lines.</t>
  </si>
  <si>
    <t xml:space="preserve">lines</t>
  </si>
  <si>
    <t xml:space="preserve">C2hExit; decisive line in detail</t>
  </si>
  <si>
    <t xml:space="preserve">Defined BackendLauncher.cpp:160.</t>
  </si>
  <si>
    <t xml:space="preserve">CORE-022</t>
  </si>
  <si>
    <t xml:space="preserve">sdr::c2hExitText</t>
  </si>
  <si>
    <t xml:space="preserve">QString c2hExitText(C2hExit e);</t>
  </si>
  <si>
    <t xml:space="preserve">Display text for a C2hExit.</t>
  </si>
  <si>
    <t xml:space="preserve">Defined BackendLauncher.cpp:181.</t>
  </si>
  <si>
    <t xml:space="preserve">CORE-023</t>
  </si>
  <si>
    <t xml:space="preserve">sdr::BackendConfig</t>
  </si>
  <si>
    <t xml:space="preserve">struct BackendConfig {</t>
  </si>
  <si>
    <t xml:space="preserve">Launch parameters: mode, c2hDevice (/dev/iwfg0), c2hFifo (/tmp/iwfg_fifo), h2cDevice (/dev/iwfg1), h2cFifo (/tmp/iwfg_h2c.fifo), h2cChunkBytes, c2hRestartLimit (3), UDP port/bind/FIFO/payload/raw iface/CPU pinning/hugepages.</t>
  </si>
  <si>
    <t xml:space="preserve">MainWindow::startBackendThenAcquire / startUdpThenAcquire -&gt; BackendLauncher::start</t>
  </si>
  <si>
    <t xml:space="preserve">Q_DECLARE_METATYPE. /dev/iwfg0 is C2H, /dev/iwfg1 is H2C (driver derives direction from node).</t>
  </si>
  <si>
    <t xml:space="preserve">CORE-024</t>
  </si>
  <si>
    <t xml:space="preserve">sdr::BackendProcess</t>
  </si>
  <si>
    <t xml:space="preserve">struct BackendProcess {</t>
  </si>
  <si>
    <t xml:space="preserve">One managed child: label, program, args, QProcess*, role (Capture/Playback/Udp), output tail, notable lines, essential flag, streamed, rate lines, H2C chunk/stall state, ordered-stop phase.</t>
  </si>
  <si>
    <t xml:space="preserve">BackendLauncher internals</t>
  </si>
  <si>
    <t xml:space="preserve">CORE-025</t>
  </si>
  <si>
    <t xml:space="preserve">sdr::BackendLauncher</t>
  </si>
  <si>
    <t xml:space="preserve">class BackendLauncher : public QObject</t>
  </si>
  <si>
    <t xml:space="preserve">Owns the lifecycle of the external helper applications - c2h_stream (card -&gt; capture FIFO), iwfg_h2c (H2C FIFO -&gt; card) and the UDP receiver iwfg_c2h - launching them via QProcess, parsing their output, supervising/recovering them, and stopping them in order. Contains no UI.</t>
  </si>
  <si>
    <t xml:space="preserve">MainWindow::ensureBackend (created once)</t>
  </si>
  <si>
    <t xml:space="preserve">GUI thread (owned by MainWindow). 1.2.4: non-blocking start/stop, running QProcess never destroyed (reaper). 1.2.5: ordered stop (transmit first, then capture) so the driver soft-resets the QDMA cleanly.</t>
  </si>
  <si>
    <t xml:space="preserve">CORE-026</t>
  </si>
  <si>
    <t xml:space="preserve">BackendLauncher::~BackendLauncher</t>
  </si>
  <si>
    <t xml:space="preserve">~BackendLauncher() override;</t>
  </si>
  <si>
    <t xml:space="preserve">Stops all helpers within about 2 s so a closed window cannot leave processes holding the device node.</t>
  </si>
  <si>
    <t xml:space="preserve">~MainWindow (delete m_backend)</t>
  </si>
  <si>
    <t xml:space="preserve">Defined BackendLauncher.cpp:410. Uses ::kill(pid, SIGINT); never waits on a helper stuck in the driver.</t>
  </si>
  <si>
    <t xml:space="preserve">CORE-027</t>
  </si>
  <si>
    <t xml:space="preserve">BackendLauncher::backendDirectory</t>
  </si>
  <si>
    <t xml:space="preserve">static QString backendDirectory();</t>
  </si>
  <si>
    <t xml:space="preserve">Locates backend/ beside the executable or in the source tree.</t>
  </si>
  <si>
    <t xml:space="preserve">path or empty</t>
  </si>
  <si>
    <t xml:space="preserve">binaryPath, buildBinaries, start</t>
  </si>
  <si>
    <t xml:space="preserve">Defined BackendLauncher.cpp:210.</t>
  </si>
  <si>
    <t xml:space="preserve">CORE-028</t>
  </si>
  <si>
    <t xml:space="preserve">BackendLauncher::binaryPath</t>
  </si>
  <si>
    <t xml:space="preserve">static QString binaryPath(const QString&amp; name);</t>
  </si>
  <si>
    <t xml:space="preserve">Path to a built helper (c2h_stream, iwfg_h2c) or empty.</t>
  </si>
  <si>
    <t xml:space="preserve">name</t>
  </si>
  <si>
    <t xml:space="preserve">start, launchC2h, launchH2c, restartH2c</t>
  </si>
  <si>
    <t xml:space="preserve">Defined BackendLauncher.cpp:226.</t>
  </si>
  <si>
    <t xml:space="preserve">CORE-029</t>
  </si>
  <si>
    <t xml:space="preserve">BackendLauncher::binariesAvailable</t>
  </si>
  <si>
    <t xml:space="preserve">static bool binariesAvailable();</t>
  </si>
  <si>
    <t xml:space="preserve">True when both PCIe helper binaries are present and executable.</t>
  </si>
  <si>
    <t xml:space="preserve">Defined BackendLauncher.cpp:330.</t>
  </si>
  <si>
    <t xml:space="preserve">CORE-030</t>
  </si>
  <si>
    <t xml:space="preserve">BackendLauncher::udpBinaryPath</t>
  </si>
  <si>
    <t xml:space="preserve">static QString udpBinaryPath();</t>
  </si>
  <si>
    <t xml:space="preserve">Path to backend/udp/iwfg_c2h or empty.</t>
  </si>
  <si>
    <t xml:space="preserve">MainWindow::startUdpThenAcquire; start (UdpStream)</t>
  </si>
  <si>
    <t xml:space="preserve">Defined BackendLauncher.cpp:336.</t>
  </si>
  <si>
    <t xml:space="preserve">CORE-031</t>
  </si>
  <si>
    <t xml:space="preserve">BackendLauncher::buildUdpBinary</t>
  </si>
  <si>
    <t xml:space="preserve">static QString buildUdpBinary(bool* ok);</t>
  </si>
  <si>
    <t xml:space="preserve">Runs make in backend/udp to build the UDP receiver.</t>
  </si>
  <si>
    <t xml:space="preserve">build transcript; ok</t>
  </si>
  <si>
    <t xml:space="preserve">Defined BackendLauncher.cpp:359. Blocking QProcess on the GUI thread (wait cursor shown by caller).</t>
  </si>
  <si>
    <t xml:space="preserve">CORE-032</t>
  </si>
  <si>
    <t xml:space="preserve">BackendLauncher::udpPortAvailable</t>
  </si>
  <si>
    <t xml:space="preserve">static bool udpPortAvailable(int port, QString* who = nullptr);</t>
  </si>
  <si>
    <t xml:space="preserve">Checks nothing else holds the UDP port by binding a test socket, so a clash is reported plainly.</t>
  </si>
  <si>
    <t xml:space="preserve">port</t>
  </si>
  <si>
    <t xml:space="preserve">bool; who</t>
  </si>
  <si>
    <t xml:space="preserve">Defined BackendLauncher.cpp:345. POSIX socket(AF_INET, SOCK_DGRAM)+bind().</t>
  </si>
  <si>
    <t xml:space="preserve">CORE-033</t>
  </si>
  <si>
    <t xml:space="preserve">BackendLauncher::buildBinaries</t>
  </si>
  <si>
    <t xml:space="preserve">static QString buildBinaries(bool* ok);</t>
  </si>
  <si>
    <t xml:space="preserve">Builds the helpers with make in the backend directory (couple of seconds).</t>
  </si>
  <si>
    <t xml:space="preserve">Defined BackendLauncher.cpp:375. Blocking.</t>
  </si>
  <si>
    <t xml:space="preserve">CORE-034</t>
  </si>
  <si>
    <t xml:space="preserve">BackendLauncher::captureFifo</t>
  </si>
  <si>
    <t xml:space="preserve">static QString captureFifo(const BackendConfig&amp; cfg)</t>
  </si>
  <si>
    <t xml:space="preserve">FIFO the workstation should read for a config (udpFifo for UdpStream, else c2hFifo).</t>
  </si>
  <si>
    <t xml:space="preserve">CORE-035</t>
  </si>
  <si>
    <t xml:space="preserve">BackendLauncher::helperLoads</t>
  </si>
  <si>
    <t xml:space="preserve">static bool helperLoads(const QString&amp; path, QString* why);</t>
  </si>
  <si>
    <t xml:space="preserve">Checks a helper binary can load on this host by running it with arguments that make it exit before touching a device; cached per path+size+mtime.</t>
  </si>
  <si>
    <t xml:space="preserve">bool; why</t>
  </si>
  <si>
    <t xml:space="preserve">start; restartH2c</t>
  </si>
  <si>
    <t xml:space="preserve">Defined BackendLauncher.cpp:250. On failure start() rebuilds once with make -B.</t>
  </si>
  <si>
    <t xml:space="preserve">CORE-036</t>
  </si>
  <si>
    <t xml:space="preserve">BackendLauncher::isRunning</t>
  </si>
  <si>
    <t xml:space="preserve">bool isRunning() const { return !m_procs.isEmpty(); }</t>
  </si>
  <si>
    <t xml:space="preserve">True while any helper is managed.</t>
  </si>
  <si>
    <t xml:space="preserve">MainWindow (many guards)</t>
  </si>
  <si>
    <t xml:space="preserve">CORE-037</t>
  </si>
  <si>
    <t xml:space="preserve">BackendLauncher::isStopping</t>
  </si>
  <si>
    <t xml:space="preserve">bool isStopping() const { return m_stopping; }</t>
  </si>
  <si>
    <t xml:space="preserve">True during an asynchronous stop.</t>
  </si>
  <si>
    <t xml:space="preserve">CORE-038</t>
  </si>
  <si>
    <t xml:space="preserve">BackendLauncher::h2cRunning</t>
  </si>
  <si>
    <t xml:space="preserve">bool h2cRunning() const;</t>
  </si>
  <si>
    <t xml:space="preserve">True when an H2C playback helper is running.</t>
  </si>
  <si>
    <t xml:space="preserve">MainWindow txStateChanged / becameReady handlers; ensureH2c</t>
  </si>
  <si>
    <t xml:space="preserve">Defined BackendLauncher.cpp:464.</t>
  </si>
  <si>
    <t xml:space="preserve">CORE-039</t>
  </si>
  <si>
    <t xml:space="preserve">BackendLauncher::h2cState</t>
  </si>
  <si>
    <t xml:space="preserve">H2cState h2cState() const { return m_h2cState; }</t>
  </si>
  <si>
    <t xml:space="preserve">Current transmit-helper state.</t>
  </si>
  <si>
    <t xml:space="preserve">H2cState</t>
  </si>
  <si>
    <t xml:space="preserve">CORE-040</t>
  </si>
  <si>
    <t xml:space="preserve">BackendLauncher::config</t>
  </si>
  <si>
    <t xml:space="preserve">BackendConfig config() const { return m_cfg; }</t>
  </si>
  <si>
    <t xml:space="preserve">The active BackendConfig.</t>
  </si>
  <si>
    <t xml:space="preserve">BackendConfig</t>
  </si>
  <si>
    <t xml:space="preserve">MainWindow H2C CONTROL action (h2cFifo)</t>
  </si>
  <si>
    <t xml:space="preserve">CORE-041</t>
  </si>
  <si>
    <t xml:space="preserve">BackendLauncher::lingeringProcesses</t>
  </si>
  <si>
    <t xml:space="preserve">int lingeringProcesses() const { return m_reaping.size(); }</t>
  </si>
  <si>
    <t xml:space="preserve">Helpers told to exit that have not yet (stuck in the driver).</t>
  </si>
  <si>
    <t xml:space="preserve">int</t>
  </si>
  <si>
    <t xml:space="preserve">CORE-042</t>
  </si>
  <si>
    <t xml:space="preserve">BackendLauncher::isResetting</t>
  </si>
  <si>
    <t xml:space="preserve">bool isResetting() const { return m_resetting; }</t>
  </si>
  <si>
    <t xml:space="preserve">True while resetDevice() is stopping and restarting.</t>
  </si>
  <si>
    <t xml:space="preserve">Inline. 1.2.5.</t>
  </si>
  <si>
    <t xml:space="preserve">CORE-043</t>
  </si>
  <si>
    <t xml:space="preserve">BackendLauncher::start</t>
  </si>
  <si>
    <t xml:space="preserve">void start(const sdr::BackendConfig&amp; cfg);</t>
  </si>
  <si>
    <t xml:space="preserve">Launches the helpers for a mode: UdpStream runs iwfg_c2h (via pkexec for --raw when not root); PCIe pre-flights binaries and device nodes, starts iwfg_h2c first in H2C_C2H mode (optional), then c2h_stream; emits becameReady after a settle delay.</t>
  </si>
  <si>
    <t xml:space="preserve">cfg: BackendConfig</t>
  </si>
  <si>
    <t xml:space="preserve">statusMessage, becameReady(fifo) or startFailed(reason); processFailed (non-fatal) if H2C cannot start</t>
  </si>
  <si>
    <t xml:space="preserve">MainWindow::startBackendThenAcquire / startUdpThenAcquire; finishStop (queued start)</t>
  </si>
  <si>
    <t xml:space="preserve">Defined BackendLauncher.cpp:479. Non-blocking (waitForStarted(3000) per helper). Settle 900 ms (PCIe) / 4000 ms (UDP). Queued if a stop is in progress.</t>
  </si>
  <si>
    <t xml:space="preserve">CORE-044</t>
  </si>
  <si>
    <t xml:space="preserve">BackendLauncher::stop</t>
  </si>
  <si>
    <t xml:space="preserve">void stop();</t>
  </si>
  <si>
    <t xml:space="preserve">Asynchronous ordered shutdown: SIGINT to playback first, capture after playback exits (or 1.5 s), then SIGTERM after 2.5 s and SIGKILL after a further 1.5 s; stuck helpers are left to the reaper.</t>
  </si>
  <si>
    <t xml:space="preserve">statusMessage; stopped() when done</t>
  </si>
  <si>
    <t xml:space="preserve">MainWindow::onStop / onSourceRestartRequired; resetDevice</t>
  </si>
  <si>
    <t xml:space="preserve">Defined BackendLauncher.cpp:995. Returns at once. 1.2.5: ordered stop (1.2.3 blocked up to 10 s).</t>
  </si>
  <si>
    <t xml:space="preserve">CORE-045</t>
  </si>
  <si>
    <t xml:space="preserve">BackendLauncher::restartH2c</t>
  </si>
  <si>
    <t xml:space="preserve">void restartH2c(int chunkBytes = 0);</t>
  </si>
  <si>
    <t xml:space="preserve">Operator 'Retry transmit': relaunches iwfg_h2c (default buffer when 0) after checking the binary loads and the H2C node; upgrades a C2H session to H2C_C2H.</t>
  </si>
  <si>
    <t xml:space="preserve">chunkBytes (0 = default)</t>
  </si>
  <si>
    <t xml:space="preserve">h2cStateChanged(Restarting/Failed), processFailed (non-fatal) on error</t>
  </si>
  <si>
    <t xml:space="preserve">MainWindow (ControlWindow3D::h2cRestartRequested); ensureH2c</t>
  </si>
  <si>
    <t xml:space="preserve">Defined BackendLauncher.cpp:947. Old helper released without blocking; new one launched when it is gone.</t>
  </si>
  <si>
    <t xml:space="preserve">CORE-046</t>
  </si>
  <si>
    <t xml:space="preserve">BackendLauncher::ensureH2c</t>
  </si>
  <si>
    <t xml:space="preserve">bool ensureH2c();</t>
  </si>
  <si>
    <t xml:space="preserve">Starts H2C playback if none runs (transmit requested in a capture-only session).</t>
  </si>
  <si>
    <t xml:space="preserve">true if a helper runs or is restarting</t>
  </si>
  <si>
    <t xml:space="preserve">MainWindow txStateChanged and becameReady handlers</t>
  </si>
  <si>
    <t xml:space="preserve">Defined BackendLauncher.cpp:932.</t>
  </si>
  <si>
    <t xml:space="preserve">CORE-047</t>
  </si>
  <si>
    <t xml:space="preserve">BackendLauncher::resetDevice</t>
  </si>
  <si>
    <t xml:space="preserve">void resetDevice(const QString&amp; why);</t>
  </si>
  <si>
    <t xml:space="preserve">Recovers a wedged DMA device: ordered stop (driver soft-resets the QDMA when the last C2H stream closes) then restart with the same config.</t>
  </si>
  <si>
    <t xml:space="preserve">why: reason text</t>
  </si>
  <si>
    <t xml:space="preserve">deviceReset(true, why) ... deviceReset(false, why) after becameReady</t>
  </si>
  <si>
    <t xml:space="preserve">MainWindow::checkCaptureRate (capture delivered nothing for 5 s)</t>
  </si>
  <si>
    <t xml:space="preserve">Defined BackendLauncher.cpp:916. 1.2.5. Not for UdpStream.</t>
  </si>
  <si>
    <t xml:space="preserve">CORE-048</t>
  </si>
  <si>
    <t xml:space="preserve">BackendLauncher::statusMessage</t>
  </si>
  <si>
    <t xml:space="preserve">void statusMessage(const QString&amp; line);</t>
  </si>
  <si>
    <t xml:space="preserve">Human-readable launcher progress.</t>
  </si>
  <si>
    <t xml:space="preserve">MainWindow::ensureBackend connects -&gt; status bar, backend log, H2C window log</t>
  </si>
  <si>
    <t xml:space="preserve">CORE-049</t>
  </si>
  <si>
    <t xml:space="preserve">BackendLauncher::logLine</t>
  </si>
  <si>
    <t xml:space="preserve">void logLine(const QString&amp; line);</t>
  </si>
  <si>
    <t xml:space="preserve">A line of a helper's merged stdout/stderr, prefixed with its label.</t>
  </si>
  <si>
    <t xml:space="preserve">MainWindow::ensureBackend connects -&gt; backend log; status bar except ' MB/s' rate lines</t>
  </si>
  <si>
    <t xml:space="preserve">CORE-050</t>
  </si>
  <si>
    <t xml:space="preserve">BackendLauncher::becameReady</t>
  </si>
  <si>
    <t xml:space="preserve">void becameReady(const QString&amp; captureFifo);</t>
  </si>
  <si>
    <t xml:space="preserve">All helpers up and the capture FIFO ready to open.</t>
  </si>
  <si>
    <t xml:space="preserve">captureFifo path</t>
  </si>
  <si>
    <t xml:space="preserve">MainWindow::ensureBackend connects: set devicePath = fifo, onSourceRestartRequired(), onStart(), ensureH2c if generator already running</t>
  </si>
  <si>
    <t xml:space="preserve">CORE-051</t>
  </si>
  <si>
    <t xml:space="preserve">BackendLauncher::startFailed</t>
  </si>
  <si>
    <t xml:space="preserve">void startFailed(const QString&amp; reason);</t>
  </si>
  <si>
    <t xml:space="preserve">Could not start (user-presentable reason).</t>
  </si>
  <si>
    <t xml:space="preserve">reason</t>
  </si>
  <si>
    <t xml:space="preserve">MainWindow::ensureBackend connects -&gt; 'backend-start' notice</t>
  </si>
  <si>
    <t xml:space="preserve">CORE-052</t>
  </si>
  <si>
    <t xml:space="preserve">BackendLauncher::processFailed</t>
  </si>
  <si>
    <t xml:space="preserve">void processFailed(const QString&amp; label, int exitCode, const QString&amp; reason, bool fatal);</t>
  </si>
  <si>
    <t xml:space="preserve">A helper exited and will not be restarted; fatal=false for an optional stage (H2C) so capture continues.</t>
  </si>
  <si>
    <t xml:space="preserve">label, exitCode (-1 if n/a), reason, fatal</t>
  </si>
  <si>
    <t xml:space="preserve">MainWindow::ensureBackend connects: fatal -&gt; queued source stop + 'backend-fatal' notice; else 'backend-optional' notice</t>
  </si>
  <si>
    <t xml:space="preserve">CORE-053</t>
  </si>
  <si>
    <t xml:space="preserve">BackendLauncher::stopped</t>
  </si>
  <si>
    <t xml:space="preserve">void stopped();</t>
  </si>
  <si>
    <t xml:space="preserve">Everything stopped and released.</t>
  </si>
  <si>
    <t xml:space="preserve">MainWindow::ensureBackend connects -&gt; publishHelperState()</t>
  </si>
  <si>
    <t xml:space="preserve">CORE-054</t>
  </si>
  <si>
    <t xml:space="preserve">BackendLauncher::h2cChunkBytesChanged</t>
  </si>
  <si>
    <t xml:space="preserve">void h2cChunkBytesChanged(int bytes);</t>
  </si>
  <si>
    <t xml:space="preserve">Chunk size iwfg_h2c runs with (at launch and after a step-down); the generator loop must match.</t>
  </si>
  <si>
    <t xml:space="preserve">MainWindow::ensureBackend connects -&gt; ControlWindow3D::setH2cChunkBytes</t>
  </si>
  <si>
    <t xml:space="preserve">CORE-055</t>
  </si>
  <si>
    <t xml:space="preserve">BackendLauncher::h2cThroughput</t>
  </si>
  <si>
    <t xml:space="preserve">void h2cThroughput(double mibPerSec, int updatesPerSec);</t>
  </si>
  <si>
    <t xml:space="preserve">iwfg_h2c's measured delivery to the card, once a second.</t>
  </si>
  <si>
    <t xml:space="preserve">mibPerSec, updatesPerSec</t>
  </si>
  <si>
    <t xml:space="preserve">MainWindow::ensureBackend connects -&gt; ControlWindow3D::setH2cThroughput</t>
  </si>
  <si>
    <t xml:space="preserve">CORE-056</t>
  </si>
  <si>
    <t xml:space="preserve">BackendLauncher::h2cStateChanged</t>
  </si>
  <si>
    <t xml:space="preserve">void h2cStateChanged(sdr::H2cState state, const QString&amp; detail);</t>
  </si>
  <si>
    <t xml:space="preserve">Transmit helper state changed.</t>
  </si>
  <si>
    <t xml:space="preserve">H2cState, detail</t>
  </si>
  <si>
    <t xml:space="preserve">MainWindow::ensureBackend connects -&gt; log + publishHelperState()</t>
  </si>
  <si>
    <t xml:space="preserve">CORE-057</t>
  </si>
  <si>
    <t xml:space="preserve">BackendLauncher::c2hThroughput</t>
  </si>
  <si>
    <t xml:space="preserve">void c2hThroughput(double mibPerSec);</t>
  </si>
  <si>
    <t xml:space="preserve">c2h_stream's measured delivery from the card, once a second (first line skipped).</t>
  </si>
  <si>
    <t xml:space="preserve">mibPerSec</t>
  </si>
  <si>
    <t xml:space="preserve">Not connected in MainWindow</t>
  </si>
  <si>
    <t xml:space="preserve">CORE-058</t>
  </si>
  <si>
    <t xml:space="preserve">BackendLauncher::c2hRecovering</t>
  </si>
  <si>
    <t xml:space="preserve">void c2hRecovering(const QString&amp; why, int attempt, int limit);</t>
  </si>
  <si>
    <t xml:space="preserve">Capture helper ended on its own after streaming and is being restarted (bounded per minute).</t>
  </si>
  <si>
    <t xml:space="preserve">why, attempt, limit</t>
  </si>
  <si>
    <t xml:space="preserve">MainWindow::ensureBackend connects -&gt; status bar + H2C window log</t>
  </si>
  <si>
    <t xml:space="preserve">Limit BackendConfig.c2hRestartLimit (3/min).</t>
  </si>
  <si>
    <t xml:space="preserve">CORE-059</t>
  </si>
  <si>
    <t xml:space="preserve">BackendLauncher::deviceReset</t>
  </si>
  <si>
    <t xml:space="preserve">void deviceReset(bool inProgress, const QString&amp; why);</t>
  </si>
  <si>
    <t xml:space="preserve">resetDevice began (true) / device running again (false).</t>
  </si>
  <si>
    <t xml:space="preserve">inProgress, why</t>
  </si>
  <si>
    <t xml:space="preserve">MainWindow::ensureBackend connects -&gt; status bar, backend log, H2C window log; resets zero-rate counter</t>
  </si>
  <si>
    <t xml:space="preserve">1.2.5.</t>
  </si>
  <si>
    <t xml:space="preserve">CORE-060</t>
  </si>
  <si>
    <t xml:space="preserve">BackendLauncher::onReadyRead</t>
  </si>
  <si>
    <t xml:space="preserve">void onReadyRead();</t>
  </si>
  <si>
    <t xml:space="preserve">Reads helper output lines, keeps tails, dispatches to handleC2hLine/handleH2cLine (rates, stalls, state).</t>
  </si>
  <si>
    <t xml:space="preserve">logLine, h2cThroughput, c2hThroughput, h2cStateChanged</t>
  </si>
  <si>
    <t xml:space="preserve">QProcess::readyReadStandardOutput (launchOne)</t>
  </si>
  <si>
    <t xml:space="preserve">Defined BackendLauncher.cpp:1300.</t>
  </si>
  <si>
    <t xml:space="preserve">CORE-061</t>
  </si>
  <si>
    <t xml:space="preserve">BackendLauncher::onProcessFinished</t>
  </si>
  <si>
    <t xml:space="preserve">void onProcessFinished(int exitCode, QProcess::ExitStatus status);</t>
  </si>
  <si>
    <t xml:space="preserve">Handles a helper exit: H2C retried smaller or reported non-fatal; C2H restarted if it had streamed (classifyC2hExit) and within the limit, else fatal.</t>
  </si>
  <si>
    <t xml:space="preserve">exitCode, status</t>
  </si>
  <si>
    <t xml:space="preserve">c2hRecovering / processFailed</t>
  </si>
  <si>
    <t xml:space="preserve">QProcess::finished (launchOne)</t>
  </si>
  <si>
    <t xml:space="preserve">Defined BackendLauncher.cpp:1332.</t>
  </si>
  <si>
    <t xml:space="preserve">CORE-062</t>
  </si>
  <si>
    <t xml:space="preserve">BackendLauncher::onProcessError</t>
  </si>
  <si>
    <t xml:space="preserve">void onProcessError(QProcess::ProcessError err);</t>
  </si>
  <si>
    <t xml:space="preserve">Logs a QProcess error for a helper.</t>
  </si>
  <si>
    <t xml:space="preserve">err</t>
  </si>
  <si>
    <t xml:space="preserve">logLine</t>
  </si>
  <si>
    <t xml:space="preserve">QProcess::errorOccurred (launchOne)</t>
  </si>
  <si>
    <t xml:space="preserve">Defined BackendLauncher.cpp:1430.</t>
  </si>
  <si>
    <t xml:space="preserve">CORE-063</t>
  </si>
  <si>
    <t xml:space="preserve">BackendLauncher::launchOne</t>
  </si>
  <si>
    <t xml:space="preserve">bool launchOne(const QString&amp; label, const QString&amp; program, const QStringList&amp; args, BackendProcess::Role role, QString* error);</t>
  </si>
  <si>
    <t xml:space="preserve">Starts one helper QProcess (merged channels); capture helpers are wrapped in 'stdbuf -oL' so their output is line-buffered.</t>
  </si>
  <si>
    <t xml:space="preserve">label, program, args, role</t>
  </si>
  <si>
    <t xml:space="preserve">bool; error</t>
  </si>
  <si>
    <t xml:space="preserve">launchC2h, launchH2c, start (UDP)</t>
  </si>
  <si>
    <t xml:space="preserve">Defined BackendLauncher.cpp:688. stdbuf exec()s the helper so SIGINT reaches it; IWFG_NO_STDBUF disables.</t>
  </si>
  <si>
    <t xml:space="preserve">CORE-064</t>
  </si>
  <si>
    <t xml:space="preserve">BackendLauncher::release</t>
  </si>
  <si>
    <t xml:space="preserve">void release(QProcess* p, std::function&lt;void()&gt; whenGone = {});</t>
  </si>
  <si>
    <t xml:space="preserve">Lets go of a process without blocking: deletes it if exited, else SIGINT, kill() after 1.5 s, and keeps it in the reaper until it really exits.</t>
  </si>
  <si>
    <t xml:space="preserve">p, whenGone callback</t>
  </si>
  <si>
    <t xml:space="preserve">finishStop, teardown, restartH2c, launchOne</t>
  </si>
  <si>
    <t xml:space="preserve">Defined BackendLauncher.cpp:1120. Avoids QProcess destructor blocking on a helper stuck in the driver.</t>
  </si>
  <si>
    <t xml:space="preserve">CORE-065</t>
  </si>
  <si>
    <t xml:space="preserve">What the capture may ask for while transmitting (2 ch at 200 MSPS fit; 4 do not).</t>
  </si>
  <si>
    <t xml:space="preserve">1600.0</t>
  </si>
  <si>
    <t xml:space="preserve">1.2.5. Constant, not a function.</t>
  </si>
  <si>
    <t xml:space="preserve">CORE-066</t>
  </si>
  <si>
    <t xml:space="preserve">MiB/s a capture of channels x rate x sample size needs.</t>
  </si>
  <si>
    <t xml:space="preserve">channels, rateMsps, bytesPerSample</t>
  </si>
  <si>
    <t xml:space="preserve">channels*rateMsps*1e6*bytesPerSample/1048576</t>
  </si>
  <si>
    <t xml:space="preserve">MainWindow::checkCaptureRate / transmitGuard</t>
  </si>
  <si>
    <t xml:space="preserve">1.2.5, pure.</t>
  </si>
  <si>
    <t xml:space="preserve">CORE-067</t>
  </si>
  <si>
    <t xml:space="preserve">PL GPIO routing mode (firmware menu 10) for a channel count: 1 single, 2 two, 3 four.</t>
  </si>
  <si>
    <t xml:space="preserve">mode 1..3</t>
  </si>
  <si>
    <t xml:space="preserve">CORE-068</t>
  </si>
  <si>
    <t xml:space="preserve">Channels to capture while transmitting: channels if it fits the budget, else 2 or 1.</t>
  </si>
  <si>
    <t xml:space="preserve">channels, rateMsps, bytesPerSample, budgetMib</t>
  </si>
  <si>
    <t xml:space="preserve">int channels</t>
  </si>
  <si>
    <t xml:space="preserve">CORE-069</t>
  </si>
  <si>
    <t xml:space="preserve">Channel count a measured capture rate corresponds to (within 15 % of 1, 2, 4 or 8 channels' worth).</t>
  </si>
  <si>
    <t xml:space="preserve">deliveredMib, rateMsps, bytesPerSample</t>
  </si>
  <si>
    <t xml:space="preserve">channels; bool matched</t>
  </si>
  <si>
    <t xml:space="preserve">x = delivered/captureNeedMib(1,...); match c if |x-c| &lt;= 0.15c</t>
  </si>
  <si>
    <t xml:space="preserve">CORE-070</t>
  </si>
  <si>
    <t xml:space="preserve">sdr::hw (ConfigValidator)</t>
  </si>
  <si>
    <t xml:space="preserve">namespace sdr::hw // ConfigValidator</t>
  </si>
  <si>
    <t xml:space="preserve">Validates a requested launcher configuration (board, data-flow mode, channels, rates) against HardwareDb and returns Info/Warning/Error findings with remedies.</t>
  </si>
  <si>
    <t xml:space="preserve">Free functions + structs (not a class).</t>
  </si>
  <si>
    <t xml:space="preserve">01_sdr_workstation_GUI/src/core/ConfigValidator.h</t>
  </si>
  <si>
    <t xml:space="preserve">CORE-071</t>
  </si>
  <si>
    <t xml:space="preserve">sdr::hw::DataFlowMode</t>
  </si>
  <si>
    <t xml:space="preserve">enum class DataFlowMode { AdcOnly, DacOnly, AdcAndDac };</t>
  </si>
  <si>
    <t xml:space="preserve">Launcher data flow: C2H capture, H2C playback, or both (index stored in SystemConfig.dataFlowMode).</t>
  </si>
  <si>
    <t xml:space="preserve">ConfigDialog; MainWindow (dataFlowMode != 0 -&gt; H2C_C2H backend)</t>
  </si>
  <si>
    <t xml:space="preserve">CORE-072</t>
  </si>
  <si>
    <t xml:space="preserve">sdr::hw::Finding</t>
  </si>
  <si>
    <t xml:space="preserve">struct Finding {</t>
  </si>
  <si>
    <t xml:space="preserve">One validation finding: severity (Info/Warning/Error), title, detail, remedy.</t>
  </si>
  <si>
    <t xml:space="preserve">ConfigDialog findings label</t>
  </si>
  <si>
    <t xml:space="preserve">CORE-073</t>
  </si>
  <si>
    <t xml:space="preserve">hw::validate</t>
  </si>
  <si>
    <t xml:space="preserve">ValidationResult validate(const RequestedConfig&amp; req);</t>
  </si>
  <si>
    <t xml:space="preserve">Checks a RequestedConfig against the board spec; error if no kit selected.</t>
  </si>
  <si>
    <t xml:space="preserve">req: boardId, mode, ADC/DAC channels and rates</t>
  </si>
  <si>
    <t xml:space="preserve">ValidationResult (findings; ok() = no errors)</t>
  </si>
  <si>
    <t xml:space="preserve">Defined ConfigValidator.cpp:146.</t>
  </si>
  <si>
    <t xml:space="preserve">CORE-074</t>
  </si>
  <si>
    <t xml:space="preserve">sdr::DmaSource</t>
  </si>
  <si>
    <t xml:space="preserve">class DmaSource : public ISignalSource</t>
  </si>
  <si>
    <t xml:space="preserve">Live mode: reads a PCIe DMA character device (/dev/iwfg0, /dev/xdma0_c2h_0) or the backend's capture FIFO non-blocking and republishes fixed-size raw blocks; survives capture-helper restarts.</t>
  </si>
  <si>
    <t xml:space="preserve">MainWindow::createSource (SourceMode::Dma, also UDP transport)</t>
  </si>
  <si>
    <t xml:space="preserve">Runs on the 'acquisition' QThread (moved there by MainWindow::createSource); invoked via queued QMetaObject::invokeMethod. Read loop re-posts itself via the event loop (no while(true)), 12 ms read budget per pump.</t>
  </si>
  <si>
    <t xml:space="preserve">01_sdr_workstation_GUI/src/core/Sources.h</t>
  </si>
  <si>
    <t xml:space="preserve">CORE-075</t>
  </si>
  <si>
    <t xml:space="preserve">DmaSource::start</t>
  </si>
  <si>
    <t xml:space="preserve">void start() override;</t>
  </si>
  <si>
    <t xml:space="preserve">Sizes the block buffer, opens the device/FIFO and queues the first pump.</t>
  </si>
  <si>
    <t xml:space="preserve">runStateChanged, statusMessage</t>
  </si>
  <si>
    <t xml:space="preserve">blockBytes = max(1024, blockSamples) * bytesPerSample * channels</t>
  </si>
  <si>
    <t xml:space="preserve">Defined Sources.cpp:723.</t>
  </si>
  <si>
    <t xml:space="preserve">CORE-076</t>
  </si>
  <si>
    <t xml:space="preserve">DmaSource::stop</t>
  </si>
  <si>
    <t xml:space="preserve">void stop() override;</t>
  </si>
  <si>
    <t xml:space="preserve">Marks inactive and closes the descriptor.</t>
  </si>
  <si>
    <t xml:space="preserve">runStateChanged</t>
  </si>
  <si>
    <t xml:space="preserve">MainWindow::onStop / destroySource</t>
  </si>
  <si>
    <t xml:space="preserve">Defined Sources.cpp:744.</t>
  </si>
  <si>
    <t xml:space="preserve">CORE-077</t>
  </si>
  <si>
    <t xml:space="preserve">DmaSource::applyConfig</t>
  </si>
  <si>
    <t xml:space="preserve">void applyConfig(const sdr::Config&amp; cfg) override;</t>
  </si>
  <si>
    <t xml:space="preserve">Reconfigures in place while streaming (format/channels/block size keep partial bytes); re-opens only if the device path changed.</t>
  </si>
  <si>
    <t xml:space="preserve">MainWindow::pushConfig (live channel/format edits, becameReady)</t>
  </si>
  <si>
    <t xml:space="preserve">Defined Sources.cpp:638. 1.2.4+: in-place reconfig so c2h_stream's FIFO reader is never closed.</t>
  </si>
  <si>
    <t xml:space="preserve">CORE-078</t>
  </si>
  <si>
    <t xml:space="preserve">DmaSource::pump</t>
  </si>
  <si>
    <t xml:space="preserve">void pump();</t>
  </si>
  <si>
    <t xml:space="preserve">Reads up to a full block within 12 ms; publishes admitted blocks; when idle polls for readability (20 ms) or falls back to a 2 ms timer for non-pollable devices; drains without publishing while paused.</t>
  </si>
  <si>
    <t xml:space="preserve">blockReady, statsUpdated</t>
  </si>
  <si>
    <t xml:space="preserve">Self-queued (QMetaObject::invokeMethod / QTimer::singleShot)</t>
  </si>
  <si>
    <t xml:space="preserve">Defined Sources.cpp:796 (private slot). Never switches the fd to blocking (1.2.3 did, freezing stop()).</t>
  </si>
  <si>
    <t xml:space="preserve">CORE-079</t>
  </si>
  <si>
    <t xml:space="preserve">DmaSource::openDevice</t>
  </si>
  <si>
    <t xml:space="preserve">bool openDevice();</t>
  </si>
  <si>
    <t xml:space="preserve">stat()s and opens the node with O_RDONLY|O_NONBLOCK; for a FIFO enlarges the pipe buffer.</t>
  </si>
  <si>
    <t xml:space="preserve">start; applyConfig (path change)</t>
  </si>
  <si>
    <t xml:space="preserve">Defined Sources.cpp:667. enlargePipe() uses fcntl(F_SETPIPE_SZ) up to min(pipe-max-size, 16 MiB).</t>
  </si>
  <si>
    <t xml:space="preserve">CORE-080</t>
  </si>
  <si>
    <t xml:space="preserve">DmaSource::writerGone</t>
  </si>
  <si>
    <t xml:space="preserve">int writerGone();</t>
  </si>
  <si>
    <t xml:space="preserve">Called when the FIFO writer closed: waits without spinning and re-attaches if the path now names a new FIFO inode (capture helper restarted).</t>
  </si>
  <si>
    <t xml:space="preserve">delay before next pump (0 after re-attach, else 50 ms)</t>
  </si>
  <si>
    <t xml:space="preserve">Defined Sources.cpp:760. Compares stat(path) vs fstat(fd) st_ino/st_dev; warns after 1.5 s.</t>
  </si>
  <si>
    <t xml:space="preserve">CORE-081</t>
  </si>
  <si>
    <t xml:space="preserve">sdr::DriverManager</t>
  </si>
  <si>
    <t xml:space="preserve">class DriverManager : public QObject</t>
  </si>
  <si>
    <t xml:space="preserve">Makes PCIe mode self-contained: checks build deps, builds the iwfg driver from drivers/, inserts it via pkexec insmod (or reports the exact sudo command), validates the node, and removes it at exit only if this session loaded it.</t>
  </si>
  <si>
    <t xml:space="preserve">PcieDiscoveryDialog::onFixDriver; MainWindow (exit-time rmmod when driverLoadedBySession)</t>
  </si>
  <si>
    <t xml:space="preserve">GUI thread; synchronous external commands (no shell).</t>
  </si>
  <si>
    <t xml:space="preserve">01_sdr_workstation_GUI/src/core/DriverManager.h</t>
  </si>
  <si>
    <t xml:space="preserve">CORE-082</t>
  </si>
  <si>
    <t xml:space="preserve">DriverManager::driversDir</t>
  </si>
  <si>
    <t xml:space="preserve">static QString driversDir();</t>
  </si>
  <si>
    <t xml:space="preserve">Directory holding the driver sources (drivers/ beside the executable or project root).</t>
  </si>
  <si>
    <t xml:space="preserve">PcieDiscoveryDialog::finish</t>
  </si>
  <si>
    <t xml:space="preserve">Defined DriverManager.cpp:63.</t>
  </si>
  <si>
    <t xml:space="preserve">CORE-083</t>
  </si>
  <si>
    <t xml:space="preserve">DriverManager::compiledModulePath</t>
  </si>
  <si>
    <t xml:space="preserve">static QString compiledModulePath();</t>
  </si>
  <si>
    <t xml:space="preserve">Path of a compiled iwfg.ko if present.</t>
  </si>
  <si>
    <t xml:space="preserve">PcieDiscoveryDialog::finish (label 'Load' vs 'Build &amp; load')</t>
  </si>
  <si>
    <t xml:space="preserve">Defined DriverManager.cpp:79.</t>
  </si>
  <si>
    <t xml:space="preserve">CORE-084</t>
  </si>
  <si>
    <t xml:space="preserve">DriverManager::checkBuildDeps</t>
  </si>
  <si>
    <t xml:space="preserve">static QVector&lt;StepResult&gt; checkBuildDeps();</t>
  </si>
  <si>
    <t xml:space="preserve">Checks make, cc and kernel headers for the running kernel.</t>
  </si>
  <si>
    <t xml:space="preserve">QVector&lt;StepResult&gt;</t>
  </si>
  <si>
    <t xml:space="preserve">ensureDriver</t>
  </si>
  <si>
    <t xml:space="preserve">Defined DriverManager.cpp:92.</t>
  </si>
  <si>
    <t xml:space="preserve">CORE-085</t>
  </si>
  <si>
    <t xml:space="preserve">DriverManager::buildModule</t>
  </si>
  <si>
    <t xml:space="preserve">StepResult buildModule();</t>
  </si>
  <si>
    <t xml:space="preserve">Runs make in the drivers directory.</t>
  </si>
  <si>
    <t xml:space="preserve">StepResult</t>
  </si>
  <si>
    <t xml:space="preserve">Defined DriverManager.cpp:119. Long-running; emits progress.</t>
  </si>
  <si>
    <t xml:space="preserve">CORE-086</t>
  </si>
  <si>
    <t xml:space="preserve">DriverManager::insertModule</t>
  </si>
  <si>
    <t xml:space="preserve">StepResult insertModule();</t>
  </si>
  <si>
    <t xml:space="preserve">Inserts iwfg.ko via 'pkexec insmod' (exec'd directly), else returns the exact command to run.</t>
  </si>
  <si>
    <t xml:space="preserve">Defined DriverManager.cpp:157. 60 s timeout.</t>
  </si>
  <si>
    <t xml:space="preserve">CORE-087</t>
  </si>
  <si>
    <t xml:space="preserve">DriverManager::removeModule</t>
  </si>
  <si>
    <t xml:space="preserve">StepResult removeModule();</t>
  </si>
  <si>
    <t xml:space="preserve">Removes the module via 'pkexec rmmod iwfg'; idempotent (not loaded = success).</t>
  </si>
  <si>
    <t xml:space="preserve">~MainWindow (only when driverLoadedBySession)</t>
  </si>
  <si>
    <t xml:space="preserve">Defined DriverManager.cpp:189. 30 s timeout.</t>
  </si>
  <si>
    <t xml:space="preserve">CORE-088</t>
  </si>
  <si>
    <t xml:space="preserve">DriverManager::loadedByUs</t>
  </si>
  <si>
    <t xml:space="preserve">bool loadedByUs() const { return m_loadedByUs; }</t>
  </si>
  <si>
    <t xml:space="preserve">True when ensureDriver actually inserted the module.</t>
  </si>
  <si>
    <t xml:space="preserve">CORE-089</t>
  </si>
  <si>
    <t xml:space="preserve">DriverManager::ensureDriver</t>
  </si>
  <si>
    <t xml:space="preserve">bool ensureDriver(const QString&amp; devicePath, QVector&lt;StepResult&gt;&amp; log);</t>
  </si>
  <si>
    <t xml:space="preserve">Full chain: deps, build (if no prebuilt .ko), insert, node validation; stops at first hard failure.</t>
  </si>
  <si>
    <t xml:space="preserve">devicePath; log (out)</t>
  </si>
  <si>
    <t xml:space="preserve">bool module loaded and node exists</t>
  </si>
  <si>
    <t xml:space="preserve">Defined DriverManager.cpp:219.</t>
  </si>
  <si>
    <t xml:space="preserve">CORE-090</t>
  </si>
  <si>
    <t xml:space="preserve">DriverManager::progress</t>
  </si>
  <si>
    <t xml:space="preserve">void progress(const QString&amp; line);</t>
  </si>
  <si>
    <t xml:space="preserve">Progress line during build/insert/remove.</t>
  </si>
  <si>
    <t xml:space="preserve">Not connected by callers in this source</t>
  </si>
  <si>
    <t xml:space="preserve">CORE-091</t>
  </si>
  <si>
    <t xml:space="preserve">sdr::DspEngine</t>
  </si>
  <si>
    <t xml:space="preserve">class DspEngine : public QObject</t>
  </si>
  <si>
    <t xml:space="preserve">Turns raw acquisition blocks into display frames: deferred wire decode, NCO down-conversion, windowed FFT (CPU or GPU cuFFT offload), averaging, constellation and metrics; throttles output to the refresh rate and to the GUI's render gate.</t>
  </si>
  <si>
    <t xml:space="preserve">Runs on the 'dsp' QThread (MainWindow::buildPipeline). Analyses a bounded window per frame (not every sample); recording and throughput still see the full stream.</t>
  </si>
  <si>
    <t xml:space="preserve">01_sdr_workstation_GUI/src/core/DspEngine.h</t>
  </si>
  <si>
    <t xml:space="preserve">CORE-092</t>
  </si>
  <si>
    <t xml:space="preserve">DspEngine::setBackPressure</t>
  </si>
  <si>
    <t xml:space="preserve">void setBackPressure(const BackPressurePtr&amp; bp) { m_bp = bp; }</t>
  </si>
  <si>
    <t xml:space="preserve">Shares the backlog counter decremented for every consumed block.</t>
  </si>
  <si>
    <t xml:space="preserve">bp</t>
  </si>
  <si>
    <t xml:space="preserve">CORE-093</t>
  </si>
  <si>
    <t xml:space="preserve">DspEngine::setRenderGate</t>
  </si>
  <si>
    <t xml:space="preserve">void setRenderGate(const std::shared_ptr&lt;QAtomicInt&gt;&amp; gate) { m_renderGate = gate; }</t>
  </si>
  <si>
    <t xml:space="preserve">Shares the 'GUI has not painted the last frame' flag; the engine skips frames while it is set.</t>
  </si>
  <si>
    <t xml:space="preserve">gate</t>
  </si>
  <si>
    <t xml:space="preserve">Engine stores 1 before emitting frameReady; MainWindow::renderPending stores 0.</t>
  </si>
  <si>
    <t xml:space="preserve">CORE-094</t>
  </si>
  <si>
    <t xml:space="preserve">void applyConfig(const sdr::Config&amp; cfg);</t>
  </si>
  <si>
    <t xml:space="preserve">Adopts the Config: GPU wish (resets fallback), refresh cadence, rebuilds the FFT window (sum and ENBW) when size/type changes.</t>
  </si>
  <si>
    <t xml:space="preserve">computeStatus when GPU is switched off</t>
  </si>
  <si>
    <t xml:space="preserve">minFrameMs = 1000/refreshFps</t>
  </si>
  <si>
    <t xml:space="preserve">MainWindow::pushConfig (queued)</t>
  </si>
  <si>
    <t xml:space="preserve">Defined DspEngine.cpp:40. Runs on the 'dsp' QThread (MainWindow::buildPipeline).</t>
  </si>
  <si>
    <t xml:space="preserve">CORE-095</t>
  </si>
  <si>
    <t xml:space="preserve">void processBlock(const sdr::SampleBlock&amp; block);</t>
  </si>
  <si>
    <t xml:space="preserve">Consumes a block: releases back-pressure, applies frame throttle and render gate, decodes raw bytes, then for each selected channel down-converts, triggers on rising I zero-crossing, takes 512 contiguous time points, and computes spectrum, constellation and metrics.</t>
  </si>
  <si>
    <t xml:space="preserve">block</t>
  </si>
  <si>
    <t xml:space="preserve">frameReady(FrameResult)</t>
  </si>
  <si>
    <t xml:space="preserve">centerFreqHz = centerFreqGHz*1e9 - ncoFreqMHz*1e6; blockSpanSec = plotted/displayRateHz</t>
  </si>
  <si>
    <t xml:space="preserve">ISignalSource::blockReady (queued, MainWindow::createSource)</t>
  </si>
  <si>
    <t xml:space="preserve">Defined DspEngine.cpp:101. Runs on the 'dsp' QThread (MainWindow::buildPipeline). Skipped frames counted in framesSkipped.</t>
  </si>
  <si>
    <t xml:space="preserve">CORE-096</t>
  </si>
  <si>
    <t xml:space="preserve">DspEngine::updateStats</t>
  </si>
  <si>
    <t xml:space="preserve">void updateStats(const sdr::StreamStats&amp; stats);</t>
  </si>
  <si>
    <t xml:space="preserve">Takes source-owned counters while keeping its own frame counters.</t>
  </si>
  <si>
    <t xml:space="preserve">ISignalSource::statsUpdated</t>
  </si>
  <si>
    <t xml:space="preserve">Defined DspEngine.cpp:91.</t>
  </si>
  <si>
    <t xml:space="preserve">CORE-097</t>
  </si>
  <si>
    <t xml:space="preserve">DspEngine::resetCounters</t>
  </si>
  <si>
    <t xml:space="preserve">void resetCounters();</t>
  </si>
  <si>
    <t xml:space="preserve">Zeroes frame counters and stats and clears averages.</t>
  </si>
  <si>
    <t xml:space="preserve">MainWindow::onStart (queued)</t>
  </si>
  <si>
    <t xml:space="preserve">Defined DspEngine.cpp:84.</t>
  </si>
  <si>
    <t xml:space="preserve">CORE-098</t>
  </si>
  <si>
    <t xml:space="preserve">DspEngine::clearAverages</t>
  </si>
  <si>
    <t xml:space="preserve">void clearAverages();</t>
  </si>
  <si>
    <t xml:space="preserve">Resets all per-channel averaging/hold accumulators.</t>
  </si>
  <si>
    <t xml:space="preserve">DisplayPanel::resetAveragingRequested via MainWindow (queued)</t>
  </si>
  <si>
    <t xml:space="preserve">Defined DspEngine.cpp:74.</t>
  </si>
  <si>
    <t xml:space="preserve">CORE-099</t>
  </si>
  <si>
    <t xml:space="preserve">DspEngine::frameReady</t>
  </si>
  <si>
    <t xml:space="preserve">void frameReady(const sdr::FrameResult&amp; frame);</t>
  </si>
  <si>
    <t xml:space="preserve">A fully processed display frame.</t>
  </si>
  <si>
    <t xml:space="preserve">FrameResult</t>
  </si>
  <si>
    <t xml:space="preserve">Crosses a queued connection to the GUI thread.</t>
  </si>
  <si>
    <t xml:space="preserve">CORE-100</t>
  </si>
  <si>
    <t xml:space="preserve">DspEngine::computeStatus</t>
  </si>
  <si>
    <t xml:space="preserve">void computeStatus(bool onGpu, const QString&amp; detail);</t>
  </si>
  <si>
    <t xml:space="preserve">Reports where the FFT actually runs (GPU engaged, failed at init, failed mid-stream and fell back, or switched off).</t>
  </si>
  <si>
    <t xml:space="preserve">onGpu, detail</t>
  </si>
  <si>
    <t xml:space="preserve">MainWindow lambda -&gt; status-bar CPU/GPU badge</t>
  </si>
  <si>
    <t xml:space="preserve">CORE-101</t>
  </si>
  <si>
    <t xml:space="preserve">void applyDdc(IQBlock&amp; block, quint64 startSample) const;</t>
  </si>
  <si>
    <t xml:space="preserve">Complex mix by the NCO frequency with phase from the absolute sample index (stable across dropped blocks).</t>
  </si>
  <si>
    <t xml:space="preserve">block, startSample</t>
  </si>
  <si>
    <t xml:space="preserve">s *= exp(j*2*pi*fNco/fs*n)</t>
  </si>
  <si>
    <t xml:space="preserve">processBlock</t>
  </si>
  <si>
    <t xml:space="preserve">Defined DspEngine.cpp:286.</t>
  </si>
  <si>
    <t xml:space="preserve">CORE-102</t>
  </si>
  <si>
    <t xml:space="preserve">void computeSpectrum(const IQBlock&amp; in, ChannelState&amp; st, ChannelFrame&amp; out);</t>
  </si>
  <si>
    <t xml:space="preserve">Window x FFT x |X|^2 (GpuFft when wanted, else in-place CPU FFT), dBFS with coherent-gain correction, fftshift, then None/Exponential/LinearN (linear-power)/MaxHold/MinHold averaging.</t>
  </si>
  <si>
    <t xml:space="preserve">in, st, out</t>
  </si>
  <si>
    <t xml:space="preserve">out.spectrum (dBFS)</t>
  </si>
  <si>
    <t xml:space="preserve">scale = 1/(windowSum^2*0.25); exp avg: avg = avg*(1-a) + mag*a</t>
  </si>
  <si>
    <t xml:space="preserve">Defined DspEngine.cpp:308. GPU created lazily on the dsp thread (CUDA context is thread-bound); runtime GPU failure falls back to CPU.</t>
  </si>
  <si>
    <t xml:space="preserve">CORE-103</t>
  </si>
  <si>
    <t xml:space="preserve">void computeMetrics(ChannelFrame&amp; out, double displayRateHz, double centerHz) const;</t>
  </si>
  <si>
    <t xml:space="preserve">Fills Metrics (peak, floor, SNR, OBW, channel power, SFDR, THD, SINAD, ENOB, harmonics, DC, I/Q imbalance, peaks).</t>
  </si>
  <si>
    <t xml:space="preserve">out, displayRateHz, centerHz</t>
  </si>
  <si>
    <t xml:space="preserve">out.metrics</t>
  </si>
  <si>
    <t xml:space="preserve">Defined DspEngine.cpp:578.</t>
  </si>
  <si>
    <t xml:space="preserve">CORE-104</t>
  </si>
  <si>
    <t xml:space="preserve">sdr::FileSource</t>
  </si>
  <si>
    <t xml:space="preserve">class FileSource : public ISignalSource</t>
  </si>
  <si>
    <t xml:space="preserve">Offline mode: streams a stored capture (after an optional header) through the same block interface, optionally paced to the display rate, with loop and seek.</t>
  </si>
  <si>
    <t xml:space="preserve">MainWindow::createSource (SourceMode::File)</t>
  </si>
  <si>
    <t xml:space="preserve">Runs on the 'acquisition' QThread (moved there by MainWindow::createSource); invoked via queued QMetaObject::invokeMethod. 10 ms PreciseTimer; decode deferred to the DSP stage (raw bytes published).</t>
  </si>
  <si>
    <t xml:space="preserve">CORE-105</t>
  </si>
  <si>
    <t xml:space="preserve">FileSource::totalSamples</t>
  </si>
  <si>
    <t xml:space="preserve">qint64 totalSamples() const;</t>
  </si>
  <si>
    <t xml:space="preserve">Per-channel samples in the open file.</t>
  </si>
  <si>
    <t xml:space="preserve">qint64</t>
  </si>
  <si>
    <t xml:space="preserve">dataBytes / (bytesPerSample*channels)</t>
  </si>
  <si>
    <t xml:space="preserve">openFile</t>
  </si>
  <si>
    <t xml:space="preserve">Defined Sources.cpp:420.</t>
  </si>
  <si>
    <t xml:space="preserve">CORE-106</t>
  </si>
  <si>
    <t xml:space="preserve">FileSource::start</t>
  </si>
  <si>
    <t xml:space="preserve">Opens the file if needed and starts the replay timer.</t>
  </si>
  <si>
    <t xml:space="preserve">Defined Sources.cpp:487.</t>
  </si>
  <si>
    <t xml:space="preserve">CORE-107</t>
  </si>
  <si>
    <t xml:space="preserve">FileSource::stop</t>
  </si>
  <si>
    <t xml:space="preserve">Stops replay and closes the file.</t>
  </si>
  <si>
    <t xml:space="preserve">MainWindow; end of capture without loop</t>
  </si>
  <si>
    <t xml:space="preserve">Defined Sources.cpp:506.</t>
  </si>
  <si>
    <t xml:space="preserve">CORE-108</t>
  </si>
  <si>
    <t xml:space="preserve">FileSource::applyConfig</t>
  </si>
  <si>
    <t xml:space="preserve">Re-opens the file if path, format, channels or header bytes changed while active.</t>
  </si>
  <si>
    <t xml:space="preserve">Defined Sources.cpp:426.</t>
  </si>
  <si>
    <t xml:space="preserve">CORE-109</t>
  </si>
  <si>
    <t xml:space="preserve">FileSource::seekFraction</t>
  </si>
  <si>
    <t xml:space="preserve">void seekFraction(double frac) override;</t>
  </si>
  <si>
    <t xml:space="preserve">Seeks to a sample-aligned fraction of the data.</t>
  </si>
  <si>
    <t xml:space="preserve">frac 0..1</t>
  </si>
  <si>
    <t xml:space="preserve">statsUpdated</t>
  </si>
  <si>
    <t xml:space="preserve">SourcePanel seek slider via MainWindow</t>
  </si>
  <si>
    <t xml:space="preserve">Defined Sources.cpp:516.</t>
  </si>
  <si>
    <t xml:space="preserve">CORE-110</t>
  </si>
  <si>
    <t xml:space="preserve">FileSource::produce</t>
  </si>
  <si>
    <t xml:space="preserve">void produce();</t>
  </si>
  <si>
    <t xml:space="preserve">Per 10 ms tick, reads enough blocks to hold the nominal display rate (paced, max 64) or 8 blocks free-running; loops or stops at EOF.</t>
  </si>
  <si>
    <t xml:space="preserve">blocks = round(displayRateHz*speed*0.010 / blockSamples), clamp 1..64</t>
  </si>
  <si>
    <t xml:space="preserve">m_timer timeout</t>
  </si>
  <si>
    <t xml:space="preserve">Defined Sources.cpp:527 (private slot).</t>
  </si>
  <si>
    <t xml:space="preserve">CORE-111</t>
  </si>
  <si>
    <t xml:space="preserve">sdr::GpuFft</t>
  </si>
  <si>
    <t xml:space="preserve">class GpuFft</t>
  </si>
  <si>
    <t xml:space="preserve">Optional GPU offload of window x FFT x |X|^2 using cuFFT (CUFFT_C2C plan, custom window/power kernels, non-blocking CUDA stream); a stub returns false when built without CUDA.</t>
  </si>
  <si>
    <t xml:space="preserve">DspEngine::computeSpectrum (created lazily on the dsp thread)</t>
  </si>
  <si>
    <t xml:space="preserve">Not a QObject; CUDA context bound to the dsp thread.</t>
  </si>
  <si>
    <t xml:space="preserve">01_sdr_workstation_GUI/src/core/GpuFft.h</t>
  </si>
  <si>
    <t xml:space="preserve">CORE-112</t>
  </si>
  <si>
    <t xml:space="preserve">GpuFft::init</t>
  </si>
  <si>
    <t xml:space="preserve">bool init(QString* detail);</t>
  </si>
  <si>
    <t xml:space="preserve">Selects the device and creates the CUDA stream.</t>
  </si>
  <si>
    <t xml:space="preserve">bool; detail (device name or error)</t>
  </si>
  <si>
    <t xml:space="preserve">Defined GpuFft.cpp:77 (CUDA) / 214 (stub).</t>
  </si>
  <si>
    <t xml:space="preserve">CORE-113</t>
  </si>
  <si>
    <t xml:space="preserve">GpuFft::setWindow</t>
  </si>
  <si>
    <t xml:space="preserve">bool setWindow(const float* w, std::size_t n, QString* err);</t>
  </si>
  <si>
    <t xml:space="preserve">Uploads the window and (re)plans cufftPlan1d for size n.</t>
  </si>
  <si>
    <t xml:space="preserve">w, n</t>
  </si>
  <si>
    <t xml:space="preserve">bool; err</t>
  </si>
  <si>
    <t xml:space="preserve">Defined GpuFft.cpp:110.</t>
  </si>
  <si>
    <t xml:space="preserve">CORE-114</t>
  </si>
  <si>
    <t xml:space="preserve">GpuFft::powerSpectrum</t>
  </si>
  <si>
    <t xml:space="preserve">bool powerSpectrum(const std::complex&lt;float&gt;* in, std::size_t n, float* powerOut, QString* err);</t>
  </si>
  <si>
    <t xml:space="preserve">Uploads samples, windows, cufftExecC2C forward, |X|^2, downloads power.</t>
  </si>
  <si>
    <t xml:space="preserve">in, n</t>
  </si>
  <si>
    <t xml:space="preserve">powerOut; bool</t>
  </si>
  <si>
    <t xml:space="preserve">Defined GpuFft.cpp:154. Synchronises the stream per call.</t>
  </si>
  <si>
    <t xml:space="preserve">CORE-115</t>
  </si>
  <si>
    <t xml:space="preserve">sdr::probe (GpuNetProbe)</t>
  </si>
  <si>
    <t xml:space="preserve">namespace sdr::probe // GpuNetProbe</t>
  </si>
  <si>
    <t xml:space="preserve">Read-only capability discovery for the Ethernet/RoCEv2 -&gt; GPU path: RDMA devices and their netdevs, RoCEv2 GIDs, GPUDirect peer memory, CUDA/Rivermax/Holoscan presence, host info, and a recommended transport.</t>
  </si>
  <si>
    <t xml:space="preserve">ConfigDialog (RoCE mapping); main.cpp (--gpunet-report style CLI report)</t>
  </si>
  <si>
    <t xml:space="preserve">Free functions; uses sysfs and existing CLI tools, deliberately not linking libibverbs/CUDA.</t>
  </si>
  <si>
    <t xml:space="preserve">01_sdr_workstation_GUI/src/core/GpuNetProbe.h</t>
  </si>
  <si>
    <t xml:space="preserve">CORE-116</t>
  </si>
  <si>
    <t xml:space="preserve">probe::detectRdmaPorts</t>
  </si>
  <si>
    <t xml:space="preserve">QVector&lt;RdmaPort&gt; detectRdmaPorts();</t>
  </si>
  <si>
    <t xml:space="preserve">Lists RDMA ports with link layer, state, rate, firmware and GID types.</t>
  </si>
  <si>
    <t xml:space="preserve">QVector&lt;RdmaPort&gt;</t>
  </si>
  <si>
    <t xml:space="preserve">runGpuNetPreflight</t>
  </si>
  <si>
    <t xml:space="preserve">CORE-117</t>
  </si>
  <si>
    <t xml:space="preserve">probe::detectGpuDirect</t>
  </si>
  <si>
    <t xml:space="preserve">GpuDirectStatus detectGpuDirect();</t>
  </si>
  <si>
    <t xml:space="preserve">Checks nvidia_peermem / dma-buf capability for GPUDirect RDMA.</t>
  </si>
  <si>
    <t xml:space="preserve">GpuDirectStatus</t>
  </si>
  <si>
    <t xml:space="preserve">CORE-118</t>
  </si>
  <si>
    <t xml:space="preserve">probe::mapNetdevsToRdma</t>
  </si>
  <si>
    <t xml:space="preserve">QVector&lt;NetRdmaMapping&gt; mapNetdevsToRdma();</t>
  </si>
  <si>
    <t xml:space="preserve">Maps each netdev to its RDMA device/port via sysfs and cross-checks node GUID against MAC.</t>
  </si>
  <si>
    <t xml:space="preserve">QVector&lt;NetRdmaMapping&gt;</t>
  </si>
  <si>
    <t xml:space="preserve">ConfigDialog (repopulateDevices, Launch pre-flight)</t>
  </si>
  <si>
    <t xml:space="preserve">CORE-119</t>
  </si>
  <si>
    <t xml:space="preserve">probe::selectRoceMapping</t>
  </si>
  <si>
    <t xml:space="preserve">NetRdmaMapping selectRoceMapping(const QVector&lt;NetRdmaMapping&gt;&amp; all, QString* reason);</t>
  </si>
  <si>
    <t xml:space="preserve">Chooses the mapping to use for RoCEv2 (empty rdmaDevice + reason if none fits).</t>
  </si>
  <si>
    <t xml:space="preserve">all mappings</t>
  </si>
  <si>
    <t xml:space="preserve">NetRdmaMapping; reason</t>
  </si>
  <si>
    <t xml:space="preserve">ConfigDialog Launch handler / repopulateDevices</t>
  </si>
  <si>
    <t xml:space="preserve">CORE-120</t>
  </si>
  <si>
    <t xml:space="preserve">probe::runGpuNetPreflight</t>
  </si>
  <si>
    <t xml:space="preserve">GpuNetReport runGpuNetPreflight();</t>
  </si>
  <si>
    <t xml:space="preserve">Runs the full GPU/network capability survey with verdicts and blockers.</t>
  </si>
  <si>
    <t xml:space="preserve">GpuNetReport</t>
  </si>
  <si>
    <t xml:space="preserve">main.cpp (report mode)</t>
  </si>
  <si>
    <t xml:space="preserve">CORE-121</t>
  </si>
  <si>
    <t xml:space="preserve">probe::formatGpuNetReport</t>
  </si>
  <si>
    <t xml:space="preserve">QString formatGpuNetReport(const GpuNetReport&amp; r);</t>
  </si>
  <si>
    <t xml:space="preserve">Formats the survey as text.</t>
  </si>
  <si>
    <t xml:space="preserve">r</t>
  </si>
  <si>
    <t xml:space="preserve">main.cpp (printed to stdout)</t>
  </si>
  <si>
    <t xml:space="preserve">CORE-122</t>
  </si>
  <si>
    <t xml:space="preserve">sdr::H2cControl</t>
  </si>
  <si>
    <t xml:space="preserve">class H2cControl : public QObject</t>
  </si>
  <si>
    <t xml:space="preserve">Writes the rdma_tx 'struct iq_ctl' shared-memory block (/dev/shm/iqctl: magic IQCTL001, pace_gbps, sample_rate_hz, center_freq_hz, seq bumped last) - the RoCEv2 host transmitter's three live parameters.</t>
  </si>
  <si>
    <t xml:space="preserve">ControlWindow3D ctor (GUI thread)</t>
  </si>
  <si>
    <t xml:space="preserve">GUI thread. Not used by the PCIe H2C generator.</t>
  </si>
  <si>
    <t xml:space="preserve">01_sdr_workstation_GUI/src/core/H2cControl.h</t>
  </si>
  <si>
    <t xml:space="preserve">CORE-123</t>
  </si>
  <si>
    <t xml:space="preserve">H2cControl::attach</t>
  </si>
  <si>
    <t xml:space="preserve">bool attach(const QString&amp; path = QStringLiteral("/dev/shm/iqctl"));</t>
  </si>
  <si>
    <t xml:space="preserve">Maps the control block, creating and seeding it (O_CREAT, ftruncate 4096) when absent.</t>
  </si>
  <si>
    <t xml:space="preserve">bool; lastError</t>
  </si>
  <si>
    <t xml:space="preserve">Defined H2cControl.cpp:34. open/ftruncate/mmap MAP_SHARED.</t>
  </si>
  <si>
    <t xml:space="preserve">CORE-124</t>
  </si>
  <si>
    <t xml:space="preserve">H2cControl::detach</t>
  </si>
  <si>
    <t xml:space="preserve">void detach();</t>
  </si>
  <si>
    <t xml:space="preserve">Unmaps and closes the block.</t>
  </si>
  <si>
    <t xml:space="preserve">Destructor</t>
  </si>
  <si>
    <t xml:space="preserve">Defined H2cControl.cpp:90.</t>
  </si>
  <si>
    <t xml:space="preserve">CORE-125</t>
  </si>
  <si>
    <t xml:space="preserve">H2cControl::paceGbps</t>
  </si>
  <si>
    <t xml:space="preserve">double paceGbps() const;</t>
  </si>
  <si>
    <t xml:space="preserve">Current pace read back (0 = unlimited).</t>
  </si>
  <si>
    <t xml:space="preserve">Gb/s</t>
  </si>
  <si>
    <t xml:space="preserve">Defined H2cControl.cpp:98.</t>
  </si>
  <si>
    <t xml:space="preserve">CORE-126</t>
  </si>
  <si>
    <t xml:space="preserve">H2cControl::sampleRateHz</t>
  </si>
  <si>
    <t xml:space="preserve">quint64 sampleRateHz() const;</t>
  </si>
  <si>
    <t xml:space="preserve">Current transmitter sample rate.</t>
  </si>
  <si>
    <t xml:space="preserve">Defined H2cControl.cpp:100.</t>
  </si>
  <si>
    <t xml:space="preserve">CORE-127</t>
  </si>
  <si>
    <t xml:space="preserve">H2cControl::centerFreqHz</t>
  </si>
  <si>
    <t xml:space="preserve">qint64 centerFreqHz() const;</t>
  </si>
  <si>
    <t xml:space="preserve">Current transmitter centre frequency (signed).</t>
  </si>
  <si>
    <t xml:space="preserve">Defined H2cControl.cpp:102.</t>
  </si>
  <si>
    <t xml:space="preserve">CORE-128</t>
  </si>
  <si>
    <t xml:space="preserve">H2cControl::sequence</t>
  </si>
  <si>
    <t xml:space="preserve">quint32 sequence() const;</t>
  </si>
  <si>
    <t xml:space="preserve">Current sequence number.</t>
  </si>
  <si>
    <t xml:space="preserve">seq</t>
  </si>
  <si>
    <t xml:space="preserve">ControlWindow3D::onRevert (log)</t>
  </si>
  <si>
    <t xml:space="preserve">Defined H2cControl.cpp:104.</t>
  </si>
  <si>
    <t xml:space="preserve">CORE-129</t>
  </si>
  <si>
    <t xml:space="preserve">H2cControl::apply</t>
  </si>
  <si>
    <t xml:space="preserve">bool apply(double paceGbps, quint64 sampleRateHz, qint64 centerFreqHz);</t>
  </si>
  <si>
    <t xml:space="preserve">Writes all three parameters then bumps seq (memory barrier between) so rdma_tx applies them on its next 1 Hz poll.</t>
  </si>
  <si>
    <t xml:space="preserve">paceGbps (0 unlimited), sampleRateHz, centerFreqHz</t>
  </si>
  <si>
    <t xml:space="preserve">bool; applied signal</t>
  </si>
  <si>
    <t xml:space="preserve">Defined H2cControl.cpp:107. __sync_synchronize() orders fields before seq.</t>
  </si>
  <si>
    <t xml:space="preserve">CORE-130</t>
  </si>
  <si>
    <t xml:space="preserve">H2cControl::applied</t>
  </si>
  <si>
    <t xml:space="preserve">void applied(double paceGbps, quint64 sampleRateHz, qint64 centerFreqHz);</t>
  </si>
  <si>
    <t xml:space="preserve">Parameters written.</t>
  </si>
  <si>
    <t xml:space="preserve">pace, rate, centre</t>
  </si>
  <si>
    <t xml:space="preserve">Not connected in ControlWindow3D</t>
  </si>
  <si>
    <t xml:space="preserve">CORE-131</t>
  </si>
  <si>
    <t xml:space="preserve">H2cControl::statusMessage</t>
  </si>
  <si>
    <t xml:space="preserve">Informational line.</t>
  </si>
  <si>
    <t xml:space="preserve">ControlWindow3D::log</t>
  </si>
  <si>
    <t xml:space="preserve">CORE-132</t>
  </si>
  <si>
    <t xml:space="preserve">H2cControl::errorMessage</t>
  </si>
  <si>
    <t xml:space="preserve">void errorMessage(const QString&amp; line);</t>
  </si>
  <si>
    <t xml:space="preserve">Error line.</t>
  </si>
  <si>
    <t xml:space="preserve">CORE-133</t>
  </si>
  <si>
    <t xml:space="preserve">sdr::hw::BoardSpec</t>
  </si>
  <si>
    <t xml:space="preserve">struct BoardSpec {</t>
  </si>
  <si>
    <t xml:space="preserve">Board capability record: id, names, family, device, ADC/DAC ConverterSpec, RF channels, interfaces, notes, maxStreamChannels; maxChannelsFor(), maxRateGspsFor().</t>
  </si>
  <si>
    <t xml:space="preserve">HardwareDb, ConfigDialog, validate</t>
  </si>
  <si>
    <t xml:space="preserve">01_sdr_workstation_GUI/src/core/HardwareDb.h</t>
  </si>
  <si>
    <t xml:space="preserve">CORE-134</t>
  </si>
  <si>
    <t xml:space="preserve">sdr::hw::HardwareDb</t>
  </si>
  <si>
    <t xml:space="preserve">class HardwareDb</t>
  </si>
  <si>
    <t xml:space="preserve">Single source of truth for development-kit capabilities (ZU47DR, ZU28DR, Agilex 9, ZU49/39/29DR, ZU27/25DR) with per-value provenance (Verified/Derived/Unverified).</t>
  </si>
  <si>
    <t xml:space="preserve">ConfigDialog (device list, channel choices); ConfigValidator::validate</t>
  </si>
  <si>
    <t xml:space="preserve">Static data, not a QObject.</t>
  </si>
  <si>
    <t xml:space="preserve">CORE-135</t>
  </si>
  <si>
    <t xml:space="preserve">HardwareDb::boards</t>
  </si>
  <si>
    <t xml:space="preserve">static const QVector&lt;BoardSpec&gt;&amp; boards();</t>
  </si>
  <si>
    <t xml:space="preserve">All board specs.</t>
  </si>
  <si>
    <t xml:space="preserve">const QVector&lt;BoardSpec&gt;&amp;</t>
  </si>
  <si>
    <t xml:space="preserve">Defined HardwareDb.cpp:325.</t>
  </si>
  <si>
    <t xml:space="preserve">CORE-136</t>
  </si>
  <si>
    <t xml:space="preserve">HardwareDb::byId</t>
  </si>
  <si>
    <t xml:space="preserve">static const BoardSpec* byId(const QString&amp; id);</t>
  </si>
  <si>
    <t xml:space="preserve">Board spec by stable id (e.g. iw_rfsoc_zu47dr).</t>
  </si>
  <si>
    <t xml:space="preserve">const BoardSpec* or nullptr</t>
  </si>
  <si>
    <t xml:space="preserve">ConfigDialog::refreshState / refreshChannelChoices; validate</t>
  </si>
  <si>
    <t xml:space="preserve">Defined HardwareDb.cpp:331.</t>
  </si>
  <si>
    <t xml:space="preserve">CORE-137</t>
  </si>
  <si>
    <t xml:space="preserve">HardwareDb::displayNames</t>
  </si>
  <si>
    <t xml:space="preserve">static QStringList displayNames();</t>
  </si>
  <si>
    <t xml:space="preserve">Display names of all boards.</t>
  </si>
  <si>
    <t xml:space="preserve">Defined HardwareDb.cpp:337.</t>
  </si>
  <si>
    <t xml:space="preserve">CORE-138</t>
  </si>
  <si>
    <t xml:space="preserve">HardwareDb::byDisplayName</t>
  </si>
  <si>
    <t xml:space="preserve">static const BoardSpec* byDisplayName(const QString&amp; name);</t>
  </si>
  <si>
    <t xml:space="preserve">Board spec by display name.</t>
  </si>
  <si>
    <t xml:space="preserve">const BoardSpec*</t>
  </si>
  <si>
    <t xml:space="preserve">Defined HardwareDb.cpp:344.</t>
  </si>
  <si>
    <t xml:space="preserve">CORE-139</t>
  </si>
  <si>
    <t xml:space="preserve">sdr::ISignalSource</t>
  </si>
  <si>
    <t xml:space="preserve">class ISignalSource : public QObject</t>
  </si>
  <si>
    <t xml:space="preserve">Abstract acquisition source shared by live (PCIe DMA FIFO, RoCEv2 shm) and offline (file) and simulated inputs, so all modes feed one visualisation/recording pipeline.</t>
  </si>
  <si>
    <t xml:space="preserve">MainWindow::createSource instantiates a subclass</t>
  </si>
  <si>
    <t xml:space="preserve">Runs on the 'acquisition' QThread (moved there by MainWindow::createSource); invoked via queued QMetaObject::invokeMethod. blockReady crosses a queued connection into the dsp thread.</t>
  </si>
  <si>
    <t xml:space="preserve">CORE-140</t>
  </si>
  <si>
    <t xml:space="preserve">ISignalSource::name</t>
  </si>
  <si>
    <t xml:space="preserve">virtual QString name() const = 0;</t>
  </si>
  <si>
    <t xml:space="preserve">Human-readable source name for the status bar.</t>
  </si>
  <si>
    <t xml:space="preserve">refreshStats -&gt; StreamStats.sourceName</t>
  </si>
  <si>
    <t xml:space="preserve">CORE-141</t>
  </si>
  <si>
    <t xml:space="preserve">ISignalSource::seekable</t>
  </si>
  <si>
    <t xml:space="preserve">virtual bool seekable() const { return false; }</t>
  </si>
  <si>
    <t xml:space="preserve">True when the source can be repositioned (file replay).</t>
  </si>
  <si>
    <t xml:space="preserve">FileSource returns true.</t>
  </si>
  <si>
    <t xml:space="preserve">CORE-142</t>
  </si>
  <si>
    <t xml:space="preserve">ISignalSource::setBackPressure</t>
  </si>
  <si>
    <t xml:space="preserve">Shares the pipeline back-pressure counter with the DSP stage.</t>
  </si>
  <si>
    <t xml:space="preserve">bp: shared BackPressure</t>
  </si>
  <si>
    <t xml:space="preserve">Set before moveToThread.</t>
  </si>
  <si>
    <t xml:space="preserve">CORE-143</t>
  </si>
  <si>
    <t xml:space="preserve">ISignalSource::start</t>
  </si>
  <si>
    <t xml:space="preserve">virtual void start() = 0;</t>
  </si>
  <si>
    <t xml:space="preserve">Begin producing blocks.</t>
  </si>
  <si>
    <t xml:space="preserve">Runs on the 'acquisition' QThread (moved there by MainWindow::createSource); invoked via queued QMetaObject::invokeMethod.</t>
  </si>
  <si>
    <t xml:space="preserve">CORE-144</t>
  </si>
  <si>
    <t xml:space="preserve">ISignalSource::stop</t>
  </si>
  <si>
    <t xml:space="preserve">virtual void stop() = 0;</t>
  </si>
  <si>
    <t xml:space="preserve">Stop producing and release the device/file.</t>
  </si>
  <si>
    <t xml:space="preserve">MainWindow::onStop / destroySource / processFailed handler (queued)</t>
  </si>
  <si>
    <t xml:space="preserve">CORE-145</t>
  </si>
  <si>
    <t xml:space="preserve">ISignalSource::setPaused</t>
  </si>
  <si>
    <t xml:space="preserve">virtual void setPaused(bool paused) { m_paused = paused; emitState(); }</t>
  </si>
  <si>
    <t xml:space="preserve">Pause/resume publication.</t>
  </si>
  <si>
    <t xml:space="preserve">paused</t>
  </si>
  <si>
    <t xml:space="preserve">MainWindow::onPause (queued)</t>
  </si>
  <si>
    <t xml:space="preserve">CORE-146</t>
  </si>
  <si>
    <t xml:space="preserve">ISignalSource::applyConfig</t>
  </si>
  <si>
    <t xml:space="preserve">virtual void applyConfig(const sdr::Config&amp; cfg) { m_cfg = cfg; }</t>
  </si>
  <si>
    <t xml:space="preserve">Receive the session Config.</t>
  </si>
  <si>
    <t xml:space="preserve">MainWindow::pushConfig / onStart / createSource (queued)</t>
  </si>
  <si>
    <t xml:space="preserve">CORE-147</t>
  </si>
  <si>
    <t xml:space="preserve">ISignalSource::seekFraction</t>
  </si>
  <si>
    <t xml:space="preserve">virtual void seekFraction(double /*frac*/) {}</t>
  </si>
  <si>
    <t xml:space="preserve">Reposition replay (no-op except FileSource).</t>
  </si>
  <si>
    <t xml:space="preserve">SourcePanel::seekRequested via MainWindow (queued)</t>
  </si>
  <si>
    <t xml:space="preserve">CORE-148</t>
  </si>
  <si>
    <t xml:space="preserve">ISignalSource::setTxState</t>
  </si>
  <si>
    <t xml:space="preserve">virtual void setTxState(const sdr::TxState&amp; /*tx*/) {}</t>
  </si>
  <si>
    <t xml:space="preserve">Transmit-side state; only the simulator acts on it (RF loopback model).</t>
  </si>
  <si>
    <t xml:space="preserve">tx</t>
  </si>
  <si>
    <t xml:space="preserve">MainWindow txStateChanged handler / createSource (queued)</t>
  </si>
  <si>
    <t xml:space="preserve">CORE-149</t>
  </si>
  <si>
    <t xml:space="preserve">ISignalSource::blockReady</t>
  </si>
  <si>
    <t xml:space="preserve">void blockReady(const sdr::SampleBlock&amp; block);</t>
  </si>
  <si>
    <t xml:space="preserve">A new acquisition block (raw wire bytes or decoded channels).</t>
  </si>
  <si>
    <t xml:space="preserve">SampleBlock</t>
  </si>
  <si>
    <t xml:space="preserve">DspEngine::processBlock and Recorder::writeBlock (MainWindow::createSource)</t>
  </si>
  <si>
    <t xml:space="preserve">Emitted by publish(); BackPressure.queued incremented first.</t>
  </si>
  <si>
    <t xml:space="preserve">CORE-150</t>
  </si>
  <si>
    <t xml:space="preserve">ISignalSource::statusMessage</t>
  </si>
  <si>
    <t xml:space="preserve">void statusMessage(const QString&amp; text);</t>
  </si>
  <si>
    <t xml:space="preserve">Informational status line.</t>
  </si>
  <si>
    <t xml:space="preserve">text</t>
  </si>
  <si>
    <t xml:space="preserve">MainWindow lambda -&gt; status bar (4 s)</t>
  </si>
  <si>
    <t xml:space="preserve">CORE-151</t>
  </si>
  <si>
    <t xml:space="preserve">ISignalSource::runStateChanged</t>
  </si>
  <si>
    <t xml:space="preserve">void runStateChanged(sdr::RunState state);</t>
  </si>
  <si>
    <t xml:space="preserve">Run state changed (Stopped/Running/Paused/Error).</t>
  </si>
  <si>
    <t xml:space="preserve">RunState</t>
  </si>
  <si>
    <t xml:space="preserve">CORE-152</t>
  </si>
  <si>
    <t xml:space="preserve">ISignalSource::sourceError</t>
  </si>
  <si>
    <t xml:space="preserve">void sourceError(const QString&amp; text);</t>
  </si>
  <si>
    <t xml:space="preserve">Fatal source error.</t>
  </si>
  <si>
    <t xml:space="preserve">CORE-153</t>
  </si>
  <si>
    <t xml:space="preserve">void statsUpdated(const sdr::StreamStats&amp; stats);</t>
  </si>
  <si>
    <t xml:space="preserve">Throughput/progress, roughly every 400 ms or more.</t>
  </si>
  <si>
    <t xml:space="preserve">StreamStats</t>
  </si>
  <si>
    <t xml:space="preserve">DspEngine::updateStats and MainWindow::onStats</t>
  </si>
  <si>
    <t xml:space="preserve">Emitted by refreshStats().</t>
  </si>
  <si>
    <t xml:space="preserve">CORE-154</t>
  </si>
  <si>
    <t xml:space="preserve">ISignalSource::admit</t>
  </si>
  <si>
    <t xml:space="preserve">bool admit(std::size_t samplesPerChannel);</t>
  </si>
  <si>
    <t xml:space="preserve">Pipeline depth limit: returns false (and counts a dropped block) when the DSP backlog has reached capacity.</t>
  </si>
  <si>
    <t xml:space="preserve">samplesPerChannel</t>
  </si>
  <si>
    <t xml:space="preserve">Subclass produce/pump loops</t>
  </si>
  <si>
    <t xml:space="preserve">Defined Sources.cpp:43. Lock-free QAtomicInteger loadAcquire.</t>
  </si>
  <si>
    <t xml:space="preserve">CORE-155</t>
  </si>
  <si>
    <t xml:space="preserve">ISignalSource::publish</t>
  </si>
  <si>
    <t xml:space="preserve">void publish(SampleBlock&amp; block);</t>
  </si>
  <si>
    <t xml:space="preserve">Stamps sequence/start sample, increments the queued counter and emits blockReady.</t>
  </si>
  <si>
    <t xml:space="preserve">blockReady</t>
  </si>
  <si>
    <t xml:space="preserve">Subclasses</t>
  </si>
  <si>
    <t xml:space="preserve">Defined Sources.cpp:54.</t>
  </si>
  <si>
    <t xml:space="preserve">CORE-156</t>
  </si>
  <si>
    <t xml:space="preserve">ISignalSource::refreshStats</t>
  </si>
  <si>
    <t xml:space="preserve">void refreshStats(qint64 filePos = -1, qint64 fileTotal = -1);</t>
  </si>
  <si>
    <t xml:space="preserve">Every &gt;=400 ms computes MB/s and sample rate over the window, buffer %, elapsed, and emits statsUpdated.</t>
  </si>
  <si>
    <t xml:space="preserve">filePos, fileTotal</t>
  </si>
  <si>
    <t xml:space="preserve">dmaMBps = bytesWindow/secs/2^20; sampleRateSps = samplesWindow/secs; bufferPct = queued/capacity*100</t>
  </si>
  <si>
    <t xml:space="preserve">MiB/s (labelled MB/s), S/s, %</t>
  </si>
  <si>
    <t xml:space="preserve">Defined Sources.cpp:73.</t>
  </si>
  <si>
    <t xml:space="preserve">CORE-157</t>
  </si>
  <si>
    <t xml:space="preserve">sdr::IqGenerator</t>
  </si>
  <si>
    <t xml:space="preserve">class IqGenerator : public QObject</t>
  </si>
  <si>
    <t xml:space="preserve">In-application H2C producer replacing the GNU Radio iq_source -&gt; fifo_sink chain: writes 14-bit MSB-aligned I/Q (peak 8191&lt;&lt;2) into the H2C FIFO that iwfg_h2c moves to the DAC; loop-coherent by default, non-blocking writer, re-resolves the FIFO inode, writes silence on stop.</t>
  </si>
  <si>
    <t xml:space="preserve">ControlWindow3D (owned, moved to its own thread)</t>
  </si>
  <si>
    <t xml:space="preserve">Runs on QThread 'iqGen' (ControlWindow3D::buildGeneratorPanel). start() runs a blocking loop and never returns to the event loop while running.</t>
  </si>
  <si>
    <t xml:space="preserve">CORE-158</t>
  </si>
  <si>
    <t xml:space="preserve">IqGenerator::Waveform</t>
  </si>
  <si>
    <t xml:space="preserve">enum Waveform { Sine = 0, Cosine = 1, Square = 2, Saw = 3, Triangle = 4, Noise = 5 };</t>
  </si>
  <si>
    <t xml:space="preserve">Generator waveforms (numbering matches iq_source_v9).</t>
  </si>
  <si>
    <t xml:space="preserve">ControlWindow3D waveform combo</t>
  </si>
  <si>
    <t xml:space="preserve">Q_ENUM.</t>
  </si>
  <si>
    <t xml:space="preserve">CORE-159</t>
  </si>
  <si>
    <t xml:space="preserve">IqGenerator::Config</t>
  </si>
  <si>
    <t xml:space="preserve">Generator parameters: fifoPath (/tmp/iwfg_h2c.fifo), waveform, sampleRateSps (= DAC stream rate), frequencyHz, amplitude 0..1, phaseOffset, iqPhaseDiff (-pi/2), chunkBytes (= iwfg_h2c chunk), coherent.</t>
  </si>
  <si>
    <t xml:space="preserve">S/s, Hz, rad, bytes</t>
  </si>
  <si>
    <t xml:space="preserve">ControlWindow3D::genConfig</t>
  </si>
  <si>
    <t xml:space="preserve">CORE-160</t>
  </si>
  <si>
    <t xml:space="preserve">IqGenerator::running</t>
  </si>
  <si>
    <t xml:space="preserve">bool running() const { return m_run.loadAcquire() != 0; }</t>
  </si>
  <si>
    <t xml:space="preserve">True while the generator loop runs.</t>
  </si>
  <si>
    <t xml:space="preserve">Atomic; any thread.</t>
  </si>
  <si>
    <t xml:space="preserve">CORE-161</t>
  </si>
  <si>
    <t xml:space="preserve">IqGenerator::peakInt16</t>
  </si>
  <si>
    <t xml:space="preserve">Peak int16 actually emitted (32764).</t>
  </si>
  <si>
    <t xml:space="preserve">CORE-162</t>
  </si>
  <si>
    <t xml:space="preserve">IqGenerator::loopPairsFor</t>
  </si>
  <si>
    <t xml:space="preserve">static int loopPairsFor(int chunkBytes);</t>
  </si>
  <si>
    <t xml:space="preserve">I/Q pairs per chunk after start()'s rounding.</t>
  </si>
  <si>
    <t xml:space="preserve">chunkBytes</t>
  </si>
  <si>
    <t xml:space="preserve">sanitiseChunkBytes(chunkBytes)/4</t>
  </si>
  <si>
    <t xml:space="preserve">ControlWindow3D (preview, txState, progress)</t>
  </si>
  <si>
    <t xml:space="preserve">Defined IqGenerator.cpp:105.</t>
  </si>
  <si>
    <t xml:space="preserve">CORE-163</t>
  </si>
  <si>
    <t xml:space="preserve">static double transmittedHz(const Config&amp; cfg);</t>
  </si>
  <si>
    <t xml:space="preserve">Frequency actually put on the DAC: the nearest loop-coherent k*fs/N in coherent mode, else the request.</t>
  </si>
  <si>
    <t xml:space="preserve">coherent: k*fs/N, N = loopPairs</t>
  </si>
  <si>
    <t xml:space="preserve">ControlWindow3D (preview, chain, loopback check, txState)</t>
  </si>
  <si>
    <t xml:space="preserve">Defined IqGenerator.cpp:110. Uses wave::coherentHz.</t>
  </si>
  <si>
    <t xml:space="preserve">CORE-164</t>
  </si>
  <si>
    <t xml:space="preserve">IqGenerator::renderLoop</t>
  </si>
  <si>
    <t xml:space="preserve">static void renderLoop(const Config&amp; cfg, qint16* out, int pairs, quint32* rngState);</t>
  </si>
  <si>
    <t xml:space="preserve">Fills one DAC-packed loop (2*pairs int16, I/Q interleaved) for a config; the single definition of the samples.</t>
  </si>
  <si>
    <t xml:space="preserve">cfg, out, pairs, rngState</t>
  </si>
  <si>
    <t xml:space="preserve">out filled</t>
  </si>
  <si>
    <t xml:space="preserve">rebuildLoop</t>
  </si>
  <si>
    <t xml:space="preserve">Defined IqGenerator.cpp:150. Quantise to int14 then &lt;&lt; 2 (bits[1:0] = 00).</t>
  </si>
  <si>
    <t xml:space="preserve">CORE-165</t>
  </si>
  <si>
    <t xml:space="preserve">IqGenerator::requestUpdate</t>
  </si>
  <si>
    <t xml:space="preserve">void requestUpdate(const Config&amp; cfg);</t>
  </si>
  <si>
    <t xml:space="preserve">Thread-safe parameter update applied at the next chunk boundary (phase preserved where possible); FIFO path and chunk size fixed per run.</t>
  </si>
  <si>
    <t xml:space="preserve">ControlWindow3D::onGenParamsEdited</t>
  </si>
  <si>
    <t xml:space="preserve">Defined IqGenerator.cpp:117. Mutex-guarded pending config + atomic reload flag; usable while start() is looping.</t>
  </si>
  <si>
    <t xml:space="preserve">CORE-166</t>
  </si>
  <si>
    <t xml:space="preserve">IqGenerator::start</t>
  </si>
  <si>
    <t xml:space="preserve">void start(const sdr::IqGenerator::Config&amp; cfg);</t>
  </si>
  <si>
    <t xml:space="preserve">Runs the generator: blocks SIGPIPE in this thread, builds the loop, then repeatedly opens the FIFO (O_WRONLY|O_NONBLOCK), streams until stopped or the reader breaks, writes silence on stop, and reconnects after 250 ms.</t>
  </si>
  <si>
    <t xml:space="preserve">started, connectedChanged, transmitting, loopLoaded, progress, error, stopped</t>
  </si>
  <si>
    <t xml:space="preserve">ControlWindow3D::onGenToggle (QMetaObject::invokeMethod functor, QueuedConnection)</t>
  </si>
  <si>
    <t xml:space="preserve">Defined IqGenerator.cpp:349. Runs on QThread 'iqGen' (ControlWindow3D::buildGeneratorPanel). Blocking loop; pthread_sigmask(SIG_BLOCK, SIGPIPE) so EPIPE is a reconnect, not process death.</t>
  </si>
  <si>
    <t xml:space="preserve">CORE-167</t>
  </si>
  <si>
    <t xml:space="preserve">IqGenerator::stop</t>
  </si>
  <si>
    <t xml:space="preserve">Requests stop (atomic flag); honoured within ~0.25 s in any state.</t>
  </si>
  <si>
    <t xml:space="preserve">silenced, stopped (from the generator thread)</t>
  </si>
  <si>
    <t xml:space="preserve">ControlWindow3D::onGenToggle / setH2cChunkBytes / destructor (direct cross-thread call)</t>
  </si>
  <si>
    <t xml:space="preserve">Defined IqGenerator.cpp:57. Thread-safe.</t>
  </si>
  <si>
    <t xml:space="preserve">CORE-168</t>
  </si>
  <si>
    <t xml:space="preserve">IqGenerator::updateConfig</t>
  </si>
  <si>
    <t xml:space="preserve">void updateConfig(const sdr::IqGenerator::Config&amp; cfg);</t>
  </si>
  <si>
    <t xml:space="preserve">Compatibility forwarder to requestUpdate().</t>
  </si>
  <si>
    <t xml:space="preserve">Defined IqGenerator.cpp:124.</t>
  </si>
  <si>
    <t xml:space="preserve">CORE-169</t>
  </si>
  <si>
    <t xml:space="preserve">IqGenerator::started</t>
  </si>
  <si>
    <t xml:space="preserve">void started();</t>
  </si>
  <si>
    <t xml:space="preserve">Generator loop started.</t>
  </si>
  <si>
    <t xml:space="preserve">ControlWindow3D::buildGeneratorPanel connects -&gt; button 'Stop generator', 'Waiting for iwfg_h2c' state, publishTxState</t>
  </si>
  <si>
    <t xml:space="preserve">CORE-170</t>
  </si>
  <si>
    <t xml:space="preserve">IqGenerator::stopped</t>
  </si>
  <si>
    <t xml:space="preserve">Generator loop ended.</t>
  </si>
  <si>
    <t xml:space="preserve">ControlWindow3D::buildGeneratorPanel connects -&gt; button 'Start generator', publishTxState, pending restart if the H2C buffer changed</t>
  </si>
  <si>
    <t xml:space="preserve">CORE-171</t>
  </si>
  <si>
    <t xml:space="preserve">IqGenerator::connectedChanged</t>
  </si>
  <si>
    <t xml:space="preserve">void connectedChanged(bool connected);</t>
  </si>
  <si>
    <t xml:space="preserve">A reader (iwfg_h2c) attached to / detached from the FIFO.</t>
  </si>
  <si>
    <t xml:space="preserve">connected</t>
  </si>
  <si>
    <t xml:space="preserve">ControlWindow3D::buildGeneratorPanel connects -&gt; 'Transmitting' / 'Waiting' state, publishTxState (hostRunning)</t>
  </si>
  <si>
    <t xml:space="preserve">CORE-172</t>
  </si>
  <si>
    <t xml:space="preserve">IqGenerator::error</t>
  </si>
  <si>
    <t xml:space="preserve">void error(const QString&amp; reason);</t>
  </si>
  <si>
    <t xml:space="preserve">Error or reader disconnect (reconnecting).</t>
  </si>
  <si>
    <t xml:space="preserve">ControlWindow3D::buildGeneratorPanel connects -&gt; log + red state</t>
  </si>
  <si>
    <t xml:space="preserve">CORE-173</t>
  </si>
  <si>
    <t xml:space="preserve">void progress(quint64 totalSamples, double megaSamplesPerSec, quint64 chunks, quint64 reconnects);</t>
  </si>
  <si>
    <t xml:space="preserve">Proof data is leaving: samples, MSPS, chunks, reconnects.</t>
  </si>
  <si>
    <t xml:space="preserve">totalSamples, MSPS, chunks, reconnects</t>
  </si>
  <si>
    <t xml:space="preserve">CORE-174</t>
  </si>
  <si>
    <t xml:space="preserve">IqGenerator::transmitting</t>
  </si>
  <si>
    <t xml:space="preserve">void transmitting(double requestedHz, double actualHz, int loopPairs, bool coherent);</t>
  </si>
  <si>
    <t xml:space="preserve">What really goes to the DAC (actual differs from request in coherent mode).</t>
  </si>
  <si>
    <t xml:space="preserve">requestedHz, actualHz, loopPairs, coherent</t>
  </si>
  <si>
    <t xml:space="preserve">ControlWindow3D::buildGeneratorPanel connects -&gt; log</t>
  </si>
  <si>
    <t xml:space="preserve">Emitted at start and after each applied update.</t>
  </si>
  <si>
    <t xml:space="preserve">CORE-175</t>
  </si>
  <si>
    <t xml:space="preserve">IqGenerator::loopLoaded</t>
  </si>
  <si>
    <t xml:space="preserve">void loopLoaded(quint64 loads);</t>
  </si>
  <si>
    <t xml:space="preserve">Coherent mode: loop handed to iwfg_h2c.</t>
  </si>
  <si>
    <t xml:space="preserve">loads</t>
  </si>
  <si>
    <t xml:space="preserve">CORE-176</t>
  </si>
  <si>
    <t xml:space="preserve">IqGenerator::silenced</t>
  </si>
  <si>
    <t xml:space="preserve">void silenced();</t>
  </si>
  <si>
    <t xml:space="preserve">Stop wrote a zero chunk so the card replays silence.</t>
  </si>
  <si>
    <t xml:space="preserve">CORE-177</t>
  </si>
  <si>
    <t xml:space="preserve">sdr::PcapExtractStats</t>
  </si>
  <si>
    <t xml:space="preserve">struct PcapExtractStats {</t>
  </si>
  <si>
    <t xml:space="preserve">Extraction counters: packets, UDP packets, accepted, bytes, fragments, non-IPv4, port-filtered, error.</t>
  </si>
  <si>
    <t xml:space="preserve">extractUdpPayloads</t>
  </si>
  <si>
    <t xml:space="preserve">01_sdr_workstation_GUI/src/core/PcapExtract.h</t>
  </si>
  <si>
    <t xml:space="preserve">CORE-178</t>
  </si>
  <si>
    <t xml:space="preserve">sdr::extractUdpPayloads</t>
  </si>
  <si>
    <t xml:space="preserve">bool extractUdpPayloads(const QString&amp; pcapPath, const QString&amp; binPath, quint16 port, PcapExtractStats&amp; stats);</t>
  </si>
  <si>
    <t xml:space="preserve">Extracts UDP payloads from a .pcap (both byte orders, us/ns, EN10MB/RAW, VLAN/QinQ, IHL-aware, fragments skipped) into a raw .bin for offline replay.</t>
  </si>
  <si>
    <t xml:space="preserve">pcapPath, binPath, port (0 = any)</t>
  </si>
  <si>
    <t xml:space="preserve">bool; stats</t>
  </si>
  <si>
    <t xml:space="preserve">Defined PcapExtract.cpp:35. RoCEv2 captures go to the external roce-extractor instead.</t>
  </si>
  <si>
    <t xml:space="preserve">CORE-179</t>
  </si>
  <si>
    <t xml:space="preserve">sdr::describe</t>
  </si>
  <si>
    <t xml:space="preserve">QString describe(const PcapExtractStats&amp; s);</t>
  </si>
  <si>
    <t xml:space="preserve">Human-readable extraction summary.</t>
  </si>
  <si>
    <t xml:space="preserve">Defined PcapExtract.cpp:198.</t>
  </si>
  <si>
    <t xml:space="preserve">CORE-180</t>
  </si>
  <si>
    <t xml:space="preserve">sdr::Recorder</t>
  </si>
  <si>
    <t xml:space="preserve">class Recorder : public QObject</t>
  </si>
  <si>
    <t xml:space="preserve">Writes acquisition blocks straight to disk, fed from the source (not the DSP stage) so every block is captured even while the display throttles; writes a .meta sidecar.</t>
  </si>
  <si>
    <t xml:space="preserve">Runs on the 'recorder' QThread.</t>
  </si>
  <si>
    <t xml:space="preserve">01_sdr_workstation_GUI/src/core/Recorder.h</t>
  </si>
  <si>
    <t xml:space="preserve">CORE-181</t>
  </si>
  <si>
    <t xml:space="preserve">Recorder::isRecording</t>
  </si>
  <si>
    <t xml:space="preserve">bool isRecording() const { return m_file != nullptr; }</t>
  </si>
  <si>
    <t xml:space="preserve">True while a file is open.</t>
  </si>
  <si>
    <t xml:space="preserve">CORE-182</t>
  </si>
  <si>
    <t xml:space="preserve">Recorder::startRecording</t>
  </si>
  <si>
    <t xml:space="preserve">void startRecording(const QString&amp; path, const sdr::Config&amp; cfg);</t>
  </si>
  <si>
    <t xml:space="preserve">Opens the output file and writes '&lt;path&gt;.meta' (format, channels, mask, rate, centre, NCO, decimation, full scale, layout).</t>
  </si>
  <si>
    <t xml:space="preserve">path, cfg</t>
  </si>
  <si>
    <t xml:space="preserve">recordingStarted / recorderError</t>
  </si>
  <si>
    <t xml:space="preserve">MainWindow::onToggleRecord (queued)</t>
  </si>
  <si>
    <t xml:space="preserve">Defined Recorder.cpp:19. Runs on the 'recorder' QThread.</t>
  </si>
  <si>
    <t xml:space="preserve">CORE-183</t>
  </si>
  <si>
    <t xml:space="preserve">Recorder::stopRecording</t>
  </si>
  <si>
    <t xml:space="preserve">void stopRecording();</t>
  </si>
  <si>
    <t xml:space="preserve">Flushes and closes the file.</t>
  </si>
  <si>
    <t xml:space="preserve">recordingStopped(path, bytes, samples)</t>
  </si>
  <si>
    <t xml:space="preserve">MainWindow::onToggleRecord (queued); ~MainWindow (BlockingQueuedConnection)</t>
  </si>
  <si>
    <t xml:space="preserve">Defined Recorder.cpp:46.</t>
  </si>
  <si>
    <t xml:space="preserve">CORE-184</t>
  </si>
  <si>
    <t xml:space="preserve">Recorder::writeBlock</t>
  </si>
  <si>
    <t xml:space="preserve">void writeBlock(const sdr::SampleBlock&amp; block);</t>
  </si>
  <si>
    <t xml:space="preserve">Appends raw wire bytes verbatim (byte-identical), or encodes simulator blocks to the configured format; reports progress about every MiB.</t>
  </si>
  <si>
    <t xml:space="preserve">recordingProgress / recorderError</t>
  </si>
  <si>
    <t xml:space="preserve">ISignalSource::blockReady (queued)</t>
  </si>
  <si>
    <t xml:space="preserve">Defined Recorder.cpp:56. Runs on the 'recorder' QThread.</t>
  </si>
  <si>
    <t xml:space="preserve">CORE-185</t>
  </si>
  <si>
    <t xml:space="preserve">Recorder::recordingStarted</t>
  </si>
  <si>
    <t xml:space="preserve">void recordingStarted(const QString&amp; path);</t>
  </si>
  <si>
    <t xml:space="preserve">Recording began.</t>
  </si>
  <si>
    <t xml:space="preserve">MainWindow lambda -&gt; status bar</t>
  </si>
  <si>
    <t xml:space="preserve">CORE-186</t>
  </si>
  <si>
    <t xml:space="preserve">Recorder::recordingStopped</t>
  </si>
  <si>
    <t xml:space="preserve">void recordingStopped(const QString&amp; path, quint64 bytes, quint64 samples);</t>
  </si>
  <si>
    <t xml:space="preserve">Recording ended.</t>
  </si>
  <si>
    <t xml:space="preserve">path, bytes, samples/ch</t>
  </si>
  <si>
    <t xml:space="preserve">CORE-187</t>
  </si>
  <si>
    <t xml:space="preserve">Recorder::recordingProgress</t>
  </si>
  <si>
    <t xml:space="preserve">void recordingProgress(quint64 bytes, quint64 samples);</t>
  </si>
  <si>
    <t xml:space="preserve">Bytes/samples written so far (~per MiB).</t>
  </si>
  <si>
    <t xml:space="preserve">MainWindow lambda -&gt; RecordingGuard::update + ResourceBar::setRecordingStatus</t>
  </si>
  <si>
    <t xml:space="preserve">CORE-188</t>
  </si>
  <si>
    <t xml:space="preserve">Recorder::recorderError</t>
  </si>
  <si>
    <t xml:space="preserve">void recorderError(const QString&amp; text);</t>
  </si>
  <si>
    <t xml:space="preserve">Open/write failure.</t>
  </si>
  <si>
    <t xml:space="preserve">MainWindow lambda unchecks Record and shows 'Recorder' notice</t>
  </si>
  <si>
    <t xml:space="preserve">CORE-189</t>
  </si>
  <si>
    <t xml:space="preserve">sdr::RecWarning</t>
  </si>
  <si>
    <t xml:space="preserve">struct RecWarning {</t>
  </si>
  <si>
    <t xml:space="preserve">Structured warning: id, severity (Info/Warning/Critical), title, what, why, fix.</t>
  </si>
  <si>
    <t xml:space="preserve">RecordingGuard::validateLimit / warningRaised</t>
  </si>
  <si>
    <t xml:space="preserve">CORE-190</t>
  </si>
  <si>
    <t xml:space="preserve">sdr::RecStatus</t>
  </si>
  <si>
    <t xml:space="preserve">struct RecStatus {</t>
  </si>
  <si>
    <t xml:space="preserve">Live recording state: Idle/Normal/Warning/Critical/LimitReached, session/limit/remaining bytes, growth rate, ETA.</t>
  </si>
  <si>
    <t xml:space="preserve">bytes, B/s, s</t>
  </si>
  <si>
    <t xml:space="preserve">RecordingGuard::update -&gt; ResourceBar</t>
  </si>
  <si>
    <t xml:space="preserve">CORE-191</t>
  </si>
  <si>
    <t xml:space="preserve">sdr::RecordingGuard</t>
  </si>
  <si>
    <t xml:space="preserve">class RecordingGuard : public QObject</t>
  </si>
  <si>
    <t xml:space="preserve">Storage-limit validation before recording and predictive, de-duplicated disk warnings while recording (80 % warn, 95 % critical, limit reached).</t>
  </si>
  <si>
    <t xml:space="preserve">MainWindow::onToggleRecord (created on first recording)</t>
  </si>
  <si>
    <t xml:space="preserve">CORE-192</t>
  </si>
  <si>
    <t xml:space="preserve">RecordingGuard::safeCapacity</t>
  </si>
  <si>
    <t xml:space="preserve">static quint64 safeCapacity(const DiskSample&amp; d);</t>
  </si>
  <si>
    <t xml:space="preserve">Bytes a recording may safely consume on a volume, after reserving the larger of 2 GiB and 5 %.</t>
  </si>
  <si>
    <t xml:space="preserve">d: DiskSample</t>
  </si>
  <si>
    <t xml:space="preserve">free - max(2 GiB, 0.05*total), floored at 0</t>
  </si>
  <si>
    <t xml:space="preserve">MainWindow::onToggleRecord; validateLimit; update</t>
  </si>
  <si>
    <t xml:space="preserve">Defined RecordingGuard.cpp:13.</t>
  </si>
  <si>
    <t xml:space="preserve">CORE-193</t>
  </si>
  <si>
    <t xml:space="preserve">RecordingGuard::validateLimit</t>
  </si>
  <si>
    <t xml:space="preserve">static QVector&lt;RecWarning&gt; validateLimit(double limitMiB, const QString&amp; outputDir, const DiskSample&amp; disk);</t>
  </si>
  <si>
    <t xml:space="preserve">Validates a proposed limit before recording starts; Critical findings block the recording.</t>
  </si>
  <si>
    <t xml:space="preserve">limitMiB, outputDir, disk</t>
  </si>
  <si>
    <t xml:space="preserve">QVector&lt;RecWarning&gt; (empty = ok)</t>
  </si>
  <si>
    <t xml:space="preserve">Defined RecordingGuard.cpp:23.</t>
  </si>
  <si>
    <t xml:space="preserve">CORE-194</t>
  </si>
  <si>
    <t xml:space="preserve">RecordingGuard::beginSession</t>
  </si>
  <si>
    <t xml:space="preserve">void beginSession(quint64 limitBytes);</t>
  </si>
  <si>
    <t xml:space="preserve">Starts tracking a recording session against a byte limit.</t>
  </si>
  <si>
    <t xml:space="preserve">limitBytes</t>
  </si>
  <si>
    <t xml:space="preserve">CORE-195</t>
  </si>
  <si>
    <t xml:space="preserve">RecordingGuard::endSession</t>
  </si>
  <si>
    <t xml:space="preserve">void endSession();</t>
  </si>
  <si>
    <t xml:space="preserve">Ends tracking.</t>
  </si>
  <si>
    <t xml:space="preserve">MainWindow::onToggleRecord (off)</t>
  </si>
  <si>
    <t xml:space="preserve">CORE-196</t>
  </si>
  <si>
    <t xml:space="preserve">RecordingGuard::update</t>
  </si>
  <si>
    <t xml:space="preserve">RecStatus update(quint64 sessionBytes, const DiskSample&amp; disk);</t>
  </si>
  <si>
    <t xml:space="preserve">Recomputes status, smoothed growth rate and ETA; raises/clears warnings and signals limitReached once.</t>
  </si>
  <si>
    <t xml:space="preserve">sessionBytes, disk</t>
  </si>
  <si>
    <t xml:space="preserve">RecStatus</t>
  </si>
  <si>
    <t xml:space="preserve">MainWindow Recorder::recordingProgress handler</t>
  </si>
  <si>
    <t xml:space="preserve">Defined RecordingGuard.cpp:123.</t>
  </si>
  <si>
    <t xml:space="preserve">CORE-197</t>
  </si>
  <si>
    <t xml:space="preserve">RecordingGuard::warningRaised</t>
  </si>
  <si>
    <t xml:space="preserve">void warningRaised(const sdr::RecWarning&amp; w);</t>
  </si>
  <si>
    <t xml:space="preserve">A warning became active or changed severity.</t>
  </si>
  <si>
    <t xml:space="preserve">RecWarning</t>
  </si>
  <si>
    <t xml:space="preserve">Stateful: no repeat spam.</t>
  </si>
  <si>
    <t xml:space="preserve">CORE-198</t>
  </si>
  <si>
    <t xml:space="preserve">RecordingGuard::warningCleared</t>
  </si>
  <si>
    <t xml:space="preserve">void warningCleared(const QString&amp; id);</t>
  </si>
  <si>
    <t xml:space="preserve">A warning cleared.</t>
  </si>
  <si>
    <t xml:space="preserve">CORE-199</t>
  </si>
  <si>
    <t xml:space="preserve">RecordingGuard::limitReached</t>
  </si>
  <si>
    <t xml:space="preserve">void limitReached(quint64 sessionBytes, quint64 limitBytes);</t>
  </si>
  <si>
    <t xml:space="preserve">Configured limit reached; caller must stop writing.</t>
  </si>
  <si>
    <t xml:space="preserve">sessionBytes, limitBytes</t>
  </si>
  <si>
    <t xml:space="preserve">MainWindow lambda unchecks Record and shows 'Recording stopped'</t>
  </si>
  <si>
    <t xml:space="preserve">CORE-200</t>
  </si>
  <si>
    <t xml:space="preserve">sdr::DiskSample</t>
  </si>
  <si>
    <t xml:space="preserve">struct DiskSample {</t>
  </si>
  <si>
    <t xml:space="preserve">Disk measurement: path, mount point, total/free/used bytes, used %.</t>
  </si>
  <si>
    <t xml:space="preserve">RecordingGuard, ResourceBar, MainWindow</t>
  </si>
  <si>
    <t xml:space="preserve">CORE-201</t>
  </si>
  <si>
    <t xml:space="preserve">sdr::Level</t>
  </si>
  <si>
    <t xml:space="preserve">enum class Level { Normal, Warning, Critical };</t>
  </si>
  <si>
    <t xml:space="preserve">Resource severity.</t>
  </si>
  <si>
    <t xml:space="preserve">ResourceMonitor, ResourceBar, MainWindow alert handler</t>
  </si>
  <si>
    <t xml:space="preserve">CORE-202</t>
  </si>
  <si>
    <t xml:space="preserve">sdr::ResourceMonitor</t>
  </si>
  <si>
    <t xml:space="preserve">class ResourceMonitor : public QObject</t>
  </si>
  <si>
    <t xml:space="preserve">Polls host CPU (/proc/stat), RAM (/proc/meminfo), disk free space of the recording directory (statvfs) and GPU utilisation (nvidia-smi every 5th tick), classifies Normal/Warning/Critical with hysteresis and raises alerts.</t>
  </si>
  <si>
    <t xml:space="preserve">MainWindow constructor (start(1000))</t>
  </si>
  <si>
    <t xml:space="preserve">GUI thread; QTimer driven; nvidia-smi run as an asynchronous QProcess.</t>
  </si>
  <si>
    <t xml:space="preserve">CORE-203</t>
  </si>
  <si>
    <t xml:space="preserve">ResourceMonitor::start</t>
  </si>
  <si>
    <t xml:space="preserve">void start(int intervalMs = 1000);</t>
  </si>
  <si>
    <t xml:space="preserve">Starts periodic polling.</t>
  </si>
  <si>
    <t xml:space="preserve">intervalMs</t>
  </si>
  <si>
    <t xml:space="preserve">Defined ResourceMonitor.cpp:40.</t>
  </si>
  <si>
    <t xml:space="preserve">CORE-204</t>
  </si>
  <si>
    <t xml:space="preserve">ResourceMonitor::stop</t>
  </si>
  <si>
    <t xml:space="preserve">Stops polling.</t>
  </si>
  <si>
    <t xml:space="preserve">Defined ResourceMonitor.cpp:51.</t>
  </si>
  <si>
    <t xml:space="preserve">CORE-205</t>
  </si>
  <si>
    <t xml:space="preserve">ResourceMonitor::setDiskPath</t>
  </si>
  <si>
    <t xml:space="preserve">void setDiskPath(const QString&amp; dir);</t>
  </si>
  <si>
    <t xml:space="preserve">Measures free space on the volume holding a directory (the recording destination).</t>
  </si>
  <si>
    <t xml:space="preserve">dir</t>
  </si>
  <si>
    <t xml:space="preserve">Defined ResourceMonitor.cpp:53.</t>
  </si>
  <si>
    <t xml:space="preserve">CORE-206</t>
  </si>
  <si>
    <t xml:space="preserve">ResourceMonitor::cpu</t>
  </si>
  <si>
    <t xml:space="preserve">CpuSample cpu() const { return m_cpu; }</t>
  </si>
  <si>
    <t xml:space="preserve">Latest CPU sample (usage %, logical CPUs).</t>
  </si>
  <si>
    <t xml:space="preserve">CpuSample</t>
  </si>
  <si>
    <t xml:space="preserve">CORE-207</t>
  </si>
  <si>
    <t xml:space="preserve">ResourceMonitor::disk</t>
  </si>
  <si>
    <t xml:space="preserve">DiskSample disk() const { return m_disk; }</t>
  </si>
  <si>
    <t xml:space="preserve">Latest disk sample (total/free/used bytes, %).</t>
  </si>
  <si>
    <t xml:space="preserve">DiskSample</t>
  </si>
  <si>
    <t xml:space="preserve">MainWindow::onToggleRecord and recordingProgress handler; ResourceBar</t>
  </si>
  <si>
    <t xml:space="preserve">CORE-208</t>
  </si>
  <si>
    <t xml:space="preserve">ResourceMonitor::gpus</t>
  </si>
  <si>
    <t xml:space="preserve">QVector&lt;GpuSample&gt; gpus() const { return m_gpus; }</t>
  </si>
  <si>
    <t xml:space="preserve">Latest per-GPU samples (util %, memory).</t>
  </si>
  <si>
    <t xml:space="preserve">QVector&lt;GpuSample&gt;</t>
  </si>
  <si>
    <t xml:space="preserve">CORE-209</t>
  </si>
  <si>
    <t xml:space="preserve">ResourceMonitor::topProcesses</t>
  </si>
  <si>
    <t xml:space="preserve">static QVector&lt;ProcessSample&gt; topProcesses(int limit = 15);</t>
  </si>
  <si>
    <t xml:space="preserve">Largest processes by RSS from /proc.</t>
  </si>
  <si>
    <t xml:space="preserve">limit</t>
  </si>
  <si>
    <t xml:space="preserve">QVector&lt;ProcessSample&gt;</t>
  </si>
  <si>
    <t xml:space="preserve">No caller found outside ResourceMonitor.cpp</t>
  </si>
  <si>
    <t xml:space="preserve">Defined ResourceMonitor.cpp:352.</t>
  </si>
  <si>
    <t xml:space="preserve">CORE-210</t>
  </si>
  <si>
    <t xml:space="preserve">ResourceMonitor::formatBytes</t>
  </si>
  <si>
    <t xml:space="preserve">static QString formatBytes(quint64 b, int decimals = 1);</t>
  </si>
  <si>
    <t xml:space="preserve">Human-readable byte size.</t>
  </si>
  <si>
    <t xml:space="preserve">b, decimals</t>
  </si>
  <si>
    <t xml:space="preserve">Defined ResourceMonitor.cpp:393.</t>
  </si>
  <si>
    <t xml:space="preserve">CORE-211</t>
  </si>
  <si>
    <t xml:space="preserve">void updated();</t>
  </si>
  <si>
    <t xml:space="preserve">New samples available.</t>
  </si>
  <si>
    <t xml:space="preserve">ResourceBar::refresh (setMonitor)</t>
  </si>
  <si>
    <t xml:space="preserve">CORE-212</t>
  </si>
  <si>
    <t xml:space="preserve">ResourceMonitor::alert</t>
  </si>
  <si>
    <t xml:space="preserve">void alert(const sdr::ResourceAlert&amp; a);</t>
  </si>
  <si>
    <t xml:space="preserve">A resource crossed a threshold (id, level, title, detail, fix).</t>
  </si>
  <si>
    <t xml:space="preserve">ResourceAlert</t>
  </si>
  <si>
    <t xml:space="preserve">MainWindow lambda -&gt; status bar (12 s critical, 8 s otherwise)</t>
  </si>
  <si>
    <t xml:space="preserve">Thresholds: CPU/RAM 85/95 %, GPU 90/98 %, disk 85/95 %, 3 % release margin.</t>
  </si>
  <si>
    <t xml:space="preserve">CORE-213</t>
  </si>
  <si>
    <t xml:space="preserve">sdr::RfdcControl</t>
  </si>
  <si>
    <t xml:space="preserve">class RfdcControl : public QObject</t>
  </si>
  <si>
    <t xml:space="preserve">PCIe control path to the bare-metal RFDC application on the ZU47DR A53: maps a BAR via sysfs and runs the ring-register handshake (payload at +0xAC, command at +0xA8 with NEW_CMD, poll until cleared, decode ACK status) to set NCO, decimation, interpolation, DDS, DSA, QMC, VOP, sampling rate, Nyquist zone, routing, DAC source, MTS, start/stop/reset and to read parameters back.</t>
  </si>
  <si>
    <t xml:space="preserve">Runs on QThread 'rfdcCtl' (ControlWindow3D ctor); invoked via ControlWindow3D::rfdcInvoke (queued). Every transaction blocks (polls at 200 µs) up to ackTimeoutMs (2 s default; 15 s for PLL/reset, 20 s for defaults); requestAbort() breaks out.</t>
  </si>
  <si>
    <t xml:space="preserve">01_sdr_workstation_GUI/src/core/RfdcControl.h</t>
  </si>
  <si>
    <t xml:space="preserve">CORE-214</t>
  </si>
  <si>
    <t xml:space="preserve">RfdcControl::attachSysfs</t>
  </si>
  <si>
    <t xml:space="preserve">bool attachSysfs(const QString&amp; bdf, int bar = 2, quint64 regBase = 0);</t>
  </si>
  <si>
    <t xml:space="preserve">Opens /sys/bus/pci/devices/&lt;bdf&gt;/resource&lt;bar&gt; O_RDWR|O_SYNC and mmap()s it.</t>
  </si>
  <si>
    <t xml:space="preserve">bdf e.g. 0000:3c:00.0, bar, regBase offset</t>
  </si>
  <si>
    <t xml:space="preserve">attachAndSync; attachSysfsAsync</t>
  </si>
  <si>
    <t xml:space="preserve">Defined RfdcControl.cpp:56. Must run on the owning (worker) thread.</t>
  </si>
  <si>
    <t xml:space="preserve">CORE-215</t>
  </si>
  <si>
    <t xml:space="preserve">RfdcControl::pollRegisters</t>
  </si>
  <si>
    <t xml:space="preserve">Q_INVOKABLE void pollRegisters();</t>
  </si>
  <si>
    <t xml:space="preserve">Reads ring and cfg registers once.</t>
  </si>
  <si>
    <t xml:space="preserve">registersRead(ring, cfg)</t>
  </si>
  <si>
    <t xml:space="preserve">ControlWindow3D::onRfdcRefresh (queued)</t>
  </si>
  <si>
    <t xml:space="preserve">Defined RfdcControl.cpp:480.</t>
  </si>
  <si>
    <t xml:space="preserve">CORE-216</t>
  </si>
  <si>
    <t xml:space="preserve">RfdcControl::attachAndSync</t>
  </si>
  <si>
    <t xml:space="preserve">Q_INVOKABLE void attachAndSync(const QString&amp; bdf, int bar, quint64 regBase, quint32 tile, quint32 channel, bool adc);</t>
  </si>
  <si>
    <t xml:space="preserve">Attach, then ping, identify firmware and read every register before the UI accepts edits (so defaults never overwrite live settings).</t>
  </si>
  <si>
    <t xml:space="preserve">bdf, bar, regBase, tile, channel, adc</t>
  </si>
  <si>
    <t xml:space="preserve">syncingChanged, attachResult, snapshotReady, syncFinished</t>
  </si>
  <si>
    <t xml:space="preserve">ControlWindow3D::attachRfdc (invokeMethod functor, QueuedConnection)</t>
  </si>
  <si>
    <t xml:space="preserve">Defined RfdcControl.cpp:498. Runs on QThread 'rfdcCtl' (ControlWindow3D ctor); invoked via ControlWindow3D::rfdcInvoke (queued).</t>
  </si>
  <si>
    <t xml:space="preserve">CORE-217</t>
  </si>
  <si>
    <t xml:space="preserve">RfdcControl::syncAttached</t>
  </si>
  <si>
    <t xml:space="preserve">Q_INVOKABLE void syncAttached(quint32 tile, quint32 channel, bool adc);</t>
  </si>
  <si>
    <t xml:space="preserve">Sync half of attachAndSync for an already attached device.</t>
  </si>
  <si>
    <t xml:space="preserve">tile, channel, adc</t>
  </si>
  <si>
    <t xml:space="preserve">same signals as attachAndSync</t>
  </si>
  <si>
    <t xml:space="preserve">attachAndSync</t>
  </si>
  <si>
    <t xml:space="preserve">Defined RfdcControl.cpp:513.</t>
  </si>
  <si>
    <t xml:space="preserve">CORE-218</t>
  </si>
  <si>
    <t xml:space="preserve">RfdcControl::setSamplingRateVerified</t>
  </si>
  <si>
    <t xml:space="preserve">Q_INVOKABLE void setSamplingRateVerified(int target, quint32 mhz, quint32 tolerance, quint32 tile, quint32 channel);</t>
  </si>
  <si>
    <t xml:space="preserve">Writes the converter sampling rate, reads it back and verifies within a tolerance (PLL quantises the rate).</t>
  </si>
  <si>
    <t xml:space="preserve">target, mhz, tolerance (MHz), tile, channel</t>
  </si>
  <si>
    <t xml:space="preserve">verifyResult(name, ok, requested, actual, detail)</t>
  </si>
  <si>
    <t xml:space="preserve">ControlWindow3D::rfdcInvoke from 'Apply rate' (tolerance 25 MHz)</t>
  </si>
  <si>
    <t xml:space="preserve">Defined RfdcControl.cpp:604. 15 s timeout (PLL reprogram + MTS).</t>
  </si>
  <si>
    <t xml:space="preserve">CORE-219</t>
  </si>
  <si>
    <t xml:space="preserve">RfdcControl::completeReset</t>
  </si>
  <si>
    <t xml:space="preserve">Q_INVOKABLE void completeReset(quint32 tile, quint32 channel, bool adc);</t>
  </si>
  <si>
    <t xml:space="preserve">Stop datapath, restore defaults, wait for ping, restart datapath and re-read all registers; reports success only if every stage succeeded.</t>
  </si>
  <si>
    <t xml:space="preserve">statusMessage per stage, resetFinished(ok, detail)</t>
  </si>
  <si>
    <t xml:space="preserve">ControlWindow3D::rfdcInvoke from ControlWindow3D::onRfdcCompleteReset</t>
  </si>
  <si>
    <t xml:space="preserve">Defined RfdcControl.cpp:648.</t>
  </si>
  <si>
    <t xml:space="preserve">CORE-220</t>
  </si>
  <si>
    <t xml:space="preserve">RfdcControl::attached</t>
  </si>
  <si>
    <t xml:space="preserve">bool attached() const { return m_attachedFlag.loadAcquire() != 0; }</t>
  </si>
  <si>
    <t xml:space="preserve">Attached state, safe from any thread.</t>
  </si>
  <si>
    <t xml:space="preserve">Atomic.</t>
  </si>
  <si>
    <t xml:space="preserve">CORE-221</t>
  </si>
  <si>
    <t xml:space="preserve">RfdcControl::requestAbort</t>
  </si>
  <si>
    <t xml:space="preserve">void requestAbort() { m_abort.storeRelease(1); }</t>
  </si>
  <si>
    <t xml:space="preserve">Asks an in-flight transaction to give up early.</t>
  </si>
  <si>
    <t xml:space="preserve">ControlWindow3D Abort button (direct call); ~ControlWindow3D</t>
  </si>
  <si>
    <t xml:space="preserve">Atomic; called from the GUI thread.</t>
  </si>
  <si>
    <t xml:space="preserve">CORE-222</t>
  </si>
  <si>
    <t xml:space="preserve">RfdcControl::discover</t>
  </si>
  <si>
    <t xml:space="preserve">static QStringList discover(int vendorId = 0x10ee, int deviceId = -1);</t>
  </si>
  <si>
    <t xml:space="preserve">Lists PCI endpoints under /sys/bus/pci/devices matching vendor (Xilinx 0x10ee) / device.</t>
  </si>
  <si>
    <t xml:space="preserve">vendorId, deviceId (-1 wildcard)</t>
  </si>
  <si>
    <t xml:space="preserve">BDF list</t>
  </si>
  <si>
    <t xml:space="preserve">ControlWindow3D::buildRfdcPanel (BDF combo)</t>
  </si>
  <si>
    <t xml:space="preserve">Defined RfdcControl.cpp:30.</t>
  </si>
  <si>
    <t xml:space="preserve">CORE-223</t>
  </si>
  <si>
    <t xml:space="preserve">RfdcControl::readRegister</t>
  </si>
  <si>
    <t xml:space="preserve">bool readRegister(quint32 offset, quint32* value);</t>
  </si>
  <si>
    <t xml:space="preserve">Raw 32-bit register read (mmap or pread).</t>
  </si>
  <si>
    <t xml:space="preserve">offset</t>
  </si>
  <si>
    <t xml:space="preserve">value; bool</t>
  </si>
  <si>
    <t xml:space="preserve">sendCommand, pollRegisters, snapshot</t>
  </si>
  <si>
    <t xml:space="preserve">Defined RfdcControl.cpp:136.</t>
  </si>
  <si>
    <t xml:space="preserve">CORE-224</t>
  </si>
  <si>
    <t xml:space="preserve">RfdcControl::writeRegister</t>
  </si>
  <si>
    <t xml:space="preserve">bool writeRegister(quint32 offset, quint32 value);</t>
  </si>
  <si>
    <t xml:space="preserve">Raw 32-bit register write (mmap or pwrite).</t>
  </si>
  <si>
    <t xml:space="preserve">offset, value</t>
  </si>
  <si>
    <t xml:space="preserve">sendCommand</t>
  </si>
  <si>
    <t xml:space="preserve">Defined RfdcControl.cpp:154.</t>
  </si>
  <si>
    <t xml:space="preserve">CORE-225</t>
  </si>
  <si>
    <t xml:space="preserve">RfdcControl::Target</t>
  </si>
  <si>
    <t xml:space="preserve">enum Target { Adc = 0, Dac = 1, Dds = 2, AdcAndDac = 4 };</t>
  </si>
  <si>
    <t xml:space="preserve">Command target field (AllTiles = 7; Channel Ch0/Ch1/BothCh).</t>
  </si>
  <si>
    <t xml:space="preserve">ControlWindow3D target combo; setters</t>
  </si>
  <si>
    <t xml:space="preserve">CORE-226</t>
  </si>
  <si>
    <t xml:space="preserve">RfdcControl::setNcoFrequency</t>
  </si>
  <si>
    <t xml:space="preserve">bool setNcoFrequency(int target, quint32 tile, quint32 channel, double mhz);</t>
  </si>
  <si>
    <t xml:space="preserve">Sets the ADC/DAC NCO frequency.</t>
  </si>
  <si>
    <t xml:space="preserve">target, tile, channel, mhz</t>
  </si>
  <si>
    <t xml:space="preserve">bool; statusMessage/errorMessage/commandResult</t>
  </si>
  <si>
    <t xml:space="preserve">payload = round(|mhz|*1000) kHz magnitude | sign bit</t>
  </si>
  <si>
    <t xml:space="preserve">ControlWindow3D::rfdcInvoke from NCO edit / Apply changed values</t>
  </si>
  <si>
    <t xml:space="preserve">Defined RfdcControl.cpp:316.</t>
  </si>
  <si>
    <t xml:space="preserve">CORE-227</t>
  </si>
  <si>
    <t xml:space="preserve">RfdcControl::setNcoPhase</t>
  </si>
  <si>
    <t xml:space="preserve">bool setNcoPhase(int target, quint32 tile, quint32 channel, int degrees);</t>
  </si>
  <si>
    <t xml:space="preserve">Sets NCO phase (-180..180).</t>
  </si>
  <si>
    <t xml:space="preserve">target, tile, channel, degrees</t>
  </si>
  <si>
    <t xml:space="preserve">deg</t>
  </si>
  <si>
    <t xml:space="preserve">ControlWindow3D::rfdcInvoke from NCO phase edit</t>
  </si>
  <si>
    <t xml:space="preserve">Defined RfdcControl.cpp:324. Sign-magnitude payload.</t>
  </si>
  <si>
    <t xml:space="preserve">CORE-228</t>
  </si>
  <si>
    <t xml:space="preserve">RfdcControl::setDecimation</t>
  </si>
  <si>
    <t xml:space="preserve">bool setDecimation(quint32 tile, quint32 channel, quint32 factor);</t>
  </si>
  <si>
    <t xml:space="preserve">Sets ADC decimation factor.</t>
  </si>
  <si>
    <t xml:space="preserve">tile, channel, factor</t>
  </si>
  <si>
    <t xml:space="preserve">ControlWindow3D::rfdcInvoke from decimation combo (followed by realignMts in the same job)</t>
  </si>
  <si>
    <t xml:space="preserve">Defined RfdcControl.cpp:337.</t>
  </si>
  <si>
    <t xml:space="preserve">CORE-229</t>
  </si>
  <si>
    <t xml:space="preserve">RfdcControl::setInterpolation</t>
  </si>
  <si>
    <t xml:space="preserve">bool setInterpolation(quint32 tile, quint32 channel, quint32 factor);</t>
  </si>
  <si>
    <t xml:space="preserve">Sets DAC interpolation factor.</t>
  </si>
  <si>
    <t xml:space="preserve">ControlWindow3D::rfdcInvoke from interpolation combo (followed by realignMts)</t>
  </si>
  <si>
    <t xml:space="preserve">Defined RfdcControl.cpp:342.</t>
  </si>
  <si>
    <t xml:space="preserve">CORE-230</t>
  </si>
  <si>
    <t xml:space="preserve">RfdcControl::setDdsFrequency</t>
  </si>
  <si>
    <t xml:space="preserve">bool setDdsFrequency(double mhz);</t>
  </si>
  <si>
    <t xml:space="preserve">Sets the DDS compiler output frequency.</t>
  </si>
  <si>
    <t xml:space="preserve">mhz</t>
  </si>
  <si>
    <t xml:space="preserve">payload = round(mhz*1e6) Hz</t>
  </si>
  <si>
    <t xml:space="preserve">ControlWindow3D::rfdcInvoke from DDS edit</t>
  </si>
  <si>
    <t xml:space="preserve">Defined RfdcControl.cpp:347.</t>
  </si>
  <si>
    <t xml:space="preserve">CORE-231</t>
  </si>
  <si>
    <t xml:space="preserve">RfdcControl::setSamplingRate</t>
  </si>
  <si>
    <t xml:space="preserve">bool setSamplingRate(int target, quint32 mhz);</t>
  </si>
  <si>
    <t xml:space="preserve">Sets converter sampling rate (reprograms PLL, re-aligns MTS).</t>
  </si>
  <si>
    <t xml:space="preserve">target, mhz</t>
  </si>
  <si>
    <t xml:space="preserve">setSamplingRateVerified</t>
  </si>
  <si>
    <t xml:space="preserve">Defined RfdcControl.cpp:356. Timeout raised to 15 s.</t>
  </si>
  <si>
    <t xml:space="preserve">CORE-232</t>
  </si>
  <si>
    <t xml:space="preserve">RfdcControl::setNyquistZone</t>
  </si>
  <si>
    <t xml:space="preserve">bool setNyquistZone(int target, quint32 zone);</t>
  </si>
  <si>
    <t xml:space="preserve">Sets Nyquist zone (1 or 2) for all tiles.</t>
  </si>
  <si>
    <t xml:space="preserve">target, zone</t>
  </si>
  <si>
    <t xml:space="preserve">ControlWindow3D::rfdcInvoke from 'Apply Nyquist'</t>
  </si>
  <si>
    <t xml:space="preserve">Defined RfdcControl.cpp:367.</t>
  </si>
  <si>
    <t xml:space="preserve">CORE-233</t>
  </si>
  <si>
    <t xml:space="preserve">RfdcControl::setAdcDsa</t>
  </si>
  <si>
    <t xml:space="preserve">bool setAdcDsa(quint32 tile, quint32 channel, double dB);</t>
  </si>
  <si>
    <t xml:space="preserve">Sets ADC digital step attenuator.</t>
  </si>
  <si>
    <t xml:space="preserve">tile, channel, dB</t>
  </si>
  <si>
    <t xml:space="preserve">payload = round(dB*10)</t>
  </si>
  <si>
    <t xml:space="preserve">ControlWindow3D::rfdcInvoke from DSA edit</t>
  </si>
  <si>
    <t xml:space="preserve">Defined RfdcControl.cpp:373.</t>
  </si>
  <si>
    <t xml:space="preserve">CORE-234</t>
  </si>
  <si>
    <t xml:space="preserve">RfdcControl::setQmcGain</t>
  </si>
  <si>
    <t xml:space="preserve">bool setQmcGain(int target, quint32 tile, quint32 channel, double gain);</t>
  </si>
  <si>
    <t xml:space="preserve">Sets QMC gain.</t>
  </si>
  <si>
    <t xml:space="preserve">target, tile, channel, gain</t>
  </si>
  <si>
    <t xml:space="preserve">payload = round(gain*10000)</t>
  </si>
  <si>
    <t xml:space="preserve">ControlWindow3D::rfdcInvoke from QMC edit</t>
  </si>
  <si>
    <t xml:space="preserve">Defined RfdcControl.cpp:379.</t>
  </si>
  <si>
    <t xml:space="preserve">CORE-235</t>
  </si>
  <si>
    <t xml:space="preserve">RfdcControl::setDacVop</t>
  </si>
  <si>
    <t xml:space="preserve">bool setDacVop(quint32 tile, quint32 channel, double milliAmps);</t>
  </si>
  <si>
    <t xml:space="preserve">Sets DAC output current (VOP).</t>
  </si>
  <si>
    <t xml:space="preserve">tile, channel, milliAmps</t>
  </si>
  <si>
    <t xml:space="preserve">payload = round(mA*1000) µA</t>
  </si>
  <si>
    <t xml:space="preserve">ControlWindow3D::rfdcInvoke from VOP edit</t>
  </si>
  <si>
    <t xml:space="preserve">Defined RfdcControl.cpp:385.</t>
  </si>
  <si>
    <t xml:space="preserve">CORE-236</t>
  </si>
  <si>
    <t xml:space="preserve">RfdcControl::setAxisRouting</t>
  </si>
  <si>
    <t xml:space="preserve">bool setAxisRouting(int c0, int c1, int c2, int c3);</t>
  </si>
  <si>
    <t xml:space="preserve">Sets ADC channel to AXIS output routing.</t>
  </si>
  <si>
    <t xml:space="preserve">c0..c3 (4-bit each)</t>
  </si>
  <si>
    <t xml:space="preserve">payload = c0 | c1&lt;&lt;4 | c2&lt;&lt;8 | c3&lt;&lt;12</t>
  </si>
  <si>
    <t xml:space="preserve">ControlWindow3D::rfdcInvoke from 'Apply routing'</t>
  </si>
  <si>
    <t xml:space="preserve">Defined RfdcControl.cpp:391.</t>
  </si>
  <si>
    <t xml:space="preserve">CORE-237</t>
  </si>
  <si>
    <t xml:space="preserve">RfdcControl::setPlGpioRouting</t>
  </si>
  <si>
    <t xml:space="preserve">bool setPlGpioRouting(int mode);</t>
  </si>
  <si>
    <t xml:space="preserve">Sets PL GPIO routing mode (1/2/3 = 1/2/4 channels in the PL).</t>
  </si>
  <si>
    <t xml:space="preserve">ControlWindow3D::rfdcInvoke from 'Apply PL GPIO'; ControlWindow3D::applyPlGpioMode (transmit guard)</t>
  </si>
  <si>
    <t xml:space="preserve">Defined RfdcControl.cpp:399.</t>
  </si>
  <si>
    <t xml:space="preserve">CORE-238</t>
  </si>
  <si>
    <t xml:space="preserve">RfdcControl::setDacSource</t>
  </si>
  <si>
    <t xml:space="preserve">bool setDacSource(int source);</t>
  </si>
  <si>
    <t xml:space="preserve">Routes the DAC input to the DDS or the host stream, then reads it back and verifies.</t>
  </si>
  <si>
    <t xml:space="preserve">source: PCIE_DAC_SRC_DDS / _HOST</t>
  </si>
  <si>
    <t xml:space="preserve">bool; dacSourceConfirmed(source)</t>
  </si>
  <si>
    <t xml:space="preserve">ControlWindow3D::rfdcInvoke from DAC source combo; ControlWindow3D::ensureHostRouting</t>
  </si>
  <si>
    <t xml:space="preserve">Defined RfdcControl.cpp:405. Inverts for pre-1.2.1 firmware (legacy swap).</t>
  </si>
  <si>
    <t xml:space="preserve">CORE-239</t>
  </si>
  <si>
    <t xml:space="preserve">RfdcControl::realignMts</t>
  </si>
  <si>
    <t xml:space="preserve">bool realignMts();</t>
  </si>
  <si>
    <t xml:space="preserve">Multi-tile sync re-align.</t>
  </si>
  <si>
    <t xml:space="preserve">ControlWindow3D::rfdcInvoke from MTS button; after rate changes</t>
  </si>
  <si>
    <t xml:space="preserve">Defined RfdcControl.cpp:436.</t>
  </si>
  <si>
    <t xml:space="preserve">CORE-240</t>
  </si>
  <si>
    <t xml:space="preserve">RfdcControl::start</t>
  </si>
  <si>
    <t xml:space="preserve">bool start();</t>
  </si>
  <si>
    <t xml:space="preserve">Starts the ADC+DAC datapath.</t>
  </si>
  <si>
    <t xml:space="preserve">ControlWindow3D::rfdcInvoke from Start button; completeReset</t>
  </si>
  <si>
    <t xml:space="preserve">Defined RfdcControl.cpp:441.</t>
  </si>
  <si>
    <t xml:space="preserve">CORE-241</t>
  </si>
  <si>
    <t xml:space="preserve">RfdcControl::stop</t>
  </si>
  <si>
    <t xml:space="preserve">bool stop();</t>
  </si>
  <si>
    <t xml:space="preserve">Stops the ADC+DAC datapath.</t>
  </si>
  <si>
    <t xml:space="preserve">ControlWindow3D::rfdcInvoke from Stop button; completeReset</t>
  </si>
  <si>
    <t xml:space="preserve">Defined RfdcControl.cpp:446.</t>
  </si>
  <si>
    <t xml:space="preserve">CORE-242</t>
  </si>
  <si>
    <t xml:space="preserve">RfdcControl::softReset</t>
  </si>
  <si>
    <t xml:space="preserve">bool softReset();</t>
  </si>
  <si>
    <t xml:space="preserve">Firmware soft reset.</t>
  </si>
  <si>
    <t xml:space="preserve">ControlWindow3D::rfdcInvoke from Reset button</t>
  </si>
  <si>
    <t xml:space="preserve">Defined RfdcControl.cpp:451. Timeout raised to 15 s.</t>
  </si>
  <si>
    <t xml:space="preserve">CORE-243</t>
  </si>
  <si>
    <t xml:space="preserve">RfdcControl::ping</t>
  </si>
  <si>
    <t xml:space="preserve">bool ping();</t>
  </si>
  <si>
    <t xml:space="preserve">No-op round trip proving the firmware is polling.</t>
  </si>
  <si>
    <t xml:space="preserve">ControlWindow3D::rfdcInvoke from Ping button; syncAttached; completeReset</t>
  </si>
  <si>
    <t xml:space="preserve">Defined RfdcControl.cpp:754.</t>
  </si>
  <si>
    <t xml:space="preserve">CORE-244</t>
  </si>
  <si>
    <t xml:space="preserve">RfdcControl::restoreDefaults</t>
  </si>
  <si>
    <t xml:space="preserve">bool restoreDefaults();</t>
  </si>
  <si>
    <t xml:space="preserve">Restores the firmware boot configuration with one command.</t>
  </si>
  <si>
    <t xml:space="preserve">ControlWindow3D::rfdcInvoke from ControlWindow3D::onRfdcResetDefaults; completeReset</t>
  </si>
  <si>
    <t xml:space="preserve">Defined RfdcControl.cpp:759. Timeout raised to 20 s.</t>
  </si>
  <si>
    <t xml:space="preserve">CORE-245</t>
  </si>
  <si>
    <t xml:space="preserve">RfdcControl::readParameter</t>
  </si>
  <si>
    <t xml:space="preserve">bool readParameter(quint32 id, quint32 tile, quint32 channel, quint32* value);</t>
  </si>
  <si>
    <t xml:space="preserve">Reads one live parameter (PCIE_RB_*) back from the firmware.</t>
  </si>
  <si>
    <t xml:space="preserve">id, tile, channel</t>
  </si>
  <si>
    <t xml:space="preserve">readSnapshot, setSamplingRateVerified, setDacSource</t>
  </si>
  <si>
    <t xml:space="preserve">Defined RfdcControl.cpp:769. ACK err 0x4 latches 'readback unsupported'.</t>
  </si>
  <si>
    <t xml:space="preserve">CORE-246</t>
  </si>
  <si>
    <t xml:space="preserve">RfdcControl::readSnapshot</t>
  </si>
  <si>
    <t xml:space="preserve">Q_INVOKABLE void readSnapshot(quint32 tile, quint32 channel, bool adc);</t>
  </si>
  <si>
    <t xml:space="preserve">Reads every displayable parameter in one worker pass.</t>
  </si>
  <si>
    <t xml:space="preserve">snapshotReady(QVariantMap)</t>
  </si>
  <si>
    <t xml:space="preserve">ControlWindow3D::rfdcInvoke from Read from hardware / onGenToggle / defaults</t>
  </si>
  <si>
    <t xml:space="preserve">Defined RfdcControl.cpp:700. Busy is refcounted so the UI sees one busy period.</t>
  </si>
  <si>
    <t xml:space="preserve">CORE-247</t>
  </si>
  <si>
    <t xml:space="preserve">void snapshotReady(const QVariantMap&amp; values);</t>
  </si>
  <si>
    <t xml:space="preserve">All live parameters read.</t>
  </si>
  <si>
    <t xml:space="preserve">QVariantMap</t>
  </si>
  <si>
    <t xml:space="preserve">CORE-248</t>
  </si>
  <si>
    <t xml:space="preserve">void registersRead(quint32 ring, quint32 cfg);</t>
  </si>
  <si>
    <t xml:space="preserve">Raw ring/cfg register values.</t>
  </si>
  <si>
    <t xml:space="preserve">CORE-249</t>
  </si>
  <si>
    <t xml:space="preserve">void attachResult(bool ok, const QString&amp; detail);</t>
  </si>
  <si>
    <t xml:space="preserve">Attach outcome.</t>
  </si>
  <si>
    <t xml:space="preserve">ok, detail (path or error)</t>
  </si>
  <si>
    <t xml:space="preserve">CORE-250</t>
  </si>
  <si>
    <t xml:space="preserve">void syncFinished(bool ok, const QString&amp; detail);</t>
  </si>
  <si>
    <t xml:space="preserve">Full register sync finished or failed.</t>
  </si>
  <si>
    <t xml:space="preserve">CORE-251</t>
  </si>
  <si>
    <t xml:space="preserve">void verifyResult(const QString&amp; name, bool ok, quint32 requested, quint32 actual, const QString&amp; detail);</t>
  </si>
  <si>
    <t xml:space="preserve">Requested vs device value after a verified write.</t>
  </si>
  <si>
    <t xml:space="preserve">name, ok, requested, actual, detail</t>
  </si>
  <si>
    <t xml:space="preserve">CORE-252</t>
  </si>
  <si>
    <t xml:space="preserve">void resetFinished(bool ok, const QString&amp; detail);</t>
  </si>
  <si>
    <t xml:space="preserve">Complete reset outcome.</t>
  </si>
  <si>
    <t xml:space="preserve">CORE-253</t>
  </si>
  <si>
    <t xml:space="preserve">void syncingChanged(bool syncing);</t>
  </si>
  <si>
    <t xml:space="preserve">A sync/reset owns the device (UI must lock).</t>
  </si>
  <si>
    <t xml:space="preserve">CORE-254</t>
  </si>
  <si>
    <t xml:space="preserve">void busyChanged(bool busy);</t>
  </si>
  <si>
    <t xml:space="preserve">A transaction is in flight (refcounted).</t>
  </si>
  <si>
    <t xml:space="preserve">CORE-255</t>
  </si>
  <si>
    <t xml:space="preserve">RfdcControl::attachedChanged</t>
  </si>
  <si>
    <t xml:space="preserve">void attachedChanged(bool attached);</t>
  </si>
  <si>
    <t xml:space="preserve">Attached state changed.</t>
  </si>
  <si>
    <t xml:space="preserve">attached</t>
  </si>
  <si>
    <t xml:space="preserve">ControlWindow3D lambda sets m_rfAttached</t>
  </si>
  <si>
    <t xml:space="preserve">CORE-256</t>
  </si>
  <si>
    <t xml:space="preserve">RfdcControl::statusMessage</t>
  </si>
  <si>
    <t xml:space="preserve">Informational line (e.g. 'X applied.').</t>
  </si>
  <si>
    <t xml:space="preserve">CORE-257</t>
  </si>
  <si>
    <t xml:space="preserve">RfdcControl::errorMessage</t>
  </si>
  <si>
    <t xml:space="preserve">Error line (rejected, timeout, NEW_CMD stuck, abandoned).</t>
  </si>
  <si>
    <t xml:space="preserve">CORE-258</t>
  </si>
  <si>
    <t xml:space="preserve">RfdcControl::commandResult</t>
  </si>
  <si>
    <t xml:space="preserve">void commandResult(const QString&amp; name, bool ok, const QString&amp; detail);</t>
  </si>
  <si>
    <t xml:space="preserve">Emitted after every transaction.</t>
  </si>
  <si>
    <t xml:space="preserve">name, ok, detail</t>
  </si>
  <si>
    <t xml:space="preserve">CORE-259</t>
  </si>
  <si>
    <t xml:space="preserve">RfdcControl::dacSourceConfirmed</t>
  </si>
  <si>
    <t xml:space="preserve">void dacSourceConfirmed(int source);</t>
  </si>
  <si>
    <t xml:space="preserve">DAC input source as the device reports it after a change.</t>
  </si>
  <si>
    <t xml:space="preserve">source (logical)</t>
  </si>
  <si>
    <t xml:space="preserve">ControlWindow3D lambda updates combo, m_devDacSrc, publishTxState</t>
  </si>
  <si>
    <t xml:space="preserve">CORE-260</t>
  </si>
  <si>
    <t xml:space="preserve">RfdcControl::sendCommand</t>
  </si>
  <si>
    <t xml:space="preserve">bool sendCommand(const char* name, quint32 target, quint32 tile, quint32 channel, quint32 event, quint32 payload);</t>
  </si>
  <si>
    <t xml:space="preserve">The PCIe ring handshake: check NEW_CMD clear, write payload, write command word with NEW_CMD, poll until cleared (200 µs), decode ACK error; honours abort and timeout.</t>
  </si>
  <si>
    <t xml:space="preserve">name, target, tile, channel, event, payload</t>
  </si>
  <si>
    <t xml:space="preserve">bool; busyChanged, statusMessage/errorMessage, commandResult</t>
  </si>
  <si>
    <t xml:space="preserve">All setters</t>
  </si>
  <si>
    <t xml:space="preserve">Defined RfdcControl.cpp:202. Runs on QThread 'rfdcCtl' (ControlWindow3D ctor); invoked via ControlWindow3D::rfdcInvoke (queued).</t>
  </si>
  <si>
    <t xml:space="preserve">CORE-261</t>
  </si>
  <si>
    <t xml:space="preserve">sdr::RoceShmSource</t>
  </si>
  <si>
    <t xml:space="preserve">class RoceShmSource : public ISignalSource</t>
  </si>
  <si>
    <t xml:space="preserve">Live RoCEv2: reader of the shared-memory ring published by rdma_rx / rdma_rx_gpu (/dev/shm/iqring, IQRING01/IQRINGG1) or the roce-extractor tap (/dev/shm/roce_tap, RTAP seqlock); always takes the newest slot and never back-pressures the producer.</t>
  </si>
  <si>
    <t xml:space="preserve">MainWindow::createSource (SourceMode::Roce)</t>
  </si>
  <si>
    <t xml:space="preserve">Runs on the 'acquisition' QThread (moved there by MainWindow::createSource); invoked via queued QMetaObject::invokeMethod. Does not implement RDMA itself. GPU rings opened via CUDA IPC only when built with SDR_ENABLE_CUDA.</t>
  </si>
  <si>
    <t xml:space="preserve">01_sdr_workstation_GUI/src/core/RoceShmSource.h</t>
  </si>
  <si>
    <t xml:space="preserve">CORE-262</t>
  </si>
  <si>
    <t xml:space="preserve">RoceShmSource::RoceShmSource</t>
  </si>
  <si>
    <t xml:space="preserve">explicit RoceShmSource(QObject* parent = nullptr);</t>
  </si>
  <si>
    <t xml:space="preserve">Chooses /dev/shm/iqring if present, else /dev/shm/roce_tap.</t>
  </si>
  <si>
    <t xml:space="preserve">Defined RoceShmSource.cpp:79.</t>
  </si>
  <si>
    <t xml:space="preserve">CORE-263</t>
  </si>
  <si>
    <t xml:space="preserve">RoceShmSource::TapDType</t>
  </si>
  <si>
    <t xml:space="preserve">enum TapDType { TapInt16 = 0, TapInt8, TapInt32, TapFloat32, TapCInt16 };</t>
  </si>
  <si>
    <t xml:space="preserve">Sample data types in the roce-extractor tap header (mirrors roce/tap.h).</t>
  </si>
  <si>
    <t xml:space="preserve">mapRoceTap / bytesPerSample</t>
  </si>
  <si>
    <t xml:space="preserve">CORE-264</t>
  </si>
  <si>
    <t xml:space="preserve">RoceShmSource::peekRingInfo</t>
  </si>
  <si>
    <t xml:space="preserve">static bool peekRingInfo(const QString&amp; path, double* rateMsps, double* centerGHz);</t>
  </si>
  <si>
    <t xml:space="preserve">Reads sample rate and centre frequency from a ring's control block without starting acquisition, so the GUI adopts the transmitter's values.</t>
  </si>
  <si>
    <t xml:space="preserve">rateMsps, centerGHz; bool ok</t>
  </si>
  <si>
    <t xml:space="preserve">main.cpp (RoCE session start-up)</t>
  </si>
  <si>
    <t xml:space="preserve">Defined RoceShmSource.cpp:105.</t>
  </si>
  <si>
    <t xml:space="preserve">CORE-265</t>
  </si>
  <si>
    <t xml:space="preserve">RoceShmSource::start</t>
  </si>
  <si>
    <t xml:space="preserve">mmap()s the ring read-only and starts a 2 ms poll timer.</t>
  </si>
  <si>
    <t xml:space="preserve">runStateChanged / sourceError</t>
  </si>
  <si>
    <t xml:space="preserve">Defined RoceShmSource.cpp:459.</t>
  </si>
  <si>
    <t xml:space="preserve">CORE-266</t>
  </si>
  <si>
    <t xml:space="preserve">RoceShmSource::stop</t>
  </si>
  <si>
    <t xml:space="preserve">Stops polling and unmaps the ring.</t>
  </si>
  <si>
    <t xml:space="preserve">Defined RoceShmSource.cpp:488.</t>
  </si>
  <si>
    <t xml:space="preserve">CORE-267</t>
  </si>
  <si>
    <t xml:space="preserve">RoceShmSource::poll</t>
  </si>
  <si>
    <t xml:space="preserve">void poll();</t>
  </si>
  <si>
    <t xml:space="preserve">Dispatches to pollRoceTap / pollGpuRing / pollIqRing by ring ABI.</t>
  </si>
  <si>
    <t xml:space="preserve">m_timer timeout (2 ms)</t>
  </si>
  <si>
    <t xml:space="preserve">Defined RoceShmSource.cpp:497 (private slot). RTAP slots with odd/changed seq are discarded as torn.</t>
  </si>
  <si>
    <t xml:space="preserve">CORE-268</t>
  </si>
  <si>
    <t xml:space="preserve">Decodes raw interleaved wire bytes into per-channel complex float vectors.</t>
  </si>
  <si>
    <t xml:space="preserve">data, bytes, fmt, channels, fullScale</t>
  </si>
  <si>
    <t xml:space="preserve">out; samples per channel</t>
  </si>
  <si>
    <t xml:space="preserve">DspEngine::processBlock (deferred decode)</t>
  </si>
  <si>
    <t xml:space="preserve">CORE-269</t>
  </si>
  <si>
    <t xml:space="preserve">codec::encode</t>
  </si>
  <si>
    <t xml:space="preserve">Re-interleaves per-channel IQ into the wire format so recordings replay byte-identically.</t>
  </si>
  <si>
    <t xml:space="preserve">in, fmt, fullScale</t>
  </si>
  <si>
    <t xml:space="preserve">out; frames</t>
  </si>
  <si>
    <t xml:space="preserve">Recorder::writeBlock (simulator blocks)</t>
  </si>
  <si>
    <t xml:space="preserve">CORE-270</t>
  </si>
  <si>
    <t xml:space="preserve">sdr::SimulatedSource</t>
  </si>
  <si>
    <t xml:space="preserve">class SimulatedSource : public ISignalSource</t>
  </si>
  <si>
    <t xml:space="preserve">Generates pulse-shaped noisy QPSK/16-QAM/64-QAM bursts per channel; with TxState.loopback set it models the RF loopback (DDS tone, generator waveform, or noise only).</t>
  </si>
  <si>
    <t xml:space="preserve">MainWindow::createSource (SourceMode::Simulated)</t>
  </si>
  <si>
    <t xml:space="preserve">Runs on the 'acquisition' QThread (moved there by MainWindow::createSource); invoked via queued QMetaObject::invokeMethod. QTimer at 60 blocks/s; block capped at 16384 samples (runs slower than real time above that).</t>
  </si>
  <si>
    <t xml:space="preserve">CORE-271</t>
  </si>
  <si>
    <t xml:space="preserve">SimulatedSource::start</t>
  </si>
  <si>
    <t xml:space="preserve">Starts the 60 Hz production timer (created lazily on the source thread).</t>
  </si>
  <si>
    <t xml:space="preserve">Defined Sources.cpp:240.</t>
  </si>
  <si>
    <t xml:space="preserve">CORE-272</t>
  </si>
  <si>
    <t xml:space="preserve">SimulatedSource::stop</t>
  </si>
  <si>
    <t xml:space="preserve">Stops the production timer.</t>
  </si>
  <si>
    <t xml:space="preserve">Defined Sources.cpp:259.</t>
  </si>
  <si>
    <t xml:space="preserve">CORE-273</t>
  </si>
  <si>
    <t xml:space="preserve">SimulatedSource::applyConfig</t>
  </si>
  <si>
    <t xml:space="preserve">Resizes per-channel state with staggered burst phases.</t>
  </si>
  <si>
    <t xml:space="preserve">Defined Sources.cpp:103.</t>
  </si>
  <si>
    <t xml:space="preserve">CORE-274</t>
  </si>
  <si>
    <t xml:space="preserve">SimulatedSource::setTxState</t>
  </si>
  <si>
    <t xml:space="preserve">void setTxState(const sdr::TxState&amp; tx) override;</t>
  </si>
  <si>
    <t xml:space="preserve">Adopts the transmit state for the loopback model; resets loop position when the loop length changes.</t>
  </si>
  <si>
    <t xml:space="preserve">statusMessage when leaving loopback</t>
  </si>
  <si>
    <t xml:space="preserve">MainWindow txStateChanged handler</t>
  </si>
  <si>
    <t xml:space="preserve">Defined Sources.cpp:126. Loopback gain 0.5 (-6 dB).</t>
  </si>
  <si>
    <t xml:space="preserve">CORE-275</t>
  </si>
  <si>
    <t xml:space="preserve">Synthesises and publishes one block per channel.</t>
  </si>
  <si>
    <t xml:space="preserve">Defined Sources.cpp:295 (private slot).</t>
  </si>
  <si>
    <t xml:space="preserve">CORE-276</t>
  </si>
  <si>
    <t xml:space="preserve">sdr::probe (SystemProbe)</t>
  </si>
  <si>
    <t xml:space="preserve">namespace sdr::probe // SystemProbe</t>
  </si>
  <si>
    <t xml:space="preserve">Runtime environment discovery for the launcher: GPU (nvidia-smi), PCIe card (sysfs), iwfg driver/node, full PCIe pre-flight, Mellanox NIC detection and lab configuration.</t>
  </si>
  <si>
    <t xml:space="preserve">ConfigDialog, PcieDiscoveryDialog</t>
  </si>
  <si>
    <t xml:space="preserve">Free functions (not a class); read sysfs/procfs or run short external commands; best-effort.</t>
  </si>
  <si>
    <t xml:space="preserve">01_sdr_workstation_GUI/src/core/SystemProbe.h</t>
  </si>
  <si>
    <t xml:space="preserve">CORE-277</t>
  </si>
  <si>
    <t xml:space="preserve">probe::detectGpu</t>
  </si>
  <si>
    <t xml:space="preserve">GpuInfo detectGpu();</t>
  </si>
  <si>
    <t xml:space="preserve">Queries NVIDIA GPU presence/driver/CUDA via nvidia-smi (fallback /proc/driver/nvidia/version).</t>
  </si>
  <si>
    <t xml:space="preserve">GpuInfo</t>
  </si>
  <si>
    <t xml:space="preserve">ConfigDialog GPU toggle</t>
  </si>
  <si>
    <t xml:space="preserve">Defined SystemProbe.cpp:53. Synchronous, bounded ~2.5 s.</t>
  </si>
  <si>
    <t xml:space="preserve">CORE-278</t>
  </si>
  <si>
    <t xml:space="preserve">probe::findPcieDevice</t>
  </si>
  <si>
    <t xml:space="preserve">PcieDevice findPcieDevice(const QString&amp; driverHint = QStringLiteral("iwfg"), const QString&amp; vendorHint = QStringLiteral("0x10ee"));</t>
  </si>
  <si>
    <t xml:space="preserve">Locates the FPGA card by bound driver name or Xilinx vendor ID; reports link speed/width and BARs.</t>
  </si>
  <si>
    <t xml:space="preserve">driverHint, vendorHint</t>
  </si>
  <si>
    <t xml:space="preserve">PcieDevice</t>
  </si>
  <si>
    <t xml:space="preserve">pciePreflight</t>
  </si>
  <si>
    <t xml:space="preserve">Defined SystemProbe.cpp:114.</t>
  </si>
  <si>
    <t xml:space="preserve">CORE-279</t>
  </si>
  <si>
    <t xml:space="preserve">probe::checkDriver</t>
  </si>
  <si>
    <t xml:space="preserve">DriverStatus checkDriver(const QString&amp; devicePath, const QString&amp; moduleName = QStringLiteral("iwfg"));</t>
  </si>
  <si>
    <t xml:space="preserve">Checks /proc/modules for iwfg and that the device node exists and opens O_RDONLY|O_NONBLOCK.</t>
  </si>
  <si>
    <t xml:space="preserve">devicePath, moduleName</t>
  </si>
  <si>
    <t xml:space="preserve">DriverStatus</t>
  </si>
  <si>
    <t xml:space="preserve">Defined SystemProbe.cpp:176.</t>
  </si>
  <si>
    <t xml:space="preserve">CORE-280</t>
  </si>
  <si>
    <t xml:space="preserve">probe::pciePreflight</t>
  </si>
  <si>
    <t xml:space="preserve">PcieReport pciePreflight(const QString&amp; devicePath);</t>
  </si>
  <si>
    <t xml:space="preserve">Full PCIe pre-flight (device + driver + node) flattened into display rows; ok when acquisition can proceed.</t>
  </si>
  <si>
    <t xml:space="preserve">PcieReport</t>
  </si>
  <si>
    <t xml:space="preserve">PcieDiscoveryDialog ctor and onFixDriver</t>
  </si>
  <si>
    <t xml:space="preserve">Defined SystemProbe.cpp:204.</t>
  </si>
  <si>
    <t xml:space="preserve">CORE-281</t>
  </si>
  <si>
    <t xml:space="preserve">probe::detectMellanox</t>
  </si>
  <si>
    <t xml:space="preserve">EthInterface detectMellanox();</t>
  </si>
  <si>
    <t xml:space="preserve">Finds the first Mellanox NIC (vendor 0x15b3) in /sys/class/net.</t>
  </si>
  <si>
    <t xml:space="preserve">EthInterface</t>
  </si>
  <si>
    <t xml:space="preserve">ConfigDialog Ethernet toggle</t>
  </si>
  <si>
    <t xml:space="preserve">Defined SystemProbe.cpp:286. Read-only.</t>
  </si>
  <si>
    <t xml:space="preserve">CORE-282</t>
  </si>
  <si>
    <t xml:space="preserve">probe::configureMellanox</t>
  </si>
  <si>
    <t xml:space="preserve">EthConfigResult configureMellanox(const QString&amp; ifname, const QString&amp; ip = QStringLiteral("192.168.1.1"), int mtu = 9000);</t>
  </si>
  <si>
    <t xml:space="preserve">Applies the lab configuration (IPv4, MTU 9000, link up) with 'ip' via pkexec when needed; idempotent.</t>
  </si>
  <si>
    <t xml:space="preserve">ifname, ip, mtu</t>
  </si>
  <si>
    <t xml:space="preserve">EthConfigResult</t>
  </si>
  <si>
    <t xml:space="preserve">Defined SystemProbe.cpp:332. Commands exec'd directly, never through a shell.</t>
  </si>
  <si>
    <t xml:space="preserve">CORE-283</t>
  </si>
  <si>
    <t xml:space="preserve">enum class SourceMode { Simulated, File, Dma, Roce };</t>
  </si>
  <si>
    <t xml:space="preserve">Where samples come from: simulator, offline file, live PCIe/UDP FIFO, live RoCEv2 shm ring.</t>
  </si>
  <si>
    <t xml:space="preserve">SourceConfig.mode; MainWindow::createSource</t>
  </si>
  <si>
    <t xml:space="preserve">CORE-284</t>
  </si>
  <si>
    <t xml:space="preserve">sdr::RunState</t>
  </si>
  <si>
    <t xml:space="preserve">enum class RunState { Stopped, Running, Paused, Error };</t>
  </si>
  <si>
    <t xml:space="preserve">Acquisition run state.</t>
  </si>
  <si>
    <t xml:space="preserve">ISignalSource, MainWindow, panels</t>
  </si>
  <si>
    <t xml:space="preserve">CORE-285</t>
  </si>
  <si>
    <t xml:space="preserve">sdr::SampleFormat</t>
  </si>
  <si>
    <t xml:space="preserve">enum class SampleFormat { Cs8, Cu8, Cs12Packed, Cs16, Cs32, Cf32, Cf64, Rs8, Ru8, Rs16, Rs32, Rf32, Rf64 };</t>
  </si>
  <si>
    <t xml:space="preserve">Wire formats (complex and real, GNU Radio naming); real formats are lifted with Q = 0.</t>
  </si>
  <si>
    <t xml:space="preserve">SourceConfig.format, SampleBlock.rawFormat</t>
  </si>
  <si>
    <t xml:space="preserve">CORE-286</t>
  </si>
  <si>
    <t xml:space="preserve">sdr::WindowType</t>
  </si>
  <si>
    <t xml:space="preserve">enum class WindowType { Rectangular, Hann, Hamming, Blackman, BlackmanHarris, FlatTop, Kaiser };</t>
  </si>
  <si>
    <t xml:space="preserve">FFT window choices.</t>
  </si>
  <si>
    <t xml:space="preserve">DisplayConfig.window</t>
  </si>
  <si>
    <t xml:space="preserve">CORE-287</t>
  </si>
  <si>
    <t xml:space="preserve">sdr::AverageMode</t>
  </si>
  <si>
    <t xml:space="preserve">enum class AverageMode { None, Exponential, LinearN, MaxHold, MinHold };</t>
  </si>
  <si>
    <t xml:space="preserve">Spectrum averaging modes.</t>
  </si>
  <si>
    <t xml:space="preserve">DisplayConfig.average</t>
  </si>
  <si>
    <t xml:space="preserve">CORE-288</t>
  </si>
  <si>
    <t xml:space="preserve">sdr::Modulation</t>
  </si>
  <si>
    <t xml:space="preserve">enum class Modulation { QPSK, QAM16, QAM64, NoiseOnly };</t>
  </si>
  <si>
    <t xml:space="preserve">Simulator modulation.</t>
  </si>
  <si>
    <t xml:space="preserve">AcqConfig.modulation</t>
  </si>
  <si>
    <t xml:space="preserve">CORE-289</t>
  </si>
  <si>
    <t xml:space="preserve">sdr::ChannelView</t>
  </si>
  <si>
    <t xml:space="preserve">enum class ChannelView { Active, Overlay };</t>
  </si>
  <si>
    <t xml:space="preserve">Plot one active channel or overlay all.</t>
  </si>
  <si>
    <t xml:space="preserve">DisplayConfig.channelView</t>
  </si>
  <si>
    <t xml:space="preserve">CORE-290</t>
  </si>
  <si>
    <t xml:space="preserve">Bytes per (complex) sample for a wire format (e.g. Cs16 = 4, Cf32 = 8, Cs12Packed = 3).</t>
  </si>
  <si>
    <t xml:space="preserve">int bytes</t>
  </si>
  <si>
    <t xml:space="preserve">Sources, MainWindow capture-rate checks</t>
  </si>
  <si>
    <t xml:space="preserve">CORE-291</t>
  </si>
  <si>
    <t xml:space="preserve">struct SourceConfig {</t>
  </si>
  <si>
    <t xml:space="preserve">Source settings: mode, useGpu, devicePath (default /dev/iwfg0), filePath, format, streamChannels (2), channelMask, blockSamples (16384), loopFile, pacedReplay, replaySpeed, headerBytes, fullScale.</t>
  </si>
  <si>
    <t xml:space="preserve">Config.src</t>
  </si>
  <si>
    <t xml:space="preserve">Changing it restarts (or in-place reconfigures) acquisition.</t>
  </si>
  <si>
    <t xml:space="preserve">CORE-292</t>
  </si>
  <si>
    <t xml:space="preserve">Signal-chain settings: sampleRateMsps (122.88), decimation, interpolation, ncoFreqMHz (0), centerFreqGHz (0 = baseband), bufferMiB, simulator modulation/offset/SNR; helpers sampleRateHz(), displayRateHz(), centerFreqHz().</t>
  </si>
  <si>
    <t xml:space="preserve">displayRateHz = sampleRateMsps*1e6 * interpolation / decimation</t>
  </si>
  <si>
    <t xml:space="preserve">MSPS, MHz, GHz</t>
  </si>
  <si>
    <t xml:space="preserve">Config.acq</t>
  </si>
  <si>
    <t xml:space="preserve">CORE-293</t>
  </si>
  <si>
    <t xml:space="preserve">Display settings: fftSize (2048), window, averaging, refreshFps (30), floor/ceil dB (-130/10), peak search, colour map, waterfall rows (320), persistence, active channel, channel view.</t>
  </si>
  <si>
    <t xml:space="preserve">dB, fps</t>
  </si>
  <si>
    <t xml:space="preserve">Config.disp; plots</t>
  </si>
  <si>
    <t xml:space="preserve">CORE-294</t>
  </si>
  <si>
    <t xml:space="preserve">What the transmit side puts on the DAC: loopback (sim), dacSource (0 DDS / 1 host), ddsHz, dacStreamSps, hostRunning, waveform, hostToneHz, amplitude, phaseOffset, iqPhaseDiff, loopPairs, coherent.</t>
  </si>
  <si>
    <t xml:space="preserve">Hz, S/s, rad</t>
  </si>
  <si>
    <t xml:space="preserve">ControlWindow3D::txStateChanged -&gt; MainWindow -&gt; ISignalSource::setTxState</t>
  </si>
  <si>
    <t xml:space="preserve">Q_DECLARE_METATYPE; only SimulatedSource renders it.</t>
  </si>
  <si>
    <t xml:space="preserve">CORE-295</t>
  </si>
  <si>
    <t xml:space="preserve">sdr::Config</t>
  </si>
  <si>
    <t xml:space="preserve">The single object every worker receives: src + acq + disp.</t>
  </si>
  <si>
    <t xml:space="preserve">applyConfig slots of sources, DspEngine; Recorder::startRecording</t>
  </si>
  <si>
    <t xml:space="preserve">Passed by value across queued connections.</t>
  </si>
  <si>
    <t xml:space="preserve">CORE-296</t>
  </si>
  <si>
    <t xml:space="preserve">struct SystemConfig {</t>
  </si>
  <si>
    <t xml:space="preserve">Launcher choices fixed for the session: device, computeDevice, interfaceName, initial Config, dataFlowMode (0 ADC/C2H, 1 DAC/H2C, 2 both), UDP transport/port/interface/FIFO, driverLoadedBySession.</t>
  </si>
  <si>
    <t xml:space="preserve">ConfigDialog::config -&gt; main.cpp -&gt; MainWindow</t>
  </si>
  <si>
    <t xml:space="preserve">CORE-297</t>
  </si>
  <si>
    <t xml:space="preserve">sdr::BackPressure</t>
  </si>
  <si>
    <t xml:space="preserve">struct BackPressure {</t>
  </si>
  <si>
    <t xml:space="preserve">Shared atomic backlog counter between source (increments on emit) and DSP (decrements on consume) with capacity; utilisation() = queued/capacity.</t>
  </si>
  <si>
    <t xml:space="preserve">ISignalSource::admit, DspEngine, MainWindow (capacity 24)</t>
  </si>
  <si>
    <t xml:space="preserve">Lock-free QAtomicInteger&lt;qint64&gt;.</t>
  </si>
  <si>
    <t xml:space="preserve">CORE-298</t>
  </si>
  <si>
    <t xml:space="preserve">sdr::StreamStats</t>
  </si>
  <si>
    <t xml:space="preserve">struct StreamStats {</t>
  </si>
  <si>
    <t xml:space="preserve">Acquisition health: state, dmaMBps, sampleRateSps, bufferPct, blocks in/dropped, samples dropped, frames out/skipped, bytes, elapsed, file position, recording, source name; dropRatePct(), filePosFrac().</t>
  </si>
  <si>
    <t xml:space="preserve">dropRatePct = 100*blocksDropped/(blocksIn+blocksDropped)</t>
  </si>
  <si>
    <t xml:space="preserve">ISignalSource::statsUpdated -&gt; MainWindow::onStats, DspEngine::updateStats</t>
  </si>
  <si>
    <t xml:space="preserve">CORE-299</t>
  </si>
  <si>
    <t xml:space="preserve">Per-channel measurements: peak dBFS/Hz, noise floor, SNR, OBW, channel power, EVM, RMS, PAPR, phase error, residual carrier, SFDR, THD, SINAD, ENOB, toneValid/toneReason, peak-to-floor, H2-H6, DC offset, I/Q imbalance, peak list.</t>
  </si>
  <si>
    <t xml:space="preserve">ChannelFrame.metrics -&gt; MeasurementPanel, SpectrumPlot, ControlWindow3D::setReceivedPeak</t>
  </si>
  <si>
    <t xml:space="preserve">CORE-300</t>
  </si>
  <si>
    <t xml:space="preserve">One processed display frame: per-channel ChannelFrame (decimated IQ, dBFS fftshifted spectrum, symbols, Metrics), stats, displayRateHz, centerFreqHz, blockSpanSec, sequence.</t>
  </si>
  <si>
    <t xml:space="preserve">DspEngine::frameReady -&gt; MainWindow::onFrameReady -&gt; plots/measurement panel</t>
  </si>
  <si>
    <t xml:space="preserve">Copyable; crosses queued connections by value.</t>
  </si>
  <si>
    <t xml:space="preserve">CORE-301</t>
  </si>
  <si>
    <t xml:space="preserve">sdr::SampleBlock</t>
  </si>
  <si>
    <t xml:space="preserve">struct SampleBlock {</t>
  </si>
  <si>
    <t xml:space="preserve">Raw acquisition block: decoded per-channel IQ (simulator) or undecoded wire bytes + format/channels/full-scale (file/DMA/RoCE), sequence, start sample, file position; samplesPerChannel().</t>
  </si>
  <si>
    <t xml:space="preserve">ISignalSource::blockReady -&gt; DspEngine::processBlock, Recorder::writeBlock</t>
  </si>
  <si>
    <t xml:space="preserve">Raw bytes let the recorder write byte-identically and DSP decode only blocks it analyses.</t>
  </si>
  <si>
    <t xml:space="preserve">CORE-302</t>
  </si>
  <si>
    <t xml:space="preserve">wave::loopResolutionHz</t>
  </si>
  <si>
    <t xml:space="preserve">Frequency step of an N-sample loop.</t>
  </si>
  <si>
    <t xml:space="preserve">fs, loopPairs</t>
  </si>
  <si>
    <t xml:space="preserve">fs / N</t>
  </si>
  <si>
    <t xml:space="preserve">ControlWindow3D::updateGenPreview; coherentHz</t>
  </si>
  <si>
    <t xml:space="preserve">CORE-303</t>
  </si>
  <si>
    <t xml:space="preserve">wave::coherentHz</t>
  </si>
  <si>
    <t xml:space="preserve">Nearest frequency that loops seamlessly in an N-sample replay loop.</t>
  </si>
  <si>
    <t xml:space="preserve">hz, fs, loopPairs</t>
  </si>
  <si>
    <t xml:space="preserve">round(hz/(fs/N)) * fs/N</t>
  </si>
  <si>
    <t xml:space="preserve">Platform Libs - API reference</t>
  </si>
  <si>
    <t xml:space="preserve">43 entries. Source: iW-ASCEJ-01-SF-R1.0-REL1.0/iW-ASCEJ-01-SC-R1.0-REL1.0 and iW-ASCEJ-01-FF-R1.0-REL1.0 of release REL1.0 (1.2.5).</t>
  </si>
  <si>
    <t xml:space="preserve">PLAT-001</t>
  </si>
  <si>
    <t xml:space="preserve">Platform / library</t>
  </si>
  <si>
    <t xml:space="preserve">__sync_synchronize (memory barrier)</t>
  </si>
  <si>
    <t xml:space="preserve">__sync_synchronize();</t>
  </si>
  <si>
    <t xml:space="preserve">Orders iq_ctl field writes before the seq bump so rdma_tx never latches a half-written parameter set.</t>
  </si>
  <si>
    <t xml:space="preserve">01_sdr_workstation_GUI/src/core/H2cControl.cpp</t>
  </si>
  <si>
    <t xml:space="preserve">PLAT-002</t>
  </si>
  <si>
    <t xml:space="preserve">cuFFT (cufftPlan1d / cufftExecC2C) + CUDA streams</t>
  </si>
  <si>
    <t xml:space="preserve">if (cufftPlan1d(&amp;d-&gt;plan, int(n), CUFFT_C2C, 1) != CUFFT_SUCCESS) {</t>
  </si>
  <si>
    <t xml:space="preserve">Optional GPU spectrum: async H2D copy, window kernel, cufftExecC2C forward (GpuFft.cpp:175), power kernel, D2H copy on a non-blocking stream.</t>
  </si>
  <si>
    <t xml:space="preserve">GpuFft (via DspEngine::computeSpectrum)</t>
  </si>
  <si>
    <t xml:space="preserve">Compiled only with SDR_ENABLE_CUDA; otherwise a stub returns false and DspEngine reports CPU. Kernels in GpuKernels.cu.</t>
  </si>
  <si>
    <t xml:space="preserve">PLAT-003</t>
  </si>
  <si>
    <t xml:space="preserve">CUDA IPC (cudaIpcOpenMemHandle)</t>
  </si>
  <si>
    <t xml:space="preserve">const cudaError_t e = cudaIpcOpenMemHandle(&amp;p, h, cudaIpcMemLazyEnablePeerAccess);</t>
  </si>
  <si>
    <t xml:space="preserve">Opens the VRAM ring published by rdma_rx_gpu (GPUDirect, magic IQRINGG1) for zero-copy NIC -&gt; GPU spectra.</t>
  </si>
  <si>
    <t xml:space="preserve">RoceShmSource::openGpuRing</t>
  </si>
  <si>
    <t xml:space="preserve">Requires SDR_ENABLE_CUDA and the same user as rdma_rx_gpu.</t>
  </si>
  <si>
    <t xml:space="preserve">01_sdr_workstation_GUI/src/core/RoceShmSource.cpp</t>
  </si>
  <si>
    <t xml:space="preserve">PLAT-004</t>
  </si>
  <si>
    <t xml:space="preserve">make (on-demand helper/driver builds)</t>
  </si>
  <si>
    <t xml:space="preserve">make.start(QStringLiteral("make"), {QStringLiteral("-B")});</t>
  </si>
  <si>
    <t xml:space="preserve">Builds backend helpers (and rebuilds them once if they cannot load), the UDP receiver, and the iwfg kernel module.</t>
  </si>
  <si>
    <t xml:space="preserve">BackendLauncher::buildBinaries/buildUdpBinary/rebuildHelpers; DriverManager::buildModule</t>
  </si>
  <si>
    <t xml:space="preserve">Synchronous on the GUI thread (wait cursor).</t>
  </si>
  <si>
    <t xml:space="preserve">PLAT-005</t>
  </si>
  <si>
    <t xml:space="preserve">pkexec (polkit elevation)</t>
  </si>
  <si>
    <t xml:space="preserve">if (!cfg.udpRawIface.isEmpty() &amp;&amp; ::geteuid() != 0) {</t>
  </si>
  <si>
    <t xml:space="preserve">Elevates only specific commands: iwfg_c2h --raw (AF_PACKET), insmod/rmmod iwfg (DriverManager.cpp:168), ip configuration (SystemProbe.cpp:353); otherwise reports the exact sudo command.</t>
  </si>
  <si>
    <t xml:space="preserve">BackendLauncher::start (UDP raw), DriverManager, probe::configureMellanox</t>
  </si>
  <si>
    <t xml:space="preserve">Commands are exec'd directly, never through a shell.</t>
  </si>
  <si>
    <t xml:space="preserve">PLAT-006</t>
  </si>
  <si>
    <t xml:space="preserve">stdbuf -oL (line-buffered helper output)</t>
  </si>
  <si>
    <t xml:space="preserve">argv.prepend(QStringLiteral("-oL")); prog = wrap;</t>
  </si>
  <si>
    <t xml:space="preserve">Wraps the capture helper so its stdout is line-buffered through the pipe and exit reasons arrive in order.</t>
  </si>
  <si>
    <t xml:space="preserve">stdbuf exec()s the helper, so the PID/SIGINT is the helper's. IWFG_NO_STDBUF disables.</t>
  </si>
  <si>
    <t xml:space="preserve">PLAT-007</t>
  </si>
  <si>
    <t xml:space="preserve">nvidia-smi</t>
  </si>
  <si>
    <t xml:space="preserve">p-&gt;start(QStringLiteral("nvidia-smi"),</t>
  </si>
  <si>
    <t xml:space="preserve">GPU utilisation/memory polling every 5th tick and GPU detection in the launcher.</t>
  </si>
  <si>
    <t xml:space="preserve">ResourceMonitor::readGpus; probe::detectGpu</t>
  </si>
  <si>
    <t xml:space="preserve">PLAT-008</t>
  </si>
  <si>
    <t xml:space="preserve">socket(AF_INET, SOCK_DGRAM) + bind()</t>
  </si>
  <si>
    <t xml:space="preserve">const int fd = ::socket(AF_INET, SOCK_DGRAM, 0);</t>
  </si>
  <si>
    <t xml:space="preserve">Tests whether the UDP port is free before launching the receiver.</t>
  </si>
  <si>
    <t xml:space="preserve">PLAT-009</t>
  </si>
  <si>
    <t xml:space="preserve">kill(pid, SIGINT) + QProcess terminate/kill escalation</t>
  </si>
  <si>
    <t xml:space="preserve">::kill(static_cast&lt;pid_t&gt;(bp.proc-&gt;processId()), SIGINT);</t>
  </si>
  <si>
    <t xml:space="preserve">Graceful helper shutdown (their handlers unwind the DMA path), escalating to SIGTERM after 2.5 s and SIGKILL after a further 1.5 s.</t>
  </si>
  <si>
    <t xml:space="preserve">BackendLauncher::signalStop / stopTick / release / destructor</t>
  </si>
  <si>
    <t xml:space="preserve">1.2.5: ordered (playback first, capture after).</t>
  </si>
  <si>
    <t xml:space="preserve">PLAT-010</t>
  </si>
  <si>
    <t xml:space="preserve">mkfifo / open(O_WRONLY | O_NONBLOCK) / select() / write()</t>
  </si>
  <si>
    <t xml:space="preserve">const int fd = ::open(m_cfg.fifoPath.toLocal8Bit().constData(), O_WRONLY | O_NONBLOCK | O_CLOEXEC);</t>
  </si>
  <si>
    <t xml:space="preserve">Generator side of the H2C FIFO: creates it if missing (IqGenerator.cpp:242), re-resolves the path on every retry, and paces non-blocking writes with select() (IqGenerator.cpp:75) so stop is honoured within ~0.25 s.</t>
  </si>
  <si>
    <t xml:space="preserve">IqGenerator::ensureFifo / openFifo / writeBytes</t>
  </si>
  <si>
    <t xml:space="preserve">PLAT-011</t>
  </si>
  <si>
    <t xml:space="preserve">pthread_sigmask(SIG_BLOCK, SIGPIPE)</t>
  </si>
  <si>
    <t xml:space="preserve">pthread_sigmask(SIG_BLOCK, &amp;set, nullptr);</t>
  </si>
  <si>
    <t xml:space="preserve">Blocks SIGPIPE in the generator thread so a vanished iwfg_h2c reader yields EPIPE (reconnect) rather than process termination.</t>
  </si>
  <si>
    <t xml:space="preserve">PLAT-012</t>
  </si>
  <si>
    <t xml:space="preserve">statvfs() and /proc/stat, /proc/meminfo</t>
  </si>
  <si>
    <t xml:space="preserve">if (::statvfs(m_diskPath.toLocal8Bit().constData(), &amp;vfs) != 0) {</t>
  </si>
  <si>
    <t xml:space="preserve">Disk free space for the recording destination and CPU/RAM utilisation.</t>
  </si>
  <si>
    <t xml:space="preserve">ResourceMonitor::readDisk / readCpu (line 72) / readRam (line 125)</t>
  </si>
  <si>
    <t xml:space="preserve">PLAT-013</t>
  </si>
  <si>
    <t xml:space="preserve">mmap() of PCIe BAR (sysfs resourceN)</t>
  </si>
  <si>
    <t xml:space="preserve">m_map = ::mmap(nullptr, m_mapLen, PROT_READ | PROT_WRITE, MAP_SHARED, m_fd, 0);</t>
  </si>
  <si>
    <t xml:space="preserve">Maps /sys/bus/pci/devices/&lt;bdf&gt;/resource&lt;bar&gt; (opened O_RDWR|O_SYNC) for RFDC ring/cfg register access; pread/pwrite path for char devices (RfdcControl.cpp:151/172).</t>
  </si>
  <si>
    <t xml:space="preserve">RfdcControl::attachSysfs / readRegister / writeRegister</t>
  </si>
  <si>
    <t xml:space="preserve">Runs on the rfdcCtl thread that owns the descriptor.</t>
  </si>
  <si>
    <t xml:space="preserve">01_sdr_workstation_GUI/src/core/RfdcControl.cpp</t>
  </si>
  <si>
    <t xml:space="preserve">PLAT-014</t>
  </si>
  <si>
    <t xml:space="preserve">mmap() of POSIX shm (/dev/shm)</t>
  </si>
  <si>
    <t xml:space="preserve">m_base = ::mmap(nullptr, m_bytes, PROT_READ, MAP_SHARED, m_fd, 0);</t>
  </si>
  <si>
    <t xml:space="preserve">Read-only mapping of the RoCEv2 receiver ring (/dev/shm/iqring or /dev/shm/roce_tap); read-write mapping of the rdma_tx control block /dev/shm/iqctl (H2cControl.cpp:61, with O_CREAT + ftruncate).</t>
  </si>
  <si>
    <t xml:space="preserve">RoceShmSource::mapRing; H2cControl::attach</t>
  </si>
  <si>
    <t xml:space="preserve">PLAT-015</t>
  </si>
  <si>
    <t xml:space="preserve">fcntl(F_SETPIPE_SZ)</t>
  </si>
  <si>
    <t xml:space="preserve">while (want &gt;= (64 &lt;&lt; 10) &amp;&amp; ::fcntl(fd, F_SETPIPE_SZ, want) &lt; 0)</t>
  </si>
  <si>
    <t xml:space="preserve">Enlarges the capture FIFO's pipe buffer up to min(/proc/sys/fs/pipe-max-size, 16 MiB) to cut writer/reader wake-ups and C2H FIFO overflow risk.</t>
  </si>
  <si>
    <t xml:space="preserve">enlargePipe (DmaSource::openDevice / writerGone)</t>
  </si>
  <si>
    <t xml:space="preserve">Best effort; halves on failure down to 64 KiB.</t>
  </si>
  <si>
    <t xml:space="preserve">PLAT-016</t>
  </si>
  <si>
    <t xml:space="preserve">open(O_RDONLY | O_NONBLOCK)</t>
  </si>
  <si>
    <t xml:space="preserve">int fd = ::open(p.constData(), O_RDONLY | O_NONBLOCK);</t>
  </si>
  <si>
    <t xml:space="preserve">Opens the DMA device node or capture FIFO without blocking (a FIFO with no writer would otherwise block open()).</t>
  </si>
  <si>
    <t xml:space="preserve">DmaSource::openDevice / writerGone</t>
  </si>
  <si>
    <t xml:space="preserve">PLAT-017</t>
  </si>
  <si>
    <t xml:space="preserve">stat() / fstat() inode comparison</t>
  </si>
  <si>
    <t xml:space="preserve">if (pathIsFifo &amp;&amp; fdOk &amp;&amp; (ps.st_ino != fs.st_ino || ps.st_dev != fs.st_dev)) {</t>
  </si>
  <si>
    <t xml:space="preserve">Detects that the capture helper recreated its FIFO (unlink+mkfifo) and re-attaches to the new inode.</t>
  </si>
  <si>
    <t xml:space="preserve">1.2.4 fix: 1.2.3 stayed on the unlinked inode.</t>
  </si>
  <si>
    <t xml:space="preserve">PLAT-018</t>
  </si>
  <si>
    <t xml:space="preserve">read()</t>
  </si>
  <si>
    <t xml:space="preserve">const ssize_t got = ::read(m_fd, m_raw.data() + m_filled, m_blockBytes - m_filled);</t>
  </si>
  <si>
    <t xml:space="preserve">Non-blocking reads of the capture stream into a block buffer; 0 = writer gone, EAGAIN = idle.</t>
  </si>
  <si>
    <t xml:space="preserve">12 ms budget per pump.</t>
  </si>
  <si>
    <t xml:space="preserve">PLAT-019</t>
  </si>
  <si>
    <t xml:space="preserve">poll()</t>
  </si>
  <si>
    <t xml:space="preserve">const int pr = ::poll(&amp;pfd, 1, 20);</t>
  </si>
  <si>
    <t xml:space="preserve">Waits up to 20 ms for readability when idle; POLLNVAL switches to a 2 ms timer, POLLHUP triggers writerGone().</t>
  </si>
  <si>
    <t xml:space="preserve">DmaSource::pump; IqGenerator::streamUntilBroken (IqGenerator.cpp:315)</t>
  </si>
  <si>
    <t xml:space="preserve">PLAT-020</t>
  </si>
  <si>
    <t xml:space="preserve">signal(SIGPIPE, SIG_IGN)</t>
  </si>
  <si>
    <t xml:space="preserve">std::signal(SIGPIPE, SIG_IGN);</t>
  </si>
  <si>
    <t xml:space="preserve">Process-wide: a FIFO reader exiting must not kill the GUI; writers handle EPIPE instead.</t>
  </si>
  <si>
    <t xml:space="preserve">PLAT-021</t>
  </si>
  <si>
    <t xml:space="preserve">QStandardPaths::findExecutable</t>
  </si>
  <si>
    <t xml:space="preserve">static const QString p = QStandardPaths::findExecutable(QStringLiteral("stdbuf"));</t>
  </si>
  <si>
    <t xml:space="preserve">Locates stdbuf, pkexec and nvidia-smi on PATH before relying on them.</t>
  </si>
  <si>
    <t xml:space="preserve">BackendLauncher (stdbuf, pkexec), ResourceMonitor (nvidia-smi)</t>
  </si>
  <si>
    <t xml:space="preserve">PLAT-022</t>
  </si>
  <si>
    <t xml:space="preserve">QRegularExpression</t>
  </si>
  <si>
    <t xml:space="preserve">static const QRegularExpression re(QStringLiteral("\\[H2C\\]\\s+([0-9]+(?:\\.[0-9]+)?)\\s*MB/s..."));</t>
  </si>
  <si>
    <t xml:space="preserve">Parses helper rate lines ('[H2C] … MB/s', 'Streaming: … MB/s').</t>
  </si>
  <si>
    <t xml:space="preserve">parseH2cRateLine, parseC2hRateLine</t>
  </si>
  <si>
    <t xml:space="preserve">PLAT-023</t>
  </si>
  <si>
    <t xml:space="preserve">QProcess (external helpers)</t>
  </si>
  <si>
    <t xml:space="preserve">auto* p = new QProcess(this); p-&gt;setProcessChannelMode(QProcess::MergedChannels);</t>
  </si>
  <si>
    <t xml:space="preserve">Runs and supervises c2h_stream, iwfg_h2c and iwfg_c2h with merged output parsed line by line; also make builds, nvidia-smi polling, roce-extractor, pkexec insmod/rmmod and ip commands.</t>
  </si>
  <si>
    <t xml:space="preserve">BackendLauncher::launchOne; ResourceMonitor::readGpus; ConfigDialog::extractPcap; DriverManager; SystemProbe</t>
  </si>
  <si>
    <t xml:space="preserve">A running QProcess is never deleted (its destructor would block on a helper stuck in the driver); BackendLauncher::release reaps it after it exits.</t>
  </si>
  <si>
    <t xml:space="preserve">PLAT-024</t>
  </si>
  <si>
    <t xml:space="preserve">QMutex</t>
  </si>
  <si>
    <t xml:space="preserve">QMutex m_pendingLock;</t>
  </si>
  <si>
    <t xml:space="preserve">Guards the pending generator Config so requestUpdate() can be called from the GUI thread while start() loops on the generator thread.</t>
  </si>
  <si>
    <t xml:space="preserve">IqGenerator::requestUpdate / applyPending</t>
  </si>
  <si>
    <t xml:space="preserve">PLAT-025</t>
  </si>
  <si>
    <t xml:space="preserve">QFile / QTextStream</t>
  </si>
  <si>
    <t xml:space="preserve">m_file = new QFile(path, this);</t>
  </si>
  <si>
    <t xml:space="preserve">Recording output, .meta sidecars (write/read), backend log file, offline replay input.</t>
  </si>
  <si>
    <t xml:space="preserve">Recorder, SourcePanel::applySidecar, MainWindow::backendLog, FileSource</t>
  </si>
  <si>
    <t xml:space="preserve">01_sdr_workstation_GUI/src/core/Recorder.cpp</t>
  </si>
  <si>
    <t xml:space="preserve">PLAT-026</t>
  </si>
  <si>
    <t xml:space="preserve">QAtomicInt / QAtomicInteger (lock-free flags)</t>
  </si>
  <si>
    <t xml:space="preserve">QAtomicInteger&lt;qint64&gt; queued{0};</t>
  </si>
  <si>
    <t xml:space="preserve">Lock-free cross-thread state: BackPressure backlog counter, render gate (DspEngine/MainWindow), RfdcControl abort/busy/attached flags, IqGenerator run/reload flags.</t>
  </si>
  <si>
    <t xml:space="preserve">ISignalSource::admit/publish, DspEngine::processBlock, MainWindow::renderPending, RfdcControl, IqGenerator</t>
  </si>
  <si>
    <t xml:space="preserve">loadAcquire/storeRelease/fetchAndAddOrdered semantics.</t>
  </si>
  <si>
    <t xml:space="preserve">PLAT-027</t>
  </si>
  <si>
    <t xml:space="preserve">QCommandLineParser</t>
  </si>
  <si>
    <t xml:space="preserve">QCommandLineParser parser;</t>
  </si>
  <si>
    <t xml:space="preserve">Parses launch options.</t>
  </si>
  <si>
    <t xml:space="preserve">PLAT-028</t>
  </si>
  <si>
    <t xml:space="preserve">QTimer</t>
  </si>
  <si>
    <t xml:space="preserve">m_renderTimer = new QTimer(this); m_renderTimer-&gt;setTimerType(Qt::PreciseTimer);</t>
  </si>
  <si>
    <t xml:space="preserve">Drives rendering (1000/refreshFps ms), source production (Simulated 60 Hz, File 10 ms, RoCE 2 ms), DMA pump re-scheduling (QTimer::singleShot), backend ready/stop escalation, loopback check (100 ms), resource polling (1 s).</t>
  </si>
  <si>
    <t xml:space="preserve">MainWindow, Sources.cpp, RoceShmSource, BackendLauncher, ControlWindow3D, ResourceMonitor, PcieDiscoveryDialog</t>
  </si>
  <si>
    <t xml:space="preserve">Timers are created on the thread that owns the object (lazily in start()).</t>
  </si>
  <si>
    <t xml:space="preserve">PLAT-029</t>
  </si>
  <si>
    <t xml:space="preserve">Signals/slots across threads + qRegisterMetaType / Q_DECLARE_METATYPE</t>
  </si>
  <si>
    <t xml:space="preserve">qRegisterMetaType&lt;sdr::SampleBlock&gt;("sdr::SampleBlock");</t>
  </si>
  <si>
    <t xml:space="preserve">Registers SampleBlock, FrameResult, Config, StreamStats, RunState, TxState so they can be copied through queued cross-thread signal connections.</t>
  </si>
  <si>
    <t xml:space="preserve">MainWindow::buildPipeline; Types.h Q_DECLARE_METATYPE (Types.h:524-529); BackendLauncher.h:373-375</t>
  </si>
  <si>
    <t xml:space="preserve">Payload structs are passed by value (copyable).</t>
  </si>
  <si>
    <t xml:space="preserve">PLAT-030</t>
  </si>
  <si>
    <t xml:space="preserve">QThread + QObject::moveToThread (worker model)</t>
  </si>
  <si>
    <t xml:space="preserve">m_sourceThread = new QThread(this); ... m_dsp-&gt;moveToThread(m_dspThread);</t>
  </si>
  <si>
    <t xml:space="preserve">Acquisition, DSP and recorder objects each live on their own QThread (LowPriority) so the GUI stays responsive; workers are deleted via QThread::finished -&gt; deleteLater.</t>
  </si>
  <si>
    <t xml:space="preserve">MainWindow::buildPipeline; ControlWindow3D (rfdcCtl, iqGen threads)</t>
  </si>
  <si>
    <t xml:space="preserve">Threads: acquisition, dsp, recorder, rfdcCtl, iqGen. Shutdown: quit()+wait(2000) (MainWindow) / wait(3000) then terminate (ControlWindow3D).</t>
  </si>
  <si>
    <t xml:space="preserve">PLAT-031</t>
  </si>
  <si>
    <t xml:space="preserve">QMetaObject::invokeMethod (Qt::QueuedConnection)</t>
  </si>
  <si>
    <t xml:space="preserve">QMetaObject::invokeMethod(m_source, "applyConfig", Qt::QueuedConnection, Q_ARG(sdr::Config, m_cfg));</t>
  </si>
  <si>
    <t xml:space="preserve">All GUI -&gt; worker calls (start, stop, applyConfig, setTxState, seekFraction, RFDC jobs, generator start) are queued so the GUI thread never blocks on a worker.</t>
  </si>
  <si>
    <t xml:space="preserve">MainWindow, ControlWindow3D::rfdcInvoke (functor form, ControlWindow3D.cpp:735)</t>
  </si>
  <si>
    <t xml:space="preserve">1.2.4: destroySource uses queued stop + deleteLater (1.2.3 BlockingQueuedConnection could hang). Only remaining blocking call: Recorder::stopRecording in ~MainWindow (MainWindow.cpp:233, Qt::BlockingQueuedConnection).</t>
  </si>
  <si>
    <t xml:space="preserve">PLAT-032</t>
  </si>
  <si>
    <t xml:space="preserve">QSettings</t>
  </si>
  <si>
    <t xml:space="preserve">QSettings s; s.setValue(QStringLiteral("geometry"), saveGeometry());</t>
  </si>
  <si>
    <t xml:space="preserve">Persists window geometry, dock state and splitter positions between sessions.</t>
  </si>
  <si>
    <t xml:space="preserve">MainWindow::saveSettings / restoreSettings</t>
  </si>
  <si>
    <t xml:space="preserve">Scope from QApplication organisation/application name.</t>
  </si>
  <si>
    <t xml:space="preserve">PLAT-033</t>
  </si>
  <si>
    <t xml:space="preserve">QElapsedTimer</t>
  </si>
  <si>
    <t xml:space="preserve">QElapsedTimer m_fpsClock;</t>
  </si>
  <si>
    <t xml:space="preserve">Monotonic timing for FPS, table throttle, rate windows, DSP frame throttle, DMA read budget, RFDC ack timeout, loopback check, stop escalation.</t>
  </si>
  <si>
    <t xml:space="preserve">MainWindow, ISignalSource, DspEngine, DmaSource, RfdcControl, ControlWindow3D, BackendLauncher</t>
  </si>
  <si>
    <t xml:space="preserve">PLAT-034</t>
  </si>
  <si>
    <t xml:space="preserve">High-DPI configuration</t>
  </si>
  <si>
    <t xml:space="preserve">QGuiApplication::setHighDpiScaleFactorRoundingPolicy(Qt::HighDpiScaleFactorRoundingPolicy::PassThrough);</t>
  </si>
  <si>
    <t xml:space="preserve">Fractional scale factors passed through (and AA_EnableHighDpiScaling on Qt 5) before QApplication is constructed.</t>
  </si>
  <si>
    <t xml:space="preserve">PLAT-035</t>
  </si>
  <si>
    <t xml:space="preserve">QWidget::grab</t>
  </si>
  <si>
    <t xml:space="preserve">statusBar()-&gt;showMessage(grab().save(path)</t>
  </si>
  <si>
    <t xml:space="preserve">Screenshots of the workstation or a widget.</t>
  </si>
  <si>
    <t xml:space="preserve">MainWindow::onScreenshot; scheduleCapture (main.cpp)</t>
  </si>
  <si>
    <t xml:space="preserve">PLAT-036</t>
  </si>
  <si>
    <t xml:space="preserve">QPainter (custom plotting)</t>
  </si>
  <si>
    <t xml:space="preserve">QPainter p(this);</t>
  </si>
  <si>
    <t xml:space="preserve">All instrument plots (axes, grid, traces, markers, legends, colour bars) are painted directly with QPainter in paintEvent.</t>
  </si>
  <si>
    <t xml:space="preserve">PlotBase::paintEvent and subclasses' drawContent</t>
  </si>
  <si>
    <t xml:space="preserve">PLAT-037</t>
  </si>
  <si>
    <t xml:space="preserve">QImage (Format_RGB32 scanline writes)</t>
  </si>
  <si>
    <t xml:space="preserve">m_image = QImage(cols, m_rows, QImage::Format_RGB32);</t>
  </si>
  <si>
    <t xml:space="preserve">Waterfall ring image (one row written per frame, drawn with two blits) and constellation density image.</t>
  </si>
  <si>
    <t xml:space="preserve">WaterfallPlot::setFrame, ConstellationPlot (Plots.cpp:616)</t>
  </si>
  <si>
    <t xml:space="preserve">PLAT-038</t>
  </si>
  <si>
    <t xml:space="preserve">QDialog (modal / non-modal)</t>
  </si>
  <si>
    <t xml:space="preserve">ControlWindow3D::ControlWindow3D(QWidget* parent) : QDialog(parent, Qt::Window)</t>
  </si>
  <si>
    <t xml:space="preserve">ControlWindow3D is non-modal (setModal(false)) and hidden on close; ConfigDialog, PcieDiscoveryDialog and ChannelDialog are modal via exec().</t>
  </si>
  <si>
    <t xml:space="preserve">ControlWindow3D, ConfigDialog, PcieDiscoveryDialog, ChannelDialog</t>
  </si>
  <si>
    <t xml:space="preserve">PLAT-039</t>
  </si>
  <si>
    <t xml:space="preserve">QWindow::startSystemResize</t>
  </si>
  <si>
    <t xml:space="preserve">w-&gt;startSystemResize(edges);</t>
  </si>
  <si>
    <t xml:space="preserve">Hands an edge drag to the compositor for frameless-window resizing.</t>
  </si>
  <si>
    <t xml:space="preserve">Active only when a TitleBar exists (not instantiated in 1.2.5).</t>
  </si>
  <si>
    <t xml:space="preserve">PLAT-040</t>
  </si>
  <si>
    <t xml:space="preserve">QMainWindow / QDockWidget / QSplitter</t>
  </si>
  <si>
    <t xml:space="preserve">auto* dock = new QDockWidget(title, this);</t>
  </si>
  <si>
    <t xml:space="preserve">Dockable panels (Source, Display, Status, Measurements) around a splitter grid of four plots; saveState/restoreState for layout.</t>
  </si>
  <si>
    <t xml:space="preserve">MainWindow::buildDocks / buildCentral</t>
  </si>
  <si>
    <t xml:space="preserve">PLAT-041</t>
  </si>
  <si>
    <t xml:space="preserve">QMessageBox (non-modal notices)</t>
  </si>
  <si>
    <t xml:space="preserve">box = new QMessageBox(this); box-&gt;setAttribute(Qt::WA_DeleteOnClose); box-&gt;setWindowModality(Qt::NonModal);</t>
  </si>
  <si>
    <t xml:space="preserve">De-duplicated non-modal warnings keyed by id so backend events never block other windows or stack dialogs.</t>
  </si>
  <si>
    <t xml:space="preserve">Modal boxes remain for deliberate confirmations (record-limit findings, RFDC verify failure, Complete Reset, driver log).</t>
  </si>
  <si>
    <t xml:space="preserve">PLAT-042</t>
  </si>
  <si>
    <t xml:space="preserve">QFileDialog / QInputDialog</t>
  </si>
  <si>
    <t xml:space="preserve">const double limitMiB = QInputDialog::getDouble(</t>
  </si>
  <si>
    <t xml:space="preserve">Choose capture/record/export/screenshot paths; enter recording storage limit and manual plot axis ranges.</t>
  </si>
  <si>
    <t xml:space="preserve">MainWindow::onOpenCapture/onToggleRecord/onExportIq/onScreenshot; PlotBase::promptAxisRange; SourcePanel browse slots</t>
  </si>
  <si>
    <t xml:space="preserve">PLAT-043</t>
  </si>
  <si>
    <t xml:space="preserve">rdma_rx shared-memory ring (no direct libibverbs use)</t>
  </si>
  <si>
    <t xml:space="preserve">The GUI does not call ibverbs: RoCEv2 reception is done by the external rdma_rx/rdma_rx_gpu receivers (or roce-extractor) which publish into /dev/shm; capability discovery reads sysfs (/sys/class/infiniband) instead of linking libibverbs.</t>
  </si>
  <si>
    <t xml:space="preserve">RoceShmSource; probe::mapNetdevsToRdma / detectRdmaPorts (GpuNetProbe)</t>
  </si>
  <si>
    <t xml:space="preserve">QDMA Driver - API reference</t>
  </si>
  <si>
    <t xml:space="preserve">314 entries. Source: iW-ASCEJ-01-SF-R1.0-REL1.0/iW-ASCEJ-01-SC-R1.0-REL1.0 and iW-ASCEJ-01-FF-R1.0-REL1.0 of release REL1.0 (1.2.5).</t>
  </si>
  <si>
    <t xml:space="preserve">DRV-001</t>
  </si>
  <si>
    <t xml:space="preserve">QDMA / Driver (kernel)</t>
  </si>
  <si>
    <t xml:space="preserve">iwfg_dma_map_sg</t>
  </si>
  <si>
    <t xml:space="preserve">static int iwfg_dma_map_sg(struct iwfg_private *priv, struct iwfg_user_page_buf *user_buf_hndl)</t>
  </si>
  <si>
    <t xml:space="preserve">dma_map_sg of the pinned SG list (DMA_BIDIRECTIONAL); stores the mapped segment count separately from sg_nents.</t>
  </si>
  <si>
    <t xml:space="preserve">priv, user_buf_hndl (locked)</t>
  </si>
  <si>
    <t xml:space="preserve">0; -EINVAL; -EIO (dma_map_sg returned 0)</t>
  </si>
  <si>
    <t xml:space="preserve">iwfg_add_user_buf()</t>
  </si>
  <si>
    <t xml:space="preserve">Log: 'dma_map_sg: original %d segments, mapped to %d DMA segments'.</t>
  </si>
  <si>
    <t xml:space="preserve">01_sdr_workstation_GUI/drivers/iwfg_dma.c</t>
  </si>
  <si>
    <t xml:space="preserve">DRV-002</t>
  </si>
  <si>
    <t xml:space="preserve">iwfg_dma_pin_user_pages</t>
  </si>
  <si>
    <t xml:space="preserve">static int iwfg_dma_pin_user_pages(struct iwfg_private *priv, struct iwfg_user_page_buf *dma_page_buf, unsigned long user_addr, size_t size, int direction)</t>
  </si>
  <si>
    <t xml:space="preserve">Pins a user range with get_user_pages_fast (FOLL_WRITE for BIDIRECTIONAL/FROM_DEVICE) under mmap_read_lock and builds a page-granular scatterlist.</t>
  </si>
  <si>
    <t xml:space="preserve">priv, dma_page_buf, user_addr, size, direction</t>
  </si>
  <si>
    <t xml:space="preserve">0; -EINVAL (bad params / page count exceeds array); -EPERM (pinned != requested)</t>
  </si>
  <si>
    <t xml:space="preserve">num_pages = ((user_addr &amp; ~PAGE_MASK) + size + ~PAGE_MASK) &gt;&gt; PAGE_SHIFT</t>
  </si>
  <si>
    <t xml:space="preserve">Log on failure: 'Failed to pin user pages: requested %d, pinned %d'. Uses get_user_pages_fast (not pin_user_pages).</t>
  </si>
  <si>
    <t xml:space="preserve">DRV-003</t>
  </si>
  <si>
    <t xml:space="preserve">iwfg_get_user_buf_by_addr</t>
  </si>
  <si>
    <t xml:space="preserve">struct iwfg_user_page_buf* iwfg_get_user_buf_by_addr(struct iwfg_private *priv, struct iwfg_cdev *icdev, void *user_buf, size_t size)</t>
  </si>
  <si>
    <t xml:space="preserve">Linear search of dma_buf_list by (user_addr, size).</t>
  </si>
  <si>
    <t xml:space="preserve">priv, icdev, user_buf, size</t>
  </si>
  <si>
    <t xml:space="preserve">handle or NULL</t>
  </si>
  <si>
    <t xml:space="preserve">Exported in iwfg_dma.h but not called; iwfg_add_user_buf has its own dedup loop.</t>
  </si>
  <si>
    <t xml:space="preserve">DRV-004</t>
  </si>
  <si>
    <t xml:space="preserve">iwfg_get_user_buf_by_index</t>
  </si>
  <si>
    <t xml:space="preserve">struct iwfg_user_page_buf* iwfg_get_user_buf_by_index(struct iwfg_private *priv, struct iwfg_cdev *icdev, u32 index)</t>
  </si>
  <si>
    <t xml:space="preserve">Returns the index-th entry of icdev-&gt;dma_buf_list.</t>
  </si>
  <si>
    <t xml:space="preserve">priv, icdev, index</t>
  </si>
  <si>
    <t xml:space="preserve">IWFG_IOCTL_DMA_DATA when dma_req.buf == NULL</t>
  </si>
  <si>
    <t xml:space="preserve">DRV-005</t>
  </si>
  <si>
    <t xml:space="preserve">iwfg_free_user_buf_hndl</t>
  </si>
  <si>
    <t xml:space="preserve">static void iwfg_free_user_buf_hndl(struct iwfg_private *priv, struct iwfg_user_page_buf *user_buf_hndl)</t>
  </si>
  <si>
    <t xml:space="preserve">Unwinds one not-yet-listed handle in reverse order: descriptor lists, DMA unmap, put_page of pinned pages, vfree arrays, kfree.</t>
  </si>
  <si>
    <t xml:space="preserve">priv, user_buf_hndl</t>
  </si>
  <si>
    <t xml:space="preserve">iwfg_add_user_buf() error paths</t>
  </si>
  <si>
    <t xml:space="preserve">Bug fix: the old error path called iwfg_delete_user_buf() and unpinned the caller's good buffers mid-transfer ('DMA unmapped 256 segments...').</t>
  </si>
  <si>
    <t xml:space="preserve">DRV-006</t>
  </si>
  <si>
    <t xml:space="preserve">iwfg_add_user_buf</t>
  </si>
  <si>
    <t xml:space="preserve">struct iwfg_user_page_buf* iwfg_add_user_buf(struct iwfg_private *priv, struct iwfg_cdev *icdev, void *user_buf, size_t size, bool is_chunked, size_t chunk_size, bool is_audio)</t>
  </si>
  <si>
    <t xml:space="preserve">Registers a USERPTR buffer on a cdev: dedups by (addr,size), allocates page/SG arrays, pins pages, dma_map_sg (BIDIRECTIONAL), syncs, builds the C2H RX list (16 KiB spans; programs C2H BUFSZ_IDX) or the H2C TX list (min(sg0,16384)), adds it to dma_buf_list, and for C2H programs IWFG_C2H_TOT_BUFSZ once per open.</t>
  </si>
  <si>
    <t xml:space="preserve">priv, icdev, user_buf (VA), size, is_chunked, chunk_size, is_audio</t>
  </si>
  <si>
    <t xml:space="preserve">handle (existing one on duplicate); NULL on invalid parameters, pin/map/descriptor failure</t>
  </si>
  <si>
    <t xml:space="preserve">page array = size/PAGE_SIZE + 2 entries; size_to_fill = is_chunked ? chunk_size : size; req_compls = size / size_to_fill</t>
  </si>
  <si>
    <t xml:space="preserve">IWFG_IOCTL_ADD_BUF (USERPTR), IWFG_IOCTL_DMA_DATA (buf != NULL and prearm next_buf)</t>
  </si>
  <si>
    <t xml:space="preserve">Failure unwinds only the failing handle (iwfg_free_user_buf_hndl) - earlier code destroyed every buffer on the cdev. Sets priv-&gt;h2c_busy = 0 on every new registration. No chunk_size validation (division by zero if is_chunked &amp;&amp; chunk_size == 0).</t>
  </si>
  <si>
    <t xml:space="preserve">DRV-007</t>
  </si>
  <si>
    <t xml:space="preserve">iwfg_add_user_buf (TOT_BUFSZ programming)</t>
  </si>
  <si>
    <t xml:space="preserve">reg_val = iwfg_stream_read_reg(&amp;priv-&gt;hw, stream_id, IWFG_C2H_CTRL_REG_OFFSET);</t>
  </si>
  <si>
    <t xml:space="preserve">First C2H buffer after open programs the PL total-buffer size: clear C2H_CTRL.SET_BUFSZ, udelay(100), write TOT_BUFSZ = size, set SET_BUFSZ, udelay(100); then is_video_locked = true.</t>
  </si>
  <si>
    <t xml:space="preserve">size of the first registered C2H buffer</t>
  </si>
  <si>
    <t xml:space="preserve">bytes, µs</t>
  </si>
  <si>
    <t xml:space="preserve">iwfg_add_user_buf() (C2H node only)</t>
  </si>
  <si>
    <t xml:space="preserve">Gated on icdev-&gt;direction so an H2C registration can no longer corrupt the live C2H stream's TOT_BUFSZ/C2H_CTRL. Audio writes AUD_BUF_SIZE instead.</t>
  </si>
  <si>
    <t xml:space="preserve">DRV-008</t>
  </si>
  <si>
    <t xml:space="preserve">iwfg_delete_user_buf</t>
  </si>
  <si>
    <t xml:space="preserve">void iwfg_delete_user_buf(struct iwfg_private *priv, struct iwfg_cdev *icdev)</t>
  </si>
  <si>
    <t xml:space="preserve">Releases every buffer of a cdev: sets stream_active=0, msleep(10), then per type (USERPTR unmap+put_page+vfree; ARM: DMA_ALLOC CMA release, DMA_IMPORT detach/put), frees descriptor lists and handles, re-inits the list.</t>
  </si>
  <si>
    <t xml:space="preserve">priv, icdev</t>
  </si>
  <si>
    <t xml:space="preserve">iwfg_release()</t>
  </si>
  <si>
    <t xml:space="preserve">Log: 'DMA unmapped %d segments for USERPTR buffer 0x%p'. This is where userspace buffers become safe to free() (after close).</t>
  </si>
  <si>
    <t xml:space="preserve">DRV-009</t>
  </si>
  <si>
    <t xml:space="preserve">IWFG_RX_DESC_STEP</t>
  </si>
  <si>
    <t xml:space="preserve">#define IWFG_RX_DESC_STEP 256</t>
  </si>
  <si>
    <t xml:space="preserve">Legacy RX refill step.</t>
  </si>
  <si>
    <t xml:space="preserve">descriptors</t>
  </si>
  <si>
    <t xml:space="preserve">Only referenced in commented-out code.</t>
  </si>
  <si>
    <t xml:space="preserve">DRV-010</t>
  </si>
  <si>
    <t xml:space="preserve">IWFG_RX_PREARM_WATERMARK</t>
  </si>
  <si>
    <t xml:space="preserve">#define IWFG_RX_PREARM_WATERMARK 1024</t>
  </si>
  <si>
    <t xml:space="preserve">Prearm gate: the next buffer's descriptors are posted only when in-flight RX descriptors &lt;= this value (and enough slots are free).</t>
  </si>
  <si>
    <t xml:space="preserve">iwfg_rx_maybe_post_prearm()</t>
  </si>
  <si>
    <t xml:space="preserve">DRV-011</t>
  </si>
  <si>
    <t xml:space="preserve">iwfg_rx_post_user_descs_locked</t>
  </si>
  <si>
    <t xml:space="preserve">static void iwfg_rx_post_user_descs_locked(struct iwfg_qdma_queue *q, struct iwfg_user_page_buf *user_buf)</t>
  </si>
  <si>
    <t xml:space="preserve">Packs every RX descriptor of a buffer into the C2H ring at next_to_use (no doorbell).</t>
  </si>
  <si>
    <t xml:space="preserve">q, user_buf</t>
  </si>
  <si>
    <t xml:space="preserve">iwfg_rx_roll(), iwfg_rx_maybe_post_prearm()</t>
  </si>
  <si>
    <t xml:space="preserve">Caller must hold priv-&gt;rx_lock. No free-space check.</t>
  </si>
  <si>
    <t xml:space="preserve">DRV-012</t>
  </si>
  <si>
    <t xml:space="preserve">iwfg_rx_maybe_post_prearm</t>
  </si>
  <si>
    <t xml:space="preserve">static void iwfg_rx_maybe_post_prearm(struct iwfg_private *priv, struct iwfg_qdma_queue *q)</t>
  </si>
  <si>
    <t xml:space="preserve">Posts the prearm buffer's descriptors early (before the current buffer drains) when the ring has room, then rings the C2H PIDX doorbell.</t>
  </si>
  <si>
    <t xml:space="preserve">priv, q</t>
  </si>
  <si>
    <t xml:space="preserve">void (sets q-&gt;prearm_posted)</t>
  </si>
  <si>
    <t xml:space="preserve">post iff prearm_user_buf &amp;&amp; !prearm_posted &amp;&amp; in_flight &lt;= 1024 &amp;&amp; free_count &gt;= prearm-&gt;rx_desc_count</t>
  </si>
  <si>
    <t xml:space="preserve">iwfg_recv_data(); every iteration of the iwfg_rx_poll() completion loop</t>
  </si>
  <si>
    <t xml:space="preserve">Holds priv-&gt;rx_lock (irqsave).</t>
  </si>
  <si>
    <t xml:space="preserve">DRV-013</t>
  </si>
  <si>
    <t xml:space="preserve">iwfg_rx_roll</t>
  </si>
  <si>
    <t xml:space="preserve">void iwfg_rx_roll(struct iwfg_private *priv, u16 qid, int stream_id)</t>
  </si>
  <si>
    <t xml:space="preserve">Arms q-&gt;user_buf on the C2H ring: ORs the qid into C2H_CTRL.QDMA_C2H_QID, syncs the SG list for the CPU, posts all RX descriptors and rings the doorbell (irq_arm=0), then sets C2H_CTRL.START and clears LEGACY_DROP (audio: AUD_CTRL START|SET_AUD_BUFSZ).</t>
  </si>
  <si>
    <t xml:space="preserve">priv, qid, stream_id</t>
  </si>
  <si>
    <t xml:space="preserve">void</t>
  </si>
  <si>
    <t xml:space="preserve">iwfg_recv_data() (buffer not pre-armed), iwfg_rx_poll() (boundary with a non-posted prearm buffer and an empty ring)</t>
  </si>
  <si>
    <t xml:space="preserve">QID field is OR-ed and never cleared. Ring writes under priv-&gt;rx_lock.</t>
  </si>
  <si>
    <t xml:space="preserve">DRV-014</t>
  </si>
  <si>
    <t xml:space="preserve">iwfg_wait_for_data</t>
  </si>
  <si>
    <t xml:space="preserve">int iwfg_wait_for_data(struct iwfg_user_page_buf *user_buf_hndl)</t>
  </si>
  <si>
    <t xml:space="preserve">Unbounded interruptible wait for a C2H completion (ready_to_use==1 or compl_count&gt;0); consumes it and converts a pending fifo_overflow into -EAGAIN.</t>
  </si>
  <si>
    <t xml:space="preserve">user_buf_hndl</t>
  </si>
  <si>
    <t xml:space="preserve">0; -EAGAIN (overflow recovery ran; fifo_overflow cleared); -ERESTARTSYS (signal); -EINVAL (NULL)</t>
  </si>
  <si>
    <t xml:space="preserve">iwfg_recv_data()</t>
  </si>
  <si>
    <t xml:space="preserve">Waiting arbitrarily long for samples is legitimate on C2H, so no timeout (unlike iwfg_wait_for_tx).</t>
  </si>
  <si>
    <t xml:space="preserve">DRV-015</t>
  </si>
  <si>
    <t xml:space="preserve">iwfg_recv_data</t>
  </si>
  <si>
    <t xml:space="preserve">int iwfg_recv_data(struct iwfg_private *priv, struct iwfg_user_page_buf *user_buf, u32 qid, int stream_id, struct iwfg_user_page_buf *next_user_buf)</t>
  </si>
  <si>
    <t xml:space="preserve">C2H DMA_DATA implementation: records stream_id and the prearm buffer under rx_lock, arms the buffer via iwfg_rx_roll unless it is already the queue's active (pre-armed) buffer, tries to post the prearm buffer, then blocks in iwfg_wait_for_data().</t>
  </si>
  <si>
    <t xml:space="preserve">priv, user_buf, qid, stream_id, next_user_buf (may be NULL)</t>
  </si>
  <si>
    <t xml:space="preserve">0; -EAGAIN; -ERESTARTSYS; -EINVAL (queue NULL)</t>
  </si>
  <si>
    <t xml:space="preserve">iwfg_ioctl IWFG_IOCTL_DMA_DATA (DMA_FROM_DEVICE)</t>
  </si>
  <si>
    <t xml:space="preserve">On a non-zero return the stale prearm pointer is cancelled if it was not yet posted. Debug log 'Buffer already pre-armed on qid %d, waiting only'.</t>
  </si>
  <si>
    <t xml:space="preserve">DRV-016</t>
  </si>
  <si>
    <t xml:space="preserve">iwfg_rx_poll</t>
  </si>
  <si>
    <t xml:space="preserve">static void iwfg_rx_poll(struct work_struct *work)</t>
  </si>
  <si>
    <t xml:space="preserve">C2H queue work-item handler: walks completion entries until cmpl_ring.next_to_clean == status.pidx, summing pkt_len, advancing desc/completion tails, flipping color on wrap and trying the prearm post; then updates the completion CIDX (irq_arm=1) and decides: overflow recovery (any usr_ovf), buffer complete, chunk complete, or partial fill.</t>
  </si>
  <si>
    <t xml:space="preserve">work (container_of -&gt; iwfg_qdma_queue)</t>
  </si>
  <si>
    <t xml:space="preserve">void; wakes user_buf-&gt;waitq</t>
  </si>
  <si>
    <t xml:space="preserve">total_accu_len += cmpl.pkt_len per entry; buffer complete iff total_accu_len &gt;= usr_buf_size; carry = total_accu_len - usr_buf_size</t>
  </si>
  <si>
    <t xml:space="preserve">iwfg_q_handler() via schedule_work_on(smp_processor_id())</t>
  </si>
  <si>
    <t xml:space="preserve">Status entry read from the last completion-ring slot (count - 1). cmpl.err logs 'completion error detected in cmpl entry!' and calls iwfg_qdma_clear_error_interrupt(), which writes 0 to GLBL_ERR_INT (disarms the error IRQ). Reads q-&gt;user_buf without a lock.</t>
  </si>
  <si>
    <t xml:space="preserve">DRV-017</t>
  </si>
  <si>
    <t xml:space="preserve">cmpl.usr_ovf</t>
  </si>
  <si>
    <t xml:space="preserve">if (cmpl.usr_ovf)</t>
  </si>
  <si>
    <t xml:space="preserve">Per-completion user-overflow flag (completion bit 37) raised by the PL when its C2H FIFO overflowed; any set entry makes the poll take the overflow-recovery branch.</t>
  </si>
  <si>
    <t xml:space="preserve">is_usr_ovf = true; dev_alert 'qid %u c2h_cmpl pkt_id %u, pkt_len %u, ... usr_overflow:%u'</t>
  </si>
  <si>
    <t xml:space="preserve">iwfg_rx_poll()</t>
  </si>
  <si>
    <t xml:space="preserve">DRV-018</t>
  </si>
  <si>
    <t xml:space="preserve">iwfg_rx_poll (buffer-complete branch)</t>
  </si>
  <si>
    <t xml:space="preserve">} else if (total_accu_len &gt;= user_buf_hndl-&gt;usr_buf_size)</t>
  </si>
  <si>
    <t xml:space="preserve">Buffer-complete branch: ready_to_use=1, compl_count += req_compls, req_compls reset; chunked keeps the carry in the buffer, non-chunked zeroes it and stores carry in q-&gt;rx_pending_carry; then switches q-&gt;user_buf to the prearm buffer (already posted, or armed now via iwfg_rx_roll if the ring is empty) and wakes the waiter.</t>
  </si>
  <si>
    <t xml:space="preserve">carry = total_accu_len - usr_buf_size; req_compls = usr_buf_size / size_to_fill</t>
  </si>
  <si>
    <t xml:space="preserve">Carry is not kept in the buffer in full-buffer mode, to avoid early completion with stale data at deterministic offsets.</t>
  </si>
  <si>
    <t xml:space="preserve">DRV-019</t>
  </si>
  <si>
    <t xml:space="preserve">iwfg_rx_poll (chunk-complete branch)</t>
  </si>
  <si>
    <t xml:space="preserve">} else if (cur_accu_len &gt;= user_buf_hndl-&gt;size_to_fill)</t>
  </si>
  <si>
    <t xml:space="preserve">Chunk-complete branch (chunked buffers): compl_count++, req_compls--, cur_filled_size keeps the overshoot; wakes the waiter.</t>
  </si>
  <si>
    <t xml:space="preserve">cur_filled_size = cur_accu_len - size_to_fill</t>
  </si>
  <si>
    <t xml:space="preserve">DRV-020</t>
  </si>
  <si>
    <t xml:space="preserve">iwfg_update_rx_bufsz_idx</t>
  </si>
  <si>
    <t xml:space="preserve">u32 iwfg_update_rx_bufsz_idx(struct iwfg_private *priv, u32 dma_len, bool is_audio, int stream_id)</t>
  </si>
  <si>
    <t xml:space="preserve">Programs the C2H buffer-size index into the PL: video ORs iwfg_get_c2h_bufsz_idx(dma_len) into C2H_CTRL.QDMA_C2H_BUFSZ_IDX; audio writes AUD_CTRL = FIELD_SET(AUD BUFSZ_IDX, 2).</t>
  </si>
  <si>
    <t xml:space="preserve">priv, dma_len, is_audio, stream_id</t>
  </si>
  <si>
    <t xml:space="preserve">C2H buffer size for the chosen index (iwfg_get_c2h_bufsz)</t>
  </si>
  <si>
    <t xml:space="preserve">iwfg_add_user_buf() (C2H node)</t>
  </si>
  <si>
    <t xml:space="preserve">Video path ORs and never clears old index bits; audio path assigns (discards the register's other bits). iwfg_add_dma_alloc_buf/iwfg_add_dma_import_buf call it with 2 arguments although the prototype takes 4 (ARM-only code).</t>
  </si>
  <si>
    <t xml:space="preserve">DRV-021</t>
  </si>
  <si>
    <t xml:space="preserve">iwfg_map_sg_to_rx_descs</t>
  </si>
  <si>
    <t xml:space="preserve">int iwfg_map_sg_to_rx_descs(struct iwfg_private *priv, struct iwfg_user_page_buf *user_buf_hndl, u32 desc_len)</t>
  </si>
  <si>
    <t xml:space="preserve">Builds the C2H descriptor list: splits each DMA segment longer than desc_len into desc_len pieces (dst_addr only); shorter segments get one descriptor.</t>
  </si>
  <si>
    <t xml:space="preserve">priv, user_buf_hndl, desc_len</t>
  </si>
  <si>
    <t xml:space="preserve">descriptor count; 0 on allocation failure</t>
  </si>
  <si>
    <t xml:space="preserve">iwfg_add_user_buf() (C2H node), iwfg_add_dma_alloc_buf(), iwfg_add_dma_import_buf()</t>
  </si>
  <si>
    <t xml:space="preserve">Counter is u16. Review: the engine treats every C2H descriptor as a 16384-byte buffer (prefetch bufsz_idx 15); the code does not check that a segment shorter than desc_len is actually that long, so it relies on dma_map_sg returning segments of whole 16 KiB spans.</t>
  </si>
  <si>
    <t xml:space="preserve">DRV-022</t>
  </si>
  <si>
    <t xml:space="preserve">iwfg_release_rx_descs</t>
  </si>
  <si>
    <t xml:space="preserve">void iwfg_release_rx_descs(struct iwfg_user_page_buf *user_buf_hndl)</t>
  </si>
  <si>
    <t xml:space="preserve">Frees every entry of a buffer's rx_desc_list.</t>
  </si>
  <si>
    <t xml:space="preserve">iwfg_free_user_buf_hndl, iwfg_delete_user_buf, DMA-BUF add error paths</t>
  </si>
  <si>
    <t xml:space="preserve">DRV-023</t>
  </si>
  <si>
    <t xml:space="preserve">iwfg_dma_sync_sg_for_cpu</t>
  </si>
  <si>
    <t xml:space="preserve">static void iwfg_dma_sync_sg_for_cpu(struct iwfg_private *priv, struct iwfg_user_page_buf *user_buf_hndl)</t>
  </si>
  <si>
    <t xml:space="preserve">dma_sync_sg_for_cpu over sg_mapped_count segments (DMA_BIDIRECTIONAL); sets sg_host.</t>
  </si>
  <si>
    <t xml:space="preserve">iwfg_rx_roll() before posting, iwfg_add_user_buf(), iwfg_add_dma_alloc_buf()</t>
  </si>
  <si>
    <t xml:space="preserve">DRV-024</t>
  </si>
  <si>
    <t xml:space="preserve">c2h_buf_size</t>
  </si>
  <si>
    <t xml:space="preserve">c2h_buf_size = iwfg_get_c2h_bufsz(15);</t>
  </si>
  <si>
    <t xml:space="preserve">C2H descriptor span for video buffers: fixed to c2h_bufsz_pool[15] = 16384, matching the queue's prefetch bufsz_idx 15, so every buffer on the queue uses the same span.</t>
  </si>
  <si>
    <t xml:space="preserve">rx_desc_count = sum over segments of ceil(sg_dma_len(seg) / 16384)</t>
  </si>
  <si>
    <t xml:space="preserve">iwfg_add_user_buf() -&gt; iwfg_update_rx_bufsz_idx(), iwfg_map_sg_to_rx_descs()</t>
  </si>
  <si>
    <t xml:space="preserve">Deriving it from the first SG length (old behaviour) differed per buffer and created periodic gaps. Logged as 'c2h_buf_size: %u'.</t>
  </si>
  <si>
    <t xml:space="preserve">DRV-025</t>
  </si>
  <si>
    <t xml:space="preserve">iwfg_qdma_c2h_start</t>
  </si>
  <si>
    <t xml:space="preserve">void iwfg_qdma_c2h_start(struct iwfg_private *priv, struct iwfg_cdev *icdev)</t>
  </si>
  <si>
    <t xml:space="preserve">C2H stream start at open: stream_active=1, writes C2H_CTRL = 0, and sets H2C_CTRL.VID_OUT_SEL.</t>
  </si>
  <si>
    <t xml:space="preserve">iwfg_open() for the C2H node</t>
  </si>
  <si>
    <t xml:space="preserve">Log: 'C2H streaming started'. The actual START bit is set later by iwfg_rx_roll().</t>
  </si>
  <si>
    <t xml:space="preserve">DRV-026</t>
  </si>
  <si>
    <t xml:space="preserve">iwfg_qdma_c2h_stop</t>
  </si>
  <si>
    <t xml:space="preserve">void iwfg_qdma_c2h_stop(struct iwfg_private *priv, struct iwfg_cdev *icdev)</t>
  </si>
  <si>
    <t xml:space="preserve">C2H stream stop at close: stream_active=0, clears C2H_CTRL.START, clears is_video_locked.</t>
  </si>
  <si>
    <t xml:space="preserve">iwfg_release() for the C2H node</t>
  </si>
  <si>
    <t xml:space="preserve">Does not clear VID_OUT_SEL.</t>
  </si>
  <si>
    <t xml:space="preserve">DRV-027</t>
  </si>
  <si>
    <t xml:space="preserve">iwfg_qdma_audio_start</t>
  </si>
  <si>
    <t xml:space="preserve">void iwfg_qdma_audio_start(struct iwfg_private *priv, struct iwfg_cdev *icdev)</t>
  </si>
  <si>
    <t xml:space="preserve">Audio stream start: stream_active=1, AUD_CTRL = 0.</t>
  </si>
  <si>
    <t xml:space="preserve">iwfg_open() when icdev-&gt;is_audio</t>
  </si>
  <si>
    <t xml:space="preserve">No audio node is created by the current probe.</t>
  </si>
  <si>
    <t xml:space="preserve">DRV-028</t>
  </si>
  <si>
    <t xml:space="preserve">iwfg_qdma_audio_stop</t>
  </si>
  <si>
    <t xml:space="preserve">void iwfg_qdma_audio_stop(struct iwfg_private *priv, struct iwfg_cdev *icdev)</t>
  </si>
  <si>
    <t xml:space="preserve">Audio stream stop: stream_active=0, AUD_CTRL = 0, AUD_BUF_SIZE = 0, is_audio_locked=false.</t>
  </si>
  <si>
    <t xml:space="preserve">iwfg_release() when icdev-&gt;is_audio</t>
  </si>
  <si>
    <t xml:space="preserve">DRV-029</t>
  </si>
  <si>
    <t xml:space="preserve">iwfg_add_dma_alloc_buf</t>
  </si>
  <si>
    <t xml:space="preserve">int iwfg_add_dma_alloc_buf(struct iwfg_private *priv, struct iwfg_user_buf *user_buf_req)</t>
  </si>
  <si>
    <t xml:space="preserve">ARM-only: allocates contiguous CMA pages (dma_alloc_from_contiguous), builds an sg_table, maps it for the QDMA, builds RX and TX descriptor lists and auto-exports a DMA-BUF.</t>
  </si>
  <si>
    <t xml:space="preserve">priv, user_buf_req (size, is_chunked, chunk_size)</t>
  </si>
  <si>
    <t xml:space="preserve">0; -EINVAL; -ENOMEM (any failure)</t>
  </si>
  <si>
    <t xml:space="preserve">aligned_size = PAGE_ALIGN(size); num_pages = aligned_size / PAGE_SIZE</t>
  </si>
  <si>
    <t xml:space="preserve">bytes, pages</t>
  </si>
  <si>
    <t xml:space="preserve">IWFG_IOCTL_ADD_BUF (IWFG_BUF_TYPE_DMA_ALLOC, CONFIG_ARM/ARM64 only)</t>
  </si>
  <si>
    <t xml:space="preserve">Inline -EOPNOTSUPP stub on other architectures (iwfg_dma.h:200). As written it references priv-&gt;dma_buf_list and priv-&gt;stream_active (not members of struct iwfg_private) and calls iwfg_update_rx_bufsz_idx with 2 args, and it never writes buf_index/dmabuf_fd back.</t>
  </si>
  <si>
    <t xml:space="preserve">DRV-030</t>
  </si>
  <si>
    <t xml:space="preserve">iwfg_add_dma_import_buf</t>
  </si>
  <si>
    <t xml:space="preserve">int iwfg_add_dma_import_buf(struct iwfg_private *priv, struct iwfg_user_buf *user_buf_req)</t>
  </si>
  <si>
    <t xml:space="preserve">ARM-only: imports an external DMA-BUF (dma_buf_get/attach/map_attachment) and builds RX/TX descriptor lists over its sg_table.</t>
  </si>
  <si>
    <t xml:space="preserve">priv, user_buf_req (import_fd, is_chunked, chunk_size)</t>
  </si>
  <si>
    <t xml:space="preserve">0; -EINVAL (import_fd &lt; 0); PTR_ERR from dma-buf calls; -ENOMEM</t>
  </si>
  <si>
    <t xml:space="preserve">IWFG_IOCTL_ADD_BUF (IWFG_BUF_TYPE_DMA_IMPORT, CONFIG_ARM/ARM64 only)</t>
  </si>
  <si>
    <t xml:space="preserve">Inline -EOPNOTSUPP stub on other architectures (iwfg_dma.h:206). Same priv-&gt;dma_buf_list/stream_active and 2-argument iwfg_update_rx_bufsz_idx references as the alloc path.</t>
  </si>
  <si>
    <t xml:space="preserve">DRV-031</t>
  </si>
  <si>
    <t xml:space="preserve">static inline int iwfg_add_dma_alloc_buf(struct iwfg_private *priv, struct iwfg_user_buf *user_buf_req)</t>
  </si>
  <si>
    <t xml:space="preserve">Non-ARM inline stub.</t>
  </si>
  <si>
    <t xml:space="preserve">-EOPNOTSUPP; pr_err 'DMA-BUF alloc (CMA) is only supported on ARM platforms'</t>
  </si>
  <si>
    <t xml:space="preserve">IWFG_IOCTL_ADD_BUF is never routed here on x86 (case compiled out -&gt; -EINVAL)</t>
  </si>
  <si>
    <t xml:space="preserve">01_sdr_workstation_GUI/drivers/iwfg_dma.h</t>
  </si>
  <si>
    <t xml:space="preserve">DRV-032</t>
  </si>
  <si>
    <t xml:space="preserve">static inline int iwfg_add_dma_import_buf(struct iwfg_private *priv, struct iwfg_user_buf *user_buf_req)</t>
  </si>
  <si>
    <t xml:space="preserve">-EOPNOTSUPP; pr_err 'DMA-BUF import is only supported on ARM platforms'</t>
  </si>
  <si>
    <t xml:space="preserve">DRV-033</t>
  </si>
  <si>
    <t xml:space="preserve">iwfg_dmabuf_attach</t>
  </si>
  <si>
    <t xml:space="preserve">static int iwfg_dmabuf_attach(struct dma_buf *dmabuf, struct dma_buf_attachment *attachment)</t>
  </si>
  <si>
    <t xml:space="preserve">dma_buf_ops.attach: debug log only.</t>
  </si>
  <si>
    <t xml:space="preserve">0</t>
  </si>
  <si>
    <t xml:space="preserve">iwfg_dmabuf_ops</t>
  </si>
  <si>
    <t xml:space="preserve">Compiled only under CONFIG_ARM/ARM64.</t>
  </si>
  <si>
    <t xml:space="preserve">01_sdr_workstation_GUI/drivers/iwfg_dmabuf.c</t>
  </si>
  <si>
    <t xml:space="preserve">DRV-034</t>
  </si>
  <si>
    <t xml:space="preserve">iwfg_dmabuf_detach</t>
  </si>
  <si>
    <t xml:space="preserve">static void iwfg_dmabuf_detach(struct dma_buf *dmabuf, struct dma_buf_attachment *attachment)</t>
  </si>
  <si>
    <t xml:space="preserve">dma_buf_ops.detach: debug log only.</t>
  </si>
  <si>
    <t xml:space="preserve">DRV-035</t>
  </si>
  <si>
    <t xml:space="preserve">iwfg_dmabuf_map_dma_buf</t>
  </si>
  <si>
    <t xml:space="preserve">static struct sg_table *iwfg_dmabuf_map_dma_buf(struct dma_buf_attachment *attachment, enum dma_data_direction direction)</t>
  </si>
  <si>
    <t xml:space="preserve">dma_buf_ops.map_dma_buf: builds a fresh page-per-entry sg_table from user_buf_hndl-&gt;pgs and dma_map_sgtable()s it for the importing device.</t>
  </si>
  <si>
    <t xml:space="preserve">sg_table*; ERR_PTR(-EINVAL) if not mapped / no pages / NULL page; ERR_PTR(-ENOMEM)</t>
  </si>
  <si>
    <t xml:space="preserve">DRV-036</t>
  </si>
  <si>
    <t xml:space="preserve">iwfg_dmabuf_unmap_dma_buf</t>
  </si>
  <si>
    <t xml:space="preserve">static void iwfg_dmabuf_unmap_dma_buf(struct dma_buf_attachment *attachment, struct sg_table *table, enum dma_data_direction direction)</t>
  </si>
  <si>
    <t xml:space="preserve">dma_buf_ops.unmap_dma_buf: dma_unmap_sgtable, sg_free_table, kfree.</t>
  </si>
  <si>
    <t xml:space="preserve">DRV-037</t>
  </si>
  <si>
    <t xml:space="preserve">iwfg_dmabuf_release</t>
  </si>
  <si>
    <t xml:space="preserve">static void iwfg_dmabuf_release(struct dma_buf *dmabuf)</t>
  </si>
  <si>
    <t xml:space="preserve">dma_buf_ops.release: clears dmabuf/exported and finalises the reservation object (buffer itself is freed by iwfg_delete_user_buf).</t>
  </si>
  <si>
    <t xml:space="preserve">DRV-038</t>
  </si>
  <si>
    <t xml:space="preserve">iwfg_dmabuf_begin_cpu_access</t>
  </si>
  <si>
    <t xml:space="preserve">static int iwfg_dmabuf_begin_cpu_access(struct dma_buf *dmabuf, enum dma_data_direction direction)</t>
  </si>
  <si>
    <t xml:space="preserve">dma_buf_ops.begin_cpu_access: dma_sync_sg_for_cpu when mapped and not already host-owned.</t>
  </si>
  <si>
    <t xml:space="preserve">DRV-039</t>
  </si>
  <si>
    <t xml:space="preserve">iwfg_dmabuf_end_cpu_access</t>
  </si>
  <si>
    <t xml:space="preserve">static int iwfg_dmabuf_end_cpu_access(struct dma_buf *dmabuf, enum dma_data_direction direction)</t>
  </si>
  <si>
    <t xml:space="preserve">dma_buf_ops.end_cpu_access: dma_sync_sg_for_device when host-owned.</t>
  </si>
  <si>
    <t xml:space="preserve">DRV-040</t>
  </si>
  <si>
    <t xml:space="preserve">iwfg_dmabuf_mmap</t>
  </si>
  <si>
    <t xml:space="preserve">static int iwfg_dmabuf_mmap(struct dma_buf *dmabuf, struct vm_area_struct *vma)</t>
  </si>
  <si>
    <t xml:space="preserve">dma_buf_ops.mmap: remap_pfn_range page by page with write-combine protection.</t>
  </si>
  <si>
    <t xml:space="preserve">0; -EINVAL if offset+size exceeds usr_buf_size; remap error</t>
  </si>
  <si>
    <t xml:space="preserve">DRV-041</t>
  </si>
  <si>
    <t xml:space="preserve">static const struct dma_buf_ops iwfg_dmabuf_ops =</t>
  </si>
  <si>
    <t xml:space="preserve">dma_buf_ops table for exported iwfg buffers.</t>
  </si>
  <si>
    <t xml:space="preserve">iwfg_dmabuf_export()</t>
  </si>
  <si>
    <t xml:space="preserve">CONFIG_ARM/ARM64 only.</t>
  </si>
  <si>
    <t xml:space="preserve">DRV-042</t>
  </si>
  <si>
    <t xml:space="preserve">iwfg_dmabuf_export</t>
  </si>
  <si>
    <t xml:space="preserve">int iwfg_dmabuf_export(struct iwfg_user_page_buf *user_buf_hndl)</t>
  </si>
  <si>
    <t xml:space="preserve">Exports a DMA_ALLOC buffer as a DMA-BUF (exp_name 'iwfg', size PAGE_ALIGN(usr_buf_size), O_RDWR|O_CLOEXEC, own dma_resv).</t>
  </si>
  <si>
    <t xml:space="preserve">0; -EINVAL (USERPTR, DMA_IMPORT, not mapped); -EEXIST (already exported); PTR_ERR(dma_buf_export)</t>
  </si>
  <si>
    <t xml:space="preserve">iwfg_add_dma_alloc_buf(), iwfg_get_dmabuf_fd()</t>
  </si>
  <si>
    <t xml:space="preserve">Non-ARM stub returns -EOPNOTSUPP (iwfg_dmabuf.h:52).</t>
  </si>
  <si>
    <t xml:space="preserve">DRV-043</t>
  </si>
  <si>
    <t xml:space="preserve">iwfg_get_dmabuf_fd</t>
  </si>
  <si>
    <t xml:space="preserve">int iwfg_get_dmabuf_fd(struct iwfg_private *priv, u32 buf_index)</t>
  </si>
  <si>
    <t xml:space="preserve">Finds a buffer by index, exports it if needed and returns a new dma_buf_fd (O_RDWR|O_CLOEXEC).</t>
  </si>
  <si>
    <t xml:space="preserve">priv, buf_index</t>
  </si>
  <si>
    <t xml:space="preserve">fd &gt;= 0; -EINVAL (bad index, USERPTR, DMA_IMPORT); export/dma_buf_fd error</t>
  </si>
  <si>
    <t xml:space="preserve">Not called by any ioctl. Walks priv-&gt;dma_buf_list, which struct iwfg_private does not declare (ARM-only code). Non-ARM stub returns -EOPNOTSUPP (iwfg_dmabuf.h:58).</t>
  </si>
  <si>
    <t xml:space="preserve">DRV-044</t>
  </si>
  <si>
    <t xml:space="preserve">static inline int iwfg_dmabuf_export(struct iwfg_user_page_buf *user_buf_hndl)</t>
  </si>
  <si>
    <t xml:space="preserve">-EOPNOTSUPP; pr_err 'DMA-BUF export is only supported on ARM platforms'</t>
  </si>
  <si>
    <t xml:space="preserve">01_sdr_workstation_GUI/drivers/iwfg_dmabuf.h</t>
  </si>
  <si>
    <t xml:space="preserve">DRV-045</t>
  </si>
  <si>
    <t xml:space="preserve">static inline int iwfg_get_dmabuf_fd(struct iwfg_private *priv, u32 buf_index)</t>
  </si>
  <si>
    <t xml:space="preserve">-EOPNOTSUPP</t>
  </si>
  <si>
    <t xml:space="preserve">DRV-046</t>
  </si>
  <si>
    <t xml:space="preserve">qdma_pack_h2c_st_desc</t>
  </si>
  <si>
    <t xml:space="preserve">void qdma_pack_h2c_st_desc(u8 *data, struct qdma_h2c_st_desc *desc)</t>
  </si>
  <si>
    <t xml:space="preserve">Packs a 16-byte H2C stream descriptor.</t>
  </si>
  <si>
    <t xml:space="preserve">data (ring slot), desc (metadata_len, sof, len, src_addr)</t>
  </si>
  <si>
    <t xml:space="preserve">dw0 = metadata_len[15:0] | sof[31:16] | len[47:32]; dw1 = src_addr</t>
  </si>
  <si>
    <t xml:space="preserve">iwfg_tx_roll()</t>
  </si>
  <si>
    <t xml:space="preserve">01_sdr_workstation_GUI/drivers/qdma_access/qdma_export.c</t>
  </si>
  <si>
    <t xml:space="preserve">DRV-047</t>
  </si>
  <si>
    <t xml:space="preserve">qdma_pack_c2h_st_desc</t>
  </si>
  <si>
    <t xml:space="preserve">void qdma_pack_c2h_st_desc(u8 *data, struct qdma_c2h_st_desc *desc)</t>
  </si>
  <si>
    <t xml:space="preserve">Packs an 8-byte C2H stream descriptor (dst_addr).</t>
  </si>
  <si>
    <t xml:space="preserve">data, desc</t>
  </si>
  <si>
    <t xml:space="preserve">dw = dst_addr</t>
  </si>
  <si>
    <t xml:space="preserve">iwfg_rx_post_user_descs_locked()</t>
  </si>
  <si>
    <t xml:space="preserve">DRV-048</t>
  </si>
  <si>
    <t xml:space="preserve">qdma_unpack_wb_stat</t>
  </si>
  <si>
    <t xml:space="preserve">void qdma_unpack_wb_stat(struct qdma_wb_stat *stat, u8 *data)</t>
  </si>
  <si>
    <t xml:space="preserve">Unpacks the H2C writeback status.</t>
  </si>
  <si>
    <t xml:space="preserve">stat, data (ring-&gt;wb)</t>
  </si>
  <si>
    <t xml:space="preserve">pidx = bits[15:0], cidx = bits[31:16]</t>
  </si>
  <si>
    <t xml:space="preserve">iwfg_tx_reclaim(), iwfg_wait_for_tx() timeout log</t>
  </si>
  <si>
    <t xml:space="preserve">DRV-049</t>
  </si>
  <si>
    <t xml:space="preserve">qdma_unpack_c2h_cmpl</t>
  </si>
  <si>
    <t xml:space="preserve">void qdma_unpack_c2h_cmpl(struct qdma_c2h_cmpl *cmpl, u8 *data)</t>
  </si>
  <si>
    <t xml:space="preserve">Unpacks an 8-byte C2H completion entry.</t>
  </si>
  <si>
    <t xml:space="preserve">cmpl, data</t>
  </si>
  <si>
    <t xml:space="preserve">color = bit1, err = bit2, pkt_len = bits[19:4], sof = bit20, pkt_id = bits[36:21], usr_ovf = bit37</t>
  </si>
  <si>
    <t xml:space="preserve">DRV-050</t>
  </si>
  <si>
    <t xml:space="preserve">qdma_unpack_c2h_cmpl_stat</t>
  </si>
  <si>
    <t xml:space="preserve">void qdma_unpack_c2h_cmpl_stat(struct qdma_c2h_cmpl_stat *stat, u8 *data)</t>
  </si>
  <si>
    <t xml:space="preserve">Unpacks the C2H completion-ring status entry.</t>
  </si>
  <si>
    <t xml:space="preserve">stat, data (last ring slot)</t>
  </si>
  <si>
    <t xml:space="preserve">pidx = bits[15:0], cidx = bits[31:16], color = bit32, intr_state = bits[34:33]</t>
  </si>
  <si>
    <t xml:space="preserve">DRV-051</t>
  </si>
  <si>
    <t xml:space="preserve">iwfg_qdma_set_q_pidx</t>
  </si>
  <si>
    <t xml:space="preserve">static void iwfg_qdma_set_q_pidx(unsigned long qdma, u16 qid, enum qdma_dir dir, u16 pidx, u8 irq_arm)</t>
  </si>
  <si>
    <t xml:space="preserve">Writes a descriptor producer-index doorbell.</t>
  </si>
  <si>
    <t xml:space="preserve">qdma, qid, dir, pidx, irq_arm</t>
  </si>
  <si>
    <t xml:space="preserve">offset = (dir==C2H ? 0x18008 : 0x18004) + qid*16; val = pidx[15:0] | irq_arm&lt;&lt;16</t>
  </si>
  <si>
    <t xml:space="preserve">iwfg_set_tx_head, iwfg_set_rx_head</t>
  </si>
  <si>
    <t xml:space="preserve">Uses the per-function qid directly in the offset.</t>
  </si>
  <si>
    <t xml:space="preserve">01_sdr_workstation_GUI/drivers/iwfg_hardware.c</t>
  </si>
  <si>
    <t xml:space="preserve">DRV-052</t>
  </si>
  <si>
    <t xml:space="preserve">iwfg_set_tx_head</t>
  </si>
  <si>
    <t xml:space="preserve">void iwfg_set_tx_head(unsigned long qdma, u16 qid, u16 head)</t>
  </si>
  <si>
    <t xml:space="preserve">H2C PIDX doorbell with irq_arm=1.</t>
  </si>
  <si>
    <t xml:space="preserve">qdma, qid, head (next_to_use)</t>
  </si>
  <si>
    <t xml:space="preserve">iwfg_tx_roll (each batch), iwfg_tx_reclaim (IRQ re-arm)</t>
  </si>
  <si>
    <t xml:space="preserve">DRV-053</t>
  </si>
  <si>
    <t xml:space="preserve">iwfg_set_rx_head</t>
  </si>
  <si>
    <t xml:space="preserve">void iwfg_set_rx_head(unsigned long qdma, u16 qid, u16 head)</t>
  </si>
  <si>
    <t xml:space="preserve">C2H PIDX doorbell with irq_arm=0.</t>
  </si>
  <si>
    <t xml:space="preserve">iwfg_rx_roll, iwfg_rx_maybe_post_prearm, iwfg_init_rx_queue (0)</t>
  </si>
  <si>
    <t xml:space="preserve">DRV-054</t>
  </si>
  <si>
    <t xml:space="preserve">iwfg_qdma_set_cmpl_cidx</t>
  </si>
  <si>
    <t xml:space="preserve">static void iwfg_qdma_set_cmpl_cidx(unsigned long qdma, u16 qid, u16 cidx, u8 counter_idx, u8 timer_idx, u8 trig_mode, u8 stat_en, u8 irq_arm)</t>
  </si>
  <si>
    <t xml:space="preserve">Writes the completion-ring CIDX doorbell.</t>
  </si>
  <si>
    <t xml:space="preserve">qdma, qid, cidx, counter_idx, timer_idx, trig_mode, stat_en, irq_arm</t>
  </si>
  <si>
    <t xml:space="preserve">offset = 0x1800C + qid*16; val = cidx[15:0] | counter_idx&lt;&lt;16 | timer_idx&lt;&lt;20 | trig_mode&lt;&lt;24 | stat_en&lt;&lt;27 | irq_arm&lt;&lt;28</t>
  </si>
  <si>
    <t xml:space="preserve">iwfg_set_completion_tail</t>
  </si>
  <si>
    <t xml:space="preserve">DRV-055</t>
  </si>
  <si>
    <t xml:space="preserve">void iwfg_set_completion_tail(unsigned long qdma, u16 qid, u16 tail, u8 irq_arm)</t>
  </si>
  <si>
    <t xml:space="preserve">Completion CIDX update with trig_mode=5 ('trigger from: user, count, or timer'), stat_en=1, counter_idx=0, timer_idx=0.</t>
  </si>
  <si>
    <t xml:space="preserve">qdma, qid, tail (next_to_clean), irq_arm</t>
  </si>
  <si>
    <t xml:space="preserve">iwfg_rx_poll (irq_arm=1), iwfg_init_rx_queue (0, irq_arm=1)</t>
  </si>
  <si>
    <t xml:space="preserve">stat_en=1 is required so the status entry carries a valid pidx.</t>
  </si>
  <si>
    <t xml:space="preserve">DRV-056</t>
  </si>
  <si>
    <t xml:space="preserve">print_raw_data</t>
  </si>
  <si>
    <t xml:space="preserve">void print_raw_data(const u8 *data, u32 len)</t>
  </si>
  <si>
    <t xml:space="preserve">Hex-dumps a buffer to the kernel log, 16 bytes per line.</t>
  </si>
  <si>
    <t xml:space="preserve">data, len</t>
  </si>
  <si>
    <t xml:space="preserve">Debug helper; not called by the DMA path.</t>
  </si>
  <si>
    <t xml:space="preserve">01_sdr_workstation_GUI/drivers/iwfg_common.c</t>
  </si>
  <si>
    <t xml:space="preserve">DRV-057</t>
  </si>
  <si>
    <t xml:space="preserve">get_trailing_zeros</t>
  </si>
  <si>
    <t xml:space="preserve">static inline u8 get_trailing_zeros(u64 x)</t>
  </si>
  <si>
    <t xml:space="preserve">Count trailing zeros (FIELD_SHIFT); uses __builtin_ffsll when GCC_COMPILER is defined, else a binary search.</t>
  </si>
  <si>
    <t xml:space="preserve">u64 x</t>
  </si>
  <si>
    <t xml:space="preserve">u8</t>
  </si>
  <si>
    <t xml:space="preserve">01_sdr_workstation_GUI/drivers/iwfg_common.h</t>
  </si>
  <si>
    <t xml:space="preserve">DRV-058</t>
  </si>
  <si>
    <t xml:space="preserve">FIELD_SET</t>
  </si>
  <si>
    <t xml:space="preserve">#define FIELD_SET(mask, val) (((u64)(val) &lt;&lt; FIELD_SHIFT(mask)) &amp; mask)</t>
  </si>
  <si>
    <t xml:space="preserve">Shift a value into a register field mask.</t>
  </si>
  <si>
    <t xml:space="preserve">mask, val</t>
  </si>
  <si>
    <t xml:space="preserve">u64</t>
  </si>
  <si>
    <t xml:space="preserve">((u64)val &lt;&lt; ctz(mask)) &amp; mask</t>
  </si>
  <si>
    <t xml:space="preserve">all register/context packing</t>
  </si>
  <si>
    <t xml:space="preserve">DRV-059</t>
  </si>
  <si>
    <t xml:space="preserve">BITFIELD_GET</t>
  </si>
  <si>
    <t xml:space="preserve">#define BITFIELD_GET(mask, reg) ((reg &amp; mask) &gt;&gt; FIELD_SHIFT(mask))</t>
  </si>
  <si>
    <t xml:space="preserve">Extract a register field.</t>
  </si>
  <si>
    <t xml:space="preserve">mask, reg</t>
  </si>
  <si>
    <t xml:space="preserve">(reg &amp; mask) &gt;&gt; ctz(mask)</t>
  </si>
  <si>
    <t xml:space="preserve">descriptor/completion unpacking, card-config decode</t>
  </si>
  <si>
    <t xml:space="preserve">DRV-060</t>
  </si>
  <si>
    <t xml:space="preserve">IWFG_DRIVER_NAME</t>
  </si>
  <si>
    <t xml:space="preserve">#define IWFG_DRIVER_NAME "iwfg"</t>
  </si>
  <si>
    <t xml:space="preserve">Driver/class/region name.</t>
  </si>
  <si>
    <t xml:space="preserve">"iwfg"</t>
  </si>
  <si>
    <t xml:space="preserve">iwfg_drv_name, class name, IRQ names</t>
  </si>
  <si>
    <t xml:space="preserve">01_sdr_workstation_GUI/drivers/iwfg.h</t>
  </si>
  <si>
    <t xml:space="preserve">DRV-061</t>
  </si>
  <si>
    <t xml:space="preserve">IWFG_MAX_QUEUES</t>
  </si>
  <si>
    <t xml:space="preserve">#define IWFG_MAX_QUEUES 6</t>
  </si>
  <si>
    <t xml:space="preserve">Number of QDMA queues per function (even = RX, odd = TX); also the number of char-dev minors and fmap qmax.</t>
  </si>
  <si>
    <t xml:space="preserve">6</t>
  </si>
  <si>
    <t xml:space="preserve">iwfg_cdev_init, iwfg_init_hardware (qbase = func_id*6), iwfg_acquire_msix_vectors, overflow recovery loop</t>
  </si>
  <si>
    <t xml:space="preserve">DRV-062</t>
  </si>
  <si>
    <t xml:space="preserve">IWFG_MAX_VECTORS</t>
  </si>
  <si>
    <t xml:space="preserve">#define IWFG_MAX_VECTORS IWFG_MAX_QUEUES + 2</t>
  </si>
  <si>
    <t xml:space="preserve">Size of priv-&gt;q_vector[].</t>
  </si>
  <si>
    <t xml:space="preserve">IWFG_MAX_QUEUES + 2 = 8</t>
  </si>
  <si>
    <t xml:space="preserve">Macro body is not parenthesised.</t>
  </si>
  <si>
    <t xml:space="preserve">DRV-063</t>
  </si>
  <si>
    <t xml:space="preserve">IWFG_ERROR_INTR</t>
  </si>
  <si>
    <t xml:space="preserve">#define IWFG_ERROR_INTR 0</t>
  </si>
  <si>
    <t xml:space="preserve">priv-&gt;state bit: error IRQ installed.</t>
  </si>
  <si>
    <t xml:space="preserve">bit 0</t>
  </si>
  <si>
    <t xml:space="preserve">iwfg_init_interrupt/iwfg_clear_interrupt</t>
  </si>
  <si>
    <t xml:space="preserve">DRV-064</t>
  </si>
  <si>
    <t xml:space="preserve">IWFG_USER_INTR</t>
  </si>
  <si>
    <t xml:space="preserve">#define IWFG_USER_INTR 1</t>
  </si>
  <si>
    <t xml:space="preserve">priv-&gt;state bit: user IRQ installed.</t>
  </si>
  <si>
    <t xml:space="preserve">bit 1</t>
  </si>
  <si>
    <t xml:space="preserve">DRV-065</t>
  </si>
  <si>
    <t xml:space="preserve">IWFG_FLAG_MASTER_PF</t>
  </si>
  <si>
    <t xml:space="preserve">#define IWFG_FLAG_MASTER_PF 0</t>
  </si>
  <si>
    <t xml:space="preserve">priv-&gt;flags bit set when PCI function 0 (master PF).</t>
  </si>
  <si>
    <t xml:space="preserve">iwfg_probe, iwfg_init_hardware (CSR init), iwfg_acquire_msix_vectors, iwfg_init_interrupt</t>
  </si>
  <si>
    <t xml:space="preserve">DRV-066</t>
  </si>
  <si>
    <t xml:space="preserve">IWFG_CDEV_NAME_MAXLEN</t>
  </si>
  <si>
    <t xml:space="preserve">#define IWFG_CDEV_NAME_MAXLEN 32</t>
  </si>
  <si>
    <t xml:space="preserve">Max length of iwfg_cdev.name.</t>
  </si>
  <si>
    <t xml:space="preserve">DRV-067</t>
  </si>
  <si>
    <t xml:space="preserve">iwfg_cdev</t>
  </si>
  <si>
    <t xml:space="preserve">struct iwfg_cdev</t>
  </si>
  <si>
    <t xml:space="preserve">Per-node state: one per /dev/iwfgN.</t>
  </si>
  <si>
    <t xml:space="preserve">minor, cdevno, sys_device, cdev, qid, direction, stream_id, priv, is_audio, dma_buf_list, stream_active, is_video_locked, is_audio_locked, name</t>
  </si>
  <si>
    <t xml:space="preserve">iwfg_open/release/ioctl, iwfg_add_user_buf, c2h/h2c start/stop</t>
  </si>
  <si>
    <t xml:space="preserve">DRV-068</t>
  </si>
  <si>
    <t xml:space="preserve">iwfg_cdev.qid</t>
  </si>
  <si>
    <t xml:space="preserve">u32 qid;</t>
  </si>
  <si>
    <t xml:space="preserve">QDMA queue id of the node (= minor): 0 for C2H, 1 for H2C.</t>
  </si>
  <si>
    <t xml:space="preserve">DRV-069</t>
  </si>
  <si>
    <t xml:space="preserve">iwfg_cdev.direction</t>
  </si>
  <si>
    <t xml:space="preserve">u32 direction;</t>
  </si>
  <si>
    <t xml:space="preserve">DMA_FROM_DEVICE (C2H) or DMA_TO_DEVICE (H2C); decides the transfer direction for every ioctl.</t>
  </si>
  <si>
    <t xml:space="preserve">DRV-070</t>
  </si>
  <si>
    <t xml:space="preserve">iwfg_cdev.stream_id</t>
  </si>
  <si>
    <t xml:space="preserve">u32 stream_id;</t>
  </si>
  <si>
    <t xml:space="preserve">Stream index used to address the PL register block (stream_id * 0x1000).</t>
  </si>
  <si>
    <t xml:space="preserve">0 for both nodes</t>
  </si>
  <si>
    <t xml:space="preserve">DRV-071</t>
  </si>
  <si>
    <t xml:space="preserve">iwfg_cdev.dma_buf_list</t>
  </si>
  <si>
    <t xml:space="preserve">struct list_head dma_buf_list;</t>
  </si>
  <si>
    <t xml:space="preserve">List of registered struct iwfg_user_page_buf; buf_index is a position in this list.</t>
  </si>
  <si>
    <t xml:space="preserve">Re-initialised in every iwfg_open(); emptied by iwfg_delete_user_buf() at close.</t>
  </si>
  <si>
    <t xml:space="preserve">DRV-072</t>
  </si>
  <si>
    <t xml:space="preserve">iwfg_cdev.stream_active</t>
  </si>
  <si>
    <t xml:space="preserve">atomic_t stream_active;</t>
  </si>
  <si>
    <t xml:space="preserve">1 while the node's stream is started (set by c2h/h2c/audio start, cleared by stop and iwfg_delete_user_buf).</t>
  </si>
  <si>
    <t xml:space="preserve">iwfg_open/iwfg_release (reset decision), iwfg_qdma_h2c_stop (other-stream check)</t>
  </si>
  <si>
    <t xml:space="preserve">DRV-073</t>
  </si>
  <si>
    <t xml:space="preserve">iwfg_cdev.is_video_locked</t>
  </si>
  <si>
    <t xml:space="preserve">bool is_video_locked;</t>
  </si>
  <si>
    <t xml:space="preserve">Set after the first C2H buffer registration programs IWFG_C2H_TOT_BUFSZ; later buffers do not reprogram it.</t>
  </si>
  <si>
    <t xml:space="preserve">Cleared only by iwfg_qdma_c2h_stop(); not cleared by the overflow recovery.</t>
  </si>
  <si>
    <t xml:space="preserve">DRV-074</t>
  </si>
  <si>
    <t xml:space="preserve">iwfg_private</t>
  </si>
  <si>
    <t xml:space="preserve">struct iwfg_private</t>
  </si>
  <si>
    <t xml:space="preserve">Driver-wide state for one PCI function.</t>
  </si>
  <si>
    <t xml:space="preserve">pdev, state/flags bitmaps, num_q_vectors, num_tx/rx_queues, tx_lock, rx_lock, q_vector[], queue[], hw, h2c_busy, cdevno_base, num_streams, card-config fields</t>
  </si>
  <si>
    <t xml:space="preserve">all driver code</t>
  </si>
  <si>
    <t xml:space="preserve">DRV-075</t>
  </si>
  <si>
    <t xml:space="preserve">iwfg_private.tx_lock</t>
  </si>
  <si>
    <t xml:space="preserve">spinlock_t tx_lock;</t>
  </si>
  <si>
    <t xml:space="preserve">Spinlock (irqsave) protecting the H2C descriptor ring between iwfg_tx_roll and iwfg_tx_reclaim.</t>
  </si>
  <si>
    <t xml:space="preserve">DRV-076</t>
  </si>
  <si>
    <t xml:space="preserve">iwfg_private.rx_lock</t>
  </si>
  <si>
    <t xml:space="preserve">spinlock_t rx_lock;</t>
  </si>
  <si>
    <t xml:space="preserve">Spinlock (irqsave) protecting the C2H rings and the queue's prearm/user_buf/carry fields.</t>
  </si>
  <si>
    <t xml:space="preserve">DRV-077</t>
  </si>
  <si>
    <t xml:space="preserve">iwfg_private.queue</t>
  </si>
  <si>
    <t xml:space="preserve">struct iwfg_qdma_queue *queue[IWFG_MAX_QUEUES];</t>
  </si>
  <si>
    <t xml:space="preserve">Queue table indexed by qid; NULL when the queue is not initialised.</t>
  </si>
  <si>
    <t xml:space="preserve">Cleared with WRITE_ONCE in iwfg_clear_*_queue(); iwfg_q_handler reads it without READ_ONCE.</t>
  </si>
  <si>
    <t xml:space="preserve">DRV-078</t>
  </si>
  <si>
    <t xml:space="preserve">iwfg_private.h2c_busy</t>
  </si>
  <si>
    <t xml:space="preserve">atomic_t h2c_busy;</t>
  </si>
  <si>
    <t xml:space="preserve">H2C/reset arbitration: 0 = idle, 1 = H2C transfer in progress, 2 = C2H overflow reset in progress.</t>
  </si>
  <si>
    <t xml:space="preserve">iwfg_xmit_data CAS 0-&gt;1; iwfg_rx_poll overflow CAS 0-&gt;2 (forced to 2 after 100 retries)</t>
  </si>
  <si>
    <t xml:space="preserve">iwfg_xmit_data returns -EBUSY when it sees 2</t>
  </si>
  <si>
    <t xml:space="preserve">iwfg_xmit_data, iwfg_rx_poll, wait_for_h2c_idle</t>
  </si>
  <si>
    <t xml:space="preserve">Also reset to 0 by iwfg_init_tx_queue(), by every new iwfg_add_user_buf() registration (iwfg_dma.c:2025) and unconditionally at the end of iwfg_xmit_data(). The forced 2 while an H2C wait is in progress leads to the TX-queue use-after-free - see 30_documentation/developer/DRIVER_OVERFLOW_RECOVERY.md.</t>
  </si>
  <si>
    <t xml:space="preserve">DRV-079</t>
  </si>
  <si>
    <t xml:space="preserve">iwfg_private.num_streams</t>
  </si>
  <si>
    <t xml:space="preserve">u32 num_streams;</t>
  </si>
  <si>
    <t xml:space="preserve">Number of video streams; bounds the user-IRQ status scan.</t>
  </si>
  <si>
    <t xml:space="preserve">iwfg_probe leaves it at 0 (loop breaks before i++), so iwfg_user_thread_fn never scans USER_INTR_STATUS.</t>
  </si>
  <si>
    <t xml:space="preserve">DRV-080</t>
  </si>
  <si>
    <t xml:space="preserve">iwfg_stream_read_reg</t>
  </si>
  <si>
    <t xml:space="preserve">static inline u32 iwfg_stream_read_reg(struct iwfg_hardware *hw, int stream_id, u32 offset)</t>
  </si>
  <si>
    <t xml:space="preserve">Reads a PL user register in a stream's 4 KiB block.</t>
  </si>
  <si>
    <t xml:space="preserve">hw, stream_id, offset</t>
  </si>
  <si>
    <t xml:space="preserve">addr = BAR2 + stream_id * IWFG_VID_STREAM_BRAM_LEN + offset</t>
  </si>
  <si>
    <t xml:space="preserve">iwfg_rx_roll, iwfg_update_rx_bufsz_idx, c2h/h2c start/stop, iwfg_query_stream_params</t>
  </si>
  <si>
    <t xml:space="preserve">DRV-081</t>
  </si>
  <si>
    <t xml:space="preserve">iwfg_stream_write_reg</t>
  </si>
  <si>
    <t xml:space="preserve">static inline void iwfg_stream_write_reg(struct iwfg_hardware *hw, int stream_id, u32 offset, u32 val)</t>
  </si>
  <si>
    <t xml:space="preserve">Writes a PL user register in a stream's 4 KiB block.</t>
  </si>
  <si>
    <t xml:space="preserve">hw, stream_id, offset, val</t>
  </si>
  <si>
    <t xml:space="preserve">addr = BAR2 + stream_id * 0x1000 + offset</t>
  </si>
  <si>
    <t xml:space="preserve">iwfg_rx_roll, iwfg_add_user_buf (TOT_BUFSZ), c2h/h2c/audio start/stop</t>
  </si>
  <si>
    <t xml:space="preserve">DRV-082</t>
  </si>
  <si>
    <t xml:space="preserve">iwfg_tx_desc</t>
  </si>
  <si>
    <t xml:space="preserve">struct iwfg_tx_desc</t>
  </si>
  <si>
    <t xml:space="preserve">List node wrapping one prebuilt H2C stream descriptor (struct qdma_h2c_st_desc).</t>
  </si>
  <si>
    <t xml:space="preserve">iwfg_map_sg_to_tx_descs, iwfg_tx_roll</t>
  </si>
  <si>
    <t xml:space="preserve">DRV-083</t>
  </si>
  <si>
    <t xml:space="preserve">iwfg_rx_desc</t>
  </si>
  <si>
    <t xml:space="preserve">struct iwfg_rx_desc</t>
  </si>
  <si>
    <t xml:space="preserve">List node wrapping one prebuilt C2H stream descriptor (struct qdma_c2h_st_desc: dst_addr).</t>
  </si>
  <si>
    <t xml:space="preserve">iwfg_map_sg_to_rx_descs, iwfg_rx_post_user_descs_locked</t>
  </si>
  <si>
    <t xml:space="preserve">DRV-084</t>
  </si>
  <si>
    <t xml:space="preserve">iwfg_user_page_buf</t>
  </si>
  <si>
    <t xml:space="preserve">struct iwfg_user_page_buf</t>
  </si>
  <si>
    <t xml:space="preserve">Driver handle of one registered buffer: pinned pages, scatterlist, prebuilt TX/RX descriptor lists, fill/completion accounting and wait queue (plus DMA-BUF fields).</t>
  </si>
  <si>
    <t xml:space="preserve">iwfg_add_user_buf, iwfg_xmit_data, iwfg_recv_data, iwfg_rx_poll, iwfg_tx_reclaim, iwfg_delete_user_buf</t>
  </si>
  <si>
    <t xml:space="preserve">lock (spinlock) protects cur_filled_size/total_filled_size/compl_count/ready_to_use.</t>
  </si>
  <si>
    <t xml:space="preserve">DRV-085</t>
  </si>
  <si>
    <t xml:space="preserve">iwfg_user_page_buf.sg_mapped_count</t>
  </si>
  <si>
    <t xml:space="preserve">u32 sg_mapped_count;</t>
  </si>
  <si>
    <t xml:space="preserve">Number of DMA segments returned by dma_map_sg (may be &lt; sg_nents after coalescing); descriptor mapping iterates over this.</t>
  </si>
  <si>
    <t xml:space="preserve">DRV-086</t>
  </si>
  <si>
    <t xml:space="preserve">iwfg_user_page_buf.tx_desc_count</t>
  </si>
  <si>
    <t xml:space="preserve">u32 tx_desc_count;</t>
  </si>
  <si>
    <t xml:space="preserve">Number of prebuilt H2C descriptors; iwfg_xmit_data posts exactly this many per DMA_DATA.</t>
  </si>
  <si>
    <t xml:space="preserve">DRV-087</t>
  </si>
  <si>
    <t xml:space="preserve">iwfg_user_page_buf.rx_desc_count</t>
  </si>
  <si>
    <t xml:space="preserve">u32 rx_desc_count;</t>
  </si>
  <si>
    <t xml:space="preserve">Number of prebuilt C2H descriptors (one per 16 KiB span); prearm needs this many free ring slots.</t>
  </si>
  <si>
    <t xml:space="preserve">DRV-088</t>
  </si>
  <si>
    <t xml:space="preserve">iwfg_user_page_buf.tx_desc_served</t>
  </si>
  <si>
    <t xml:space="preserve">u32 tx_desc_served;</t>
  </si>
  <si>
    <t xml:space="preserve">Start index into tx_desc_list for iwfg_tx_roll.</t>
  </si>
  <si>
    <t xml:space="preserve">Never incremented anywhere (kzalloc'd 0), so every H2C transfer starts at descriptor 0.</t>
  </si>
  <si>
    <t xml:space="preserve">DRV-089</t>
  </si>
  <si>
    <t xml:space="preserve">iwfg_user_page_buf.usr_buf_size</t>
  </si>
  <si>
    <t xml:space="preserve">size_t usr_buf_size;</t>
  </si>
  <si>
    <t xml:space="preserve">Total buffer size; the C2H 'buffer complete' threshold.</t>
  </si>
  <si>
    <t xml:space="preserve">DRV-090</t>
  </si>
  <si>
    <t xml:space="preserve">iwfg_user_page_buf.size_to_fill</t>
  </si>
  <si>
    <t xml:space="preserve">size_t size_to_fill;</t>
  </si>
  <si>
    <t xml:space="preserve">Completion granularity: chunk_size if chunked, else the full size.</t>
  </si>
  <si>
    <t xml:space="preserve">DRV-091</t>
  </si>
  <si>
    <t xml:space="preserve">iwfg_user_page_buf.cur_filled_size</t>
  </si>
  <si>
    <t xml:space="preserve">size_t cur_filled_size;</t>
  </si>
  <si>
    <t xml:space="preserve">Bytes accumulated in the current chunk (C2H).</t>
  </si>
  <si>
    <t xml:space="preserve">DRV-092</t>
  </si>
  <si>
    <t xml:space="preserve">iwfg_user_page_buf.total_filled_size</t>
  </si>
  <si>
    <t xml:space="preserve">size_t total_filled_size;</t>
  </si>
  <si>
    <t xml:space="preserve">Bytes accumulated in the whole buffer (C2H).</t>
  </si>
  <si>
    <t xml:space="preserve">DRV-093</t>
  </si>
  <si>
    <t xml:space="preserve">iwfg_user_page_buf.compl_count</t>
  </si>
  <si>
    <t xml:space="preserve">u32 compl_count;</t>
  </si>
  <si>
    <t xml:space="preserve">Pending chunked completions; a waiter wakes when &gt; 0 and decrements it.</t>
  </si>
  <si>
    <t xml:space="preserve">DRV-094</t>
  </si>
  <si>
    <t xml:space="preserve">iwfg_user_page_buf.req_compls</t>
  </si>
  <si>
    <t xml:space="preserve">u32 req_compls;</t>
  </si>
  <si>
    <t xml:space="preserve">Completions still expected for this buffer pass.</t>
  </si>
  <si>
    <t xml:space="preserve">req_compls = usr_buf_size / size_to_fill</t>
  </si>
  <si>
    <t xml:space="preserve">DRV-095</t>
  </si>
  <si>
    <t xml:space="preserve">iwfg_user_page_buf.ready_to_use</t>
  </si>
  <si>
    <t xml:space="preserve">atomic_t ready_to_use;</t>
  </si>
  <si>
    <t xml:space="preserve">Completion flag: set to 1 by iwfg_rx_poll / iwfg_tx_reclaim, consumed (set 0) by the waiting ioctl.</t>
  </si>
  <si>
    <t xml:space="preserve">DRV-096</t>
  </si>
  <si>
    <t xml:space="preserve">iwfg_user_page_buf.waitq</t>
  </si>
  <si>
    <t xml:space="preserve">wait_queue_head_t waitq;</t>
  </si>
  <si>
    <t xml:space="preserve">Wait queue the DMA_DATA ioctl sleeps on (wait_event_interruptible[_timeout]).</t>
  </si>
  <si>
    <t xml:space="preserve">DRV-097</t>
  </si>
  <si>
    <t xml:space="preserve">iwfg_user_page_buf.fifo_overflow</t>
  </si>
  <si>
    <t xml:space="preserve">bool fifo_overflow;</t>
  </si>
  <si>
    <t xml:space="preserve">Set by the C2H overflow recovery; iwfg_wait_for_data converts it to -EAGAIN and clears it.</t>
  </si>
  <si>
    <t xml:space="preserve">DRV-098</t>
  </si>
  <si>
    <t xml:space="preserve">iwfg_ring</t>
  </si>
  <si>
    <t xml:space="preserve">struct iwfg_ring</t>
  </si>
  <si>
    <t xml:space="preserve">Generic descriptor/completion ring.</t>
  </si>
  <si>
    <t xml:space="preserve">count, desc (coherent VA), wb (writeback/status entry), dma_addr, next_to_use (pidx), next_to_clean (cidx), head, color</t>
  </si>
  <si>
    <t xml:space="preserve">iwfg_qdma_queue.desc_ring / cmpl_ring</t>
  </si>
  <si>
    <t xml:space="preserve">DRV-099</t>
  </si>
  <si>
    <t xml:space="preserve">iwfg_ring.count</t>
  </si>
  <si>
    <t xml:space="preserve">u16 count;</t>
  </si>
  <si>
    <t xml:space="preserve">Ring size from rngcnt_pool (16384 at index 15); the last entry holds the writeback/status, so real_count = count - 1.</t>
  </si>
  <si>
    <t xml:space="preserve">DRV-100</t>
  </si>
  <si>
    <t xml:space="preserve">iwfg_ring.next_to_use</t>
  </si>
  <si>
    <t xml:space="preserve">u16 next_to_use;</t>
  </si>
  <si>
    <t xml:space="preserve">Software producer index (pidx) written to the doorbell.</t>
  </si>
  <si>
    <t xml:space="preserve">DRV-101</t>
  </si>
  <si>
    <t xml:space="preserve">iwfg_ring.next_to_clean</t>
  </si>
  <si>
    <t xml:space="preserve">u16 next_to_clean;</t>
  </si>
  <si>
    <t xml:space="preserve">Software consumer index (cidx), advanced from the H2C writeback or C2H completions.</t>
  </si>
  <si>
    <t xml:space="preserve">DRV-102</t>
  </si>
  <si>
    <t xml:space="preserve">iwfg_ring.color</t>
  </si>
  <si>
    <t xml:space="preserve">u8 color;</t>
  </si>
  <si>
    <t xml:space="preserve">Expected completion color; flipped on wrap in iwfg_rx_poll. Desc rings start 0, completion ring starts 1.</t>
  </si>
  <si>
    <t xml:space="preserve">DRV-103</t>
  </si>
  <si>
    <t xml:space="preserve">iwfg_qdma_queue</t>
  </si>
  <si>
    <t xml:space="preserve">struct iwfg_qdma_queue</t>
  </si>
  <si>
    <t xml:space="preserve">One QDMA queue: rings, vector, bound user buffer, C2H prearm state and the IRQ work item.</t>
  </si>
  <si>
    <t xml:space="preserve">priv-&gt;queue[qid]</t>
  </si>
  <si>
    <t xml:space="preserve">DRV-104</t>
  </si>
  <si>
    <t xml:space="preserve">iwfg_qdma_queue.user_buf</t>
  </si>
  <si>
    <t xml:space="preserve">struct iwfg_user_page_buf *user_buf;</t>
  </si>
  <si>
    <t xml:space="preserve">Buffer currently bound to the queue (being filled/sent).</t>
  </si>
  <si>
    <t xml:space="preserve">H2C: set by iwfg_xmit_data before h2c_busy is acquired. C2H: swapped to the prearm buffer at the buffer boundary in iwfg_rx_poll.</t>
  </si>
  <si>
    <t xml:space="preserve">DRV-105</t>
  </si>
  <si>
    <t xml:space="preserve">iwfg_qdma_queue.prearm_user_buf</t>
  </si>
  <si>
    <t xml:space="preserve">struct iwfg_user_page_buf *prearm_user_buf;</t>
  </si>
  <si>
    <t xml:space="preserve">C2H: next buffer to arm at the boundary.</t>
  </si>
  <si>
    <t xml:space="preserve">DRV-106</t>
  </si>
  <si>
    <t xml:space="preserve">iwfg_qdma_queue.prearm_posted</t>
  </si>
  <si>
    <t xml:space="preserve">bool prearm_posted;</t>
  </si>
  <si>
    <t xml:space="preserve">C2H: true once prearm_user_buf's descriptors are already in the QDMA ring.</t>
  </si>
  <si>
    <t xml:space="preserve">DRV-107</t>
  </si>
  <si>
    <t xml:space="preserve">iwfg_qdma_queue.rx_pending_carry</t>
  </si>
  <si>
    <t xml:space="preserve">size_t rx_pending_carry;</t>
  </si>
  <si>
    <t xml:space="preserve">C2H: overshoot bytes of the previous (non-chunked) buffer, credited to the next active buffer.</t>
  </si>
  <si>
    <t xml:space="preserve">carry = total_accu_len - usr_buf_size</t>
  </si>
  <si>
    <t xml:space="preserve">DRV-108</t>
  </si>
  <si>
    <t xml:space="preserve">iwfg_qdma_queue.intr_work</t>
  </si>
  <si>
    <t xml:space="preserve">struct work_struct intr_work;</t>
  </si>
  <si>
    <t xml:space="preserve">Work item scheduled by iwfg_q_handler: iwfg_rx_poll (C2H) or iwfg_tx_clean (H2C).</t>
  </si>
  <si>
    <t xml:space="preserve">DRV-109</t>
  </si>
  <si>
    <t xml:space="preserve">iwfg_q_vector</t>
  </si>
  <si>
    <t xml:space="preserve">struct iwfg_q_vector</t>
  </si>
  <si>
    <t xml:space="preserve">MSI-X queue vector context (vid, priv).</t>
  </si>
  <si>
    <t xml:space="preserve">iwfg_init_q_vector, iwfg_q_handler</t>
  </si>
  <si>
    <t xml:space="preserve">DRV-110</t>
  </si>
  <si>
    <t xml:space="preserve">iwfg_hardware</t>
  </si>
  <si>
    <t xml:space="preserve">struct iwfg_hardware</t>
  </si>
  <si>
    <t xml:space="preserve">Register handles: qdma (struct qdma_dev* for BAR0 as unsigned long) and addr (BAR2 user-logic mapping).</t>
  </si>
  <si>
    <t xml:space="preserve">all register access</t>
  </si>
  <si>
    <t xml:space="preserve">01_sdr_workstation_GUI/drivers/iwfg_hardware.h</t>
  </si>
  <si>
    <t xml:space="preserve">DRV-111</t>
  </si>
  <si>
    <t xml:space="preserve">iwfg_qdma_h2c_param</t>
  </si>
  <si>
    <t xml:space="preserve">struct iwfg_qdma_h2c_param</t>
  </si>
  <si>
    <t xml:space="preserve">H2C queue init parameters: rngcnt_idx, dma_addr (ring base), vid (MSI-X vector).</t>
  </si>
  <si>
    <t xml:space="preserve">iwfg_init_tx_queue -&gt; iwfg_qdma_init_tx_queue</t>
  </si>
  <si>
    <t xml:space="preserve">DRV-112</t>
  </si>
  <si>
    <t xml:space="preserve">iwfg_qdma_c2h_param</t>
  </si>
  <si>
    <t xml:space="preserve">struct iwfg_qdma_c2h_param</t>
  </si>
  <si>
    <t xml:space="preserve">C2H queue init parameters: bufsz_idx, desc_rngcnt_idx, cmpl_rngcnt_idx, cmpl_desc_sz, desc_dma_addr, cmpl_dma_addr, vid.</t>
  </si>
  <si>
    <t xml:space="preserve">iwfg_init_rx_queue -&gt; iwfg_qdma_init_rx_queue</t>
  </si>
  <si>
    <t xml:space="preserve">DRV-113</t>
  </si>
  <si>
    <t xml:space="preserve">iwfg_read_reg</t>
  </si>
  <si>
    <t xml:space="preserve">static inline u32 iwfg_read_reg(struct iwfg_hardware *hw, u32 offset)</t>
  </si>
  <si>
    <t xml:space="preserve">ioread32 of a BAR2 (PL user logic) register.</t>
  </si>
  <si>
    <t xml:space="preserve">hw, offset</t>
  </si>
  <si>
    <t xml:space="preserve">ioread32(hw-&gt;addr + offset)</t>
  </si>
  <si>
    <t xml:space="preserve">01_sdr_workstation_GUI/drivers/iwfg_register.h</t>
  </si>
  <si>
    <t xml:space="preserve">DRV-114</t>
  </si>
  <si>
    <t xml:space="preserve">iwfg_write_reg</t>
  </si>
  <si>
    <t xml:space="preserve">static inline void iwfg_write_reg(struct iwfg_hardware *hw, u32 offset, u32 val)</t>
  </si>
  <si>
    <t xml:space="preserve">iowrite32 to a BAR2 (PL user logic) register.</t>
  </si>
  <si>
    <t xml:space="preserve">hw, offset, val</t>
  </si>
  <si>
    <t xml:space="preserve">iowrite32(val, hw-&gt;addr + offset)</t>
  </si>
  <si>
    <t xml:space="preserve">iwfg_reset_hardware (0xA0), overflow recovery (0x08, 0x00), iwfg_query_card_config, iwfg_user_thread_fn</t>
  </si>
  <si>
    <t xml:space="preserve">DRV-115</t>
  </si>
  <si>
    <t xml:space="preserve">debug_enable</t>
  </si>
  <si>
    <t xml:space="preserve">static bool debug_enable = false;</t>
  </si>
  <si>
    <t xml:space="preserve">Module parameter (bool, 0644) that only controls an informational print at load.</t>
  </si>
  <si>
    <t xml:space="preserve">insmod iwfg.ko debug_enable=1</t>
  </si>
  <si>
    <t xml:space="preserve">default false</t>
  </si>
  <si>
    <t xml:space="preserve">dev_dbg output still needs dynamic debug ('module iwfg +p').</t>
  </si>
  <si>
    <t xml:space="preserve">01_sdr_workstation_GUI/drivers/iwfg_main.c</t>
  </si>
  <si>
    <t xml:space="preserve">DRV-116</t>
  </si>
  <si>
    <t xml:space="preserve">DRV_VER</t>
  </si>
  <si>
    <t xml:space="preserve">#define DRV_VER "0.1"</t>
  </si>
  <si>
    <t xml:space="preserve">Driver version string reported by MODULE_VERSION and probe/remove logs.</t>
  </si>
  <si>
    <t xml:space="preserve">"0.1"</t>
  </si>
  <si>
    <t xml:space="preserve">DRV-117</t>
  </si>
  <si>
    <t xml:space="preserve">iwfg_pci_tbl</t>
  </si>
  <si>
    <t xml:space="preserve">static const struct pci_device_id iwfg_pci_tbl[] =</t>
  </si>
  <si>
    <t xml:space="preserve">PCI ID table: Xilinx vendor 0x10ee, QDMA PF device IDs 0x9xxx/0xbxxx (Gen1-Gen5, x1-x16, PF0-PF3) plus 0x6aa0.</t>
  </si>
  <si>
    <t xml:space="preserve">pci_driver.id_table, MODULE_DEVICE_TABLE</t>
  </si>
  <si>
    <t xml:space="preserve">0x6a9f is commented out.</t>
  </si>
  <si>
    <t xml:space="preserve">DRV-118</t>
  </si>
  <si>
    <t xml:space="preserve">iwfg_query_stream_params</t>
  </si>
  <si>
    <t xml:space="preserve">static struct iwfg_stream_params iwfg_query_stream_params(struct iwfg_private *priv, int stream_id)</t>
  </si>
  <si>
    <t xml:space="preserve">Sleeps 100 ms, then decodes width/height/bpp from IWFG_CARD_VID_STREAM_PRAM_REG_OFFSET of the given stream.</t>
  </si>
  <si>
    <t xml:space="preserve">priv, stream_id</t>
  </si>
  <si>
    <t xml:space="preserve">struct iwfg_stream_params (by value)</t>
  </si>
  <si>
    <t xml:space="preserve">reg at stream_id*IWFG_VID_STREAM_BRAM_LEN + 0x0C</t>
  </si>
  <si>
    <t xml:space="preserve">IWFG_IOCTL_QUERY_STREAM_PARAMS</t>
  </si>
  <si>
    <t xml:space="preserve">DRV-119</t>
  </si>
  <si>
    <t xml:space="preserve">iwfg_query_card_config</t>
  </si>
  <si>
    <t xml:space="preserve">static void iwfg_query_card_config(struct iwfg_private *priv)</t>
  </si>
  <si>
    <t xml:space="preserve">Raises the card-config query (IWFG_H2C_INTR_REG_OFFSET = BIT0|BIT2), sleeps 100 ms, then reads IWFG_CARD_CONFIG_REG_OFFSET into num_hdmi_inputs/num_hdmi_outputs/has_audio.</t>
  </si>
  <si>
    <t xml:space="preserve">priv</t>
  </si>
  <si>
    <t xml:space="preserve">priv-&gt;num_hdmi_inputs, num_hdmi_outputs, has_audio</t>
  </si>
  <si>
    <t xml:space="preserve">iwfg_probe()</t>
  </si>
  <si>
    <t xml:space="preserve">Values are logged but no longer drive cdev creation (probe always creates one C2H + one H2C node).</t>
  </si>
  <si>
    <t xml:space="preserve">DRV-120</t>
  </si>
  <si>
    <t xml:space="preserve">iwfg_ioctl</t>
  </si>
  <si>
    <t xml:space="preserve">static long iwfg_ioctl(struct file *file, unsigned int cmd, unsigned long arg)</t>
  </si>
  <si>
    <t xml:space="preserve">unlocked_ioctl/compat_ioctl entry: dispatches IWFG_IOCTL_ADD_BUF, IWFG_IOCTL_DMA_DATA and IWFG_IOCTL_QUERY_STREAM_PARAMS; anything else returns -ENOTTY.</t>
  </si>
  <si>
    <t xml:space="preserve">file (private_data = struct iwfg_cdev*), cmd, arg (user pointer)</t>
  </si>
  <si>
    <t xml:space="preserve">0 or negative errno (see each IOCTL row); -ENOTTY for unknown cmds incl. retired STREAM_START/STREAM_STOP</t>
  </si>
  <si>
    <t xml:space="preserve">iwfg_fops</t>
  </si>
  <si>
    <t xml:space="preserve">No mutex: DMA_DATA blocks inside the call, and concurrent ioctls on the same cdev are not serialised by the driver.</t>
  </si>
  <si>
    <t xml:space="preserve">DRV-121</t>
  </si>
  <si>
    <t xml:space="preserve">iwfg_open</t>
  </si>
  <si>
    <t xml:space="preserve">static int iwfg_open(struct inode *inode, struct file *file)</t>
  </si>
  <si>
    <t xml:space="preserve">open(): builds the QDMA queue for the node's direction and starts the stream: C2H -&gt; iwfg_init_rx_queue() + iwfg_qdma_c2h_start() (or audio start); H2C -&gt; iwfg_init_tx_queue() + iwfg_qdma_h2c_start() (sets H2C_CTRL.VID_OUT_SEL).</t>
  </si>
  <si>
    <t xml:space="preserve">inode (container_of -&gt; struct iwfg_cdev), file</t>
  </si>
  <si>
    <t xml:space="preserve">0; -EINVAL (invalid direction); queue-init error (-ENOMEM, -EBUSY from context programming)</t>
  </si>
  <si>
    <t xml:space="preserve">open("/dev/iwfg0") by c2h_stream; open("/dev/iwfg1") by iwfg_h2c (startup and reopen_device())</t>
  </si>
  <si>
    <t xml:space="preserve">Start is skipped if stream_active is already 1. No exclusivity/open count: a second open re-creates the queue (init_*_queue clears an existing one) and re-initialises icdev-&gt;dma_buf_list. H2C start at open is the root-cause fix for 'H2C stalls after the first chunk'.</t>
  </si>
  <si>
    <t xml:space="preserve">DRV-122</t>
  </si>
  <si>
    <t xml:space="preserve">iwfg_release</t>
  </si>
  <si>
    <t xml:space="preserve">static int iwfg_release(struct inode *inode, struct file *file)</t>
  </si>
  <si>
    <t xml:space="preserve">close(): clears the node's queue, stops the stream (c2h_stop / audio_stop / h2c_stop), unpins and frees every registered buffer (iwfg_delete_user_buf), and soft-resets the QDMA (iwfg_reset_hardware) when the closing node is C2H and no cdev still has stream_active==1.</t>
  </si>
  <si>
    <t xml:space="preserve">inode, file</t>
  </si>
  <si>
    <t xml:space="preserve">0 (-EINVAL only for an invalid direction)</t>
  </si>
  <si>
    <t xml:space="preserve">close(fd) in c2h_stream cleanup, iwfg_h2c cleanup/reopen_device()</t>
  </si>
  <si>
    <t xml:space="preserve">H2C close never triggers the global reset (second-run hang fix). The reset is the C2H overflow workaround; if capture closes while H2C is still open, no reset happens - hence the GUI's ordered stop (transmit first). See 30_documentation/developer/DRIVER_OVERFLOW_RECOVERY.md.</t>
  </si>
  <si>
    <t xml:space="preserve">DRV-123</t>
  </si>
  <si>
    <t xml:space="preserve">static const struct file_operations iwfg_fops =</t>
  </si>
  <si>
    <t xml:space="preserve">Character-device operations for /dev/iwfg0 and /dev/iwfg1.</t>
  </si>
  <si>
    <t xml:space="preserve">.open=iwfg_open, .release=iwfg_release, .unlocked_ioctl=iwfg_ioctl, .compat_ioctl=iwfg_ioctl (CONFIG_COMPAT)</t>
  </si>
  <si>
    <t xml:space="preserve">iwfg_cdev_create() cdev_init()</t>
  </si>
  <si>
    <t xml:space="preserve">No read/write/poll/mmap: all data moves through IWFG_IOCTL_DMA_DATA. A poll() on the node is therefore not supported (DmaSource handles POLLNVAL).</t>
  </si>
  <si>
    <t xml:space="preserve">DRV-124</t>
  </si>
  <si>
    <t xml:space="preserve">iwfg_cdev_destroy</t>
  </si>
  <si>
    <t xml:space="preserve">static void iwfg_cdev_destroy(struct iwfg_private *priv)</t>
  </si>
  <si>
    <t xml:space="preserve">device_destroy + cdev_del + kfree for every cdev on priv-&gt;cdev_list.</t>
  </si>
  <si>
    <t xml:space="preserve">iwfg_probe() error path, iwfg_remove()</t>
  </si>
  <si>
    <t xml:space="preserve">DRV-125</t>
  </si>
  <si>
    <t xml:space="preserve">iwfg_cdev_create</t>
  </si>
  <si>
    <t xml:space="preserve">static int iwfg_cdev_create(struct iwfg_private *priv, u32 dma_direction, int minor, int stream_id, bool is_audio)</t>
  </si>
  <si>
    <t xml:space="preserve">Allocates one struct iwfg_cdev, sets direction/qid(=minor)/stream_id, cdev_add()s it and device_create()s /dev/iwfg&lt;minor&gt;.</t>
  </si>
  <si>
    <t xml:space="preserve">priv, dma_direction (DMA_FROM_DEVICE/DMA_TO_DEVICE), minor (= qid), stream_id, is_audio</t>
  </si>
  <si>
    <t xml:space="preserve">0; -ENOMEM; -ENOSPC (minor &gt;= IWFG_MAX_QUEUES); cdev_add/device_create error</t>
  </si>
  <si>
    <t xml:space="preserve">name = snprintf("%s%d", "iwfg", minor); cdevno = MKDEV(MAJOR(cdevno_base), minor)</t>
  </si>
  <si>
    <t xml:space="preserve">stream_active starts at 0.</t>
  </si>
  <si>
    <t xml:space="preserve">DRV-126</t>
  </si>
  <si>
    <t xml:space="preserve">iwfg_cdev_init</t>
  </si>
  <si>
    <t xml:space="preserve">static int iwfg_cdev_init(struct iwfg_private *priv)</t>
  </si>
  <si>
    <t xml:space="preserve">Creates the 'iwfg' device class (kernel-version dependent class_create) and allocates a char-dev region of IWFG_MAX_QUEUES minors.</t>
  </si>
  <si>
    <t xml:space="preserve">0; -ENODEV (class_create failed); alloc_chrdev_region error</t>
  </si>
  <si>
    <t xml:space="preserve">iwfg_class is a file-scope static.</t>
  </si>
  <si>
    <t xml:space="preserve">DRV-127</t>
  </si>
  <si>
    <t xml:space="preserve">iwfg_cdev_cleanup</t>
  </si>
  <si>
    <t xml:space="preserve">static void iwfg_cdev_cleanup(struct iwfg_private *priv)</t>
  </si>
  <si>
    <t xml:space="preserve">Unregisters the char-dev region and destroys the class.</t>
  </si>
  <si>
    <t xml:space="preserve">DRV-128</t>
  </si>
  <si>
    <t xml:space="preserve">iwfg_probe</t>
  </si>
  <si>
    <t xml:space="preserve">static int iwfg_probe(struct pci_dev *pdev, const struct pci_device_id *ent)</t>
  </si>
  <si>
    <t xml:space="preserve">PCI probe: enables the device, sets DMA masks (64-bit streaming, 32-bit coherent for rings), requests BARs, enables relaxed ordering + extended tags, bus master, MRRS 512, allocates MSI-X (iwfg_init_capacity), maps BAR2/BAR0 and programs QDMA (iwfg_init_hardware), installs IRQs, queries card config, creates /dev/iwfg0 (C2H, qid 0) and /dev/iwfg1 (H2C, qid 1).</t>
  </si>
  <si>
    <t xml:space="preserve">pdev, ent (iwfg_pci_tbl match)</t>
  </si>
  <si>
    <t xml:space="preserve">0; -ENOMEM; pci/DMA/IRQ/context errors</t>
  </si>
  <si>
    <t xml:space="preserve">pci_driver.probe</t>
  </si>
  <si>
    <t xml:space="preserve">PF function 0 is the master PF (IWFG_FLAG_MASTER_PF) and is the only one that gets CSR init and interrupts. The C2H creation loop breaks before i++, so priv-&gt;num_streams is set to 0. If pci_enable_device_mem fails, priv is not freed.</t>
  </si>
  <si>
    <t xml:space="preserve">DRV-129</t>
  </si>
  <si>
    <t xml:space="preserve">/dev/iwfg0</t>
  </si>
  <si>
    <t xml:space="preserve">rv = iwfg_cdev_create(priv, DMA_FROM_DEVICE, j, i, false);</t>
  </si>
  <si>
    <t xml:space="preserve">C2H device node: qid/minor 0, stream_id 0, direction DMA_FROM_DEVICE.</t>
  </si>
  <si>
    <t xml:space="preserve">c2h_stream default device; BackendConfig.c2hDevice</t>
  </si>
  <si>
    <t xml:space="preserve">Name built by snprintf("%s%d", iwfg_drv_name, minor). "/dev/iwfg" does not exist.</t>
  </si>
  <si>
    <t xml:space="preserve">DRV-130</t>
  </si>
  <si>
    <t xml:space="preserve">/dev/iwfg1</t>
  </si>
  <si>
    <t xml:space="preserve">rv = iwfg_cdev_create(priv, DMA_TO_DEVICE, 1, 0, false);</t>
  </si>
  <si>
    <t xml:space="preserve">H2C device node: qid/minor 1, stream_id 0, direction DMA_TO_DEVICE ('even rx, odd tx' numbering).</t>
  </si>
  <si>
    <t xml:space="preserve">iwfg_h2c DEF_DEVICE; BackendConfig.h2cDevice</t>
  </si>
  <si>
    <t xml:space="preserve">Added because probe previously never created an H2C node although the H2C engine code existed.</t>
  </si>
  <si>
    <t xml:space="preserve">DRV-131</t>
  </si>
  <si>
    <t xml:space="preserve">iwfg_remove</t>
  </si>
  <si>
    <t xml:space="preserve">static void iwfg_remove(struct pci_dev *pdev)</t>
  </si>
  <si>
    <t xml:space="preserve">PCI remove: destroys cdevs and class/region, frees IRQs, clears QDMA hardware and MSI-X capacity, releases BARs and frees priv.</t>
  </si>
  <si>
    <t xml:space="preserve">pdev</t>
  </si>
  <si>
    <t xml:space="preserve">pci_driver.remove / rmmod</t>
  </si>
  <si>
    <t xml:space="preserve">DRV-132</t>
  </si>
  <si>
    <t xml:space="preserve">pci_driver</t>
  </si>
  <si>
    <t xml:space="preserve">static struct pci_driver pci_driver =</t>
  </si>
  <si>
    <t xml:space="preserve">PCI driver registration record.</t>
  </si>
  <si>
    <t xml:space="preserve">.name="iwfg", .id_table=iwfg_pci_tbl, .probe=iwfg_probe, .remove=iwfg_remove</t>
  </si>
  <si>
    <t xml:space="preserve">iwfg_init_module()/iwfg_exit_module()</t>
  </si>
  <si>
    <t xml:space="preserve">DRV-133</t>
  </si>
  <si>
    <t xml:space="preserve">iwfg_init_module</t>
  </si>
  <si>
    <t xml:space="preserve">static int __init iwfg_init_module(void)</t>
  </si>
  <si>
    <t xml:space="preserve">module_init: prints the driver string and registers the PCI driver.</t>
  </si>
  <si>
    <t xml:space="preserve">pci_register_driver() result</t>
  </si>
  <si>
    <t xml:space="preserve">With debug_enable=1 it only prints how to enable dynamic debug.</t>
  </si>
  <si>
    <t xml:space="preserve">DRV-134</t>
  </si>
  <si>
    <t xml:space="preserve">iwfg_exit_module</t>
  </si>
  <si>
    <t xml:space="preserve">static void __exit iwfg_exit_module(void)</t>
  </si>
  <si>
    <t xml:space="preserve">module_exit: unregisters the PCI driver.</t>
  </si>
  <si>
    <t xml:space="preserve">DRV-135</t>
  </si>
  <si>
    <t xml:space="preserve">IWFG_MAX_DESC_BATCH</t>
  </si>
  <si>
    <t xml:space="preserve">#define IWFG_MAX_DESC_BATCH 256</t>
  </si>
  <si>
    <t xml:space="preserve">Descriptors posted per doorbell batch in iwfg_tx_roll before waiting for the ring to drain.</t>
  </si>
  <si>
    <t xml:space="preserve">256 (previously 507, commented out)</t>
  </si>
  <si>
    <t xml:space="preserve">waits per transfer = ceil(tx_desc_count / 256)</t>
  </si>
  <si>
    <t xml:space="preserve">DRV-136</t>
  </si>
  <si>
    <t xml:space="preserve">IWFG_TX_WAIT_SLICE_MS</t>
  </si>
  <si>
    <t xml:space="preserve">#define IWFG_TX_WAIT_SLICE_MS 100</t>
  </si>
  <si>
    <t xml:space="preserve">Wake-up interval of the H2C completion wait; on each expired slice the waiter reconciles the ring against the writeback itself (lost/coalesced MSI-X recovery).</t>
  </si>
  <si>
    <t xml:space="preserve">100</t>
  </si>
  <si>
    <t xml:space="preserve">iwfg_wait_for_tx()</t>
  </si>
  <si>
    <t xml:space="preserve">DRV-137</t>
  </si>
  <si>
    <t xml:space="preserve">IWFG_TX_WAIT_TOTAL_MS</t>
  </si>
  <si>
    <t xml:space="preserve">#define IWFG_TX_WAIT_TOTAL_MS 2000</t>
  </si>
  <si>
    <t xml:space="preserve">Hard ceiling of the H2C completion wait; after it the transfer is declared stuck and -ETIMEDOUT is returned.</t>
  </si>
  <si>
    <t xml:space="preserve">2000</t>
  </si>
  <si>
    <t xml:space="preserve">A stuck transfer means the PL is not accepting the AXI-Stream (tready low): H2C datapath not enabled, DAC/RF path not initialised, clocks/MTS down.</t>
  </si>
  <si>
    <t xml:space="preserve">DRV-138</t>
  </si>
  <si>
    <t xml:space="preserve">iwfg_qdma_queue_BASE_OFFSET</t>
  </si>
  <si>
    <t xml:space="preserve">#define iwfg_qdma_queue_BASE_OFFSET (IWFG_MAX_QUEUES / 2)</t>
  </si>
  <si>
    <t xml:space="preserve">TX queue-id offset macro (IWFG_MAX_QUEUES / 2 = 3).</t>
  </si>
  <si>
    <t xml:space="preserve">Defined but not used by the current code.</t>
  </si>
  <si>
    <t xml:space="preserve">DRV-139</t>
  </si>
  <si>
    <t xml:space="preserve">wait_for_h2c_idle</t>
  </si>
  <si>
    <t xml:space="preserve">static bool wait_for_h2c_idle(atomic_t *h2c_busy, unsigned int max_usecs)</t>
  </si>
  <si>
    <t xml:space="preserve">Busy-waits (udelay(1) + cpu_relax per iteration) until h2c_busy reads 0.</t>
  </si>
  <si>
    <t xml:space="preserve">h2c_busy (atomic_t*), max_usecs</t>
  </si>
  <si>
    <t xml:space="preserve">true if idle, false on timeout</t>
  </si>
  <si>
    <t xml:space="preserve">iwfg_rx_poll() overflow branch (1000 µs, then 100 µs per retry)</t>
  </si>
  <si>
    <t xml:space="preserve">Spins in a work item; does not sleep.</t>
  </si>
  <si>
    <t xml:space="preserve">DRV-140</t>
  </si>
  <si>
    <t xml:space="preserve">iwfg_tx_reclaim</t>
  </si>
  <si>
    <t xml:space="preserve">static void iwfg_tx_reclaim(struct iwfg_qdma_queue *q)</t>
  </si>
  <si>
    <t xml:space="preserve">Reconciles the H2C ring with the hardware writeback: advances next_to_clean to wb.cidx, re-arms the queue IRQ by rewriting the PIDX doorbell, and when the ring is empty sets user_buf-&gt;ready_to_use=1 and wakes the waiting ioctl.</t>
  </si>
  <si>
    <t xml:space="preserve">q (struct iwfg_qdma_queue*)</t>
  </si>
  <si>
    <t xml:space="preserve">loop at most real_count times while wb.cidx != next_to_clean: next_to_clean = (next_to_clean + 1) % real_count</t>
  </si>
  <si>
    <t xml:space="preserve">iwfg_tx_clean() (IRQ work), iwfg_wait_for_tx() (on each expired slice)</t>
  </si>
  <si>
    <t xml:space="preserve">Holds priv-&gt;tx_lock (irqsave). A wb.cidx &gt;= real_count is logged (rate-limited) and ignored; the loop is bounded (second-run CPU-hang hardening). A NULL user_buf still reconciles but skips the wake-up.</t>
  </si>
  <si>
    <t xml:space="preserve">DRV-141</t>
  </si>
  <si>
    <t xml:space="preserve">iwfg_tx_clean</t>
  </si>
  <si>
    <t xml:space="preserve">static void iwfg_tx_clean(struct work_struct *work)</t>
  </si>
  <si>
    <t xml:space="preserve">H2C queue work-item handler (INIT_WORK in iwfg_init_tx_queue); calls iwfg_tx_reclaim().</t>
  </si>
  <si>
    <t xml:space="preserve">iwfg_q_handler() via schedule_work_on()</t>
  </si>
  <si>
    <t xml:space="preserve">DRV-142</t>
  </si>
  <si>
    <t xml:space="preserve">iwfg_wait_for_tx</t>
  </si>
  <si>
    <t xml:space="preserve">static int iwfg_wait_for_tx(struct iwfg_private *priv, struct iwfg_qdma_queue *q)</t>
  </si>
  <si>
    <t xml:space="preserve">Bounded wait for the H2C ring to drain: sleeps in 100 ms slices on user_buf-&gt;waitq; after an empty slice it calls iwfg_tx_reclaim() itself; after 2000 ms it logs the ring state and returns -ETIMEDOUT. On success it consumes the completion (ready_to_use=0, compl_count--).</t>
  </si>
  <si>
    <t xml:space="preserve">0 drained; -ERESTARTSYS on signal; -ETIMEDOUT after IWFG_TX_WAIT_TOTAL_MS; -EINVAL if q-&gt;user_buf is NULL</t>
  </si>
  <si>
    <t xml:space="preserve">timeout after waited_ms += 100 per empty slice reaches 2000</t>
  </si>
  <si>
    <t xml:space="preserve">iwfg_tx_roll() after every batch and after the final batch</t>
  </si>
  <si>
    <t xml:space="preserve">Timeout log: 'H2C completion timeout (%u ms): qid=%u pidx=%u next_to_clean=%u wb.cidx=%u - card is not consuming the stream ...'. Replaces the unbounded iwfg_wait_for_data() on TX only. Known issue: the C2H overflow recovery frees the TX queue (iwfg_clear_tx_queue -&gt; kfree(q)) while an H2C ioctl may still be waiting on it - see 30_documentation/developer/DRIVER_OVERFLOW_RECOVERY.md.</t>
  </si>
  <si>
    <t xml:space="preserve">DRV-143</t>
  </si>
  <si>
    <t xml:space="preserve">iwfg_tx_roll</t>
  </si>
  <si>
    <t xml:space="preserve">static int iwfg_tx_roll(struct iwfg_private *priv, u16 qid, u16 start, u16 desc_count)</t>
  </si>
  <si>
    <t xml:space="preserve">Copies the buffer's prebuilt TX descriptors into the H2C ring starting at index 'start', ringing the doorbell (iwfg_set_tx_head, irq_arm=1) every IWFG_MAX_DESC_BATCH descriptors and waiting for each batch to drain; finally posts and waits for the remainder.</t>
  </si>
  <si>
    <t xml:space="preserve">priv, qid, start (descriptor index), desc_count</t>
  </si>
  <si>
    <t xml:space="preserve">0; -ERESTARTSYS or -ETIMEDOUT from iwfg_wait_for_tx (logged 'TX roll batch wait ended early')</t>
  </si>
  <si>
    <t xml:space="preserve">batches = ceil(desc_count / 256); each batch must fully drain (next_to_use == next_to_clean) before the next is posted</t>
  </si>
  <si>
    <t xml:space="preserve">iwfg_xmit_data()</t>
  </si>
  <si>
    <t xml:space="preserve">Takes priv-&gt;tx_lock (irqsave) per descriptor. No ring free-space check (batch 256 &lt;&lt; 16383 slots). Known issue: the C2H overflow recovery frees the TX queue (iwfg_clear_tx_queue -&gt; kfree(q)) while an H2C ioctl may still be waiting on it - see 30_documentation/developer/DRIVER_OVERFLOW_RECOVERY.md.</t>
  </si>
  <si>
    <t xml:space="preserve">DRV-144</t>
  </si>
  <si>
    <t xml:space="preserve">iwfg_xmit_data</t>
  </si>
  <si>
    <t xml:space="preserve">int iwfg_xmit_data(struct iwfg_private *priv, struct iwfg_user_page_buf *user_buf, u32 qid)</t>
  </si>
  <si>
    <t xml:space="preserve">H2C DMA_DATA implementation: binds the buffer to the TX queue, acquires h2c_busy (CAS 0-&gt;1, bounded), posts the whole TX descriptor list via iwfg_tx_roll, then releases h2c_busy.</t>
  </si>
  <si>
    <t xml:space="preserve">priv, user_buf, qid</t>
  </si>
  <si>
    <t xml:space="preserve">0; -EINVAL (queue NULL); -EBUSY (h2c_busy==2: reset in progress); -ETIMEDOUT (1000 failed CAS retries, or 2 s completion timeout); -ERESTARTSYS (signal)</t>
  </si>
  <si>
    <t xml:space="preserve">start = user_buf-&gt;tx_desc_served (always 0); desc_count = user_buf-&gt;tx_desc_count</t>
  </si>
  <si>
    <t xml:space="preserve">iwfg_ioctl IWFG_IOCTL_DMA_DATA (DMA_TO_DEVICE)</t>
  </si>
  <si>
    <t xml:space="preserve">h2c_busy states 0 idle / 1 busy / 2 reset. CAS loop yields with cond_resched() every 100 retries. q-&gt;user_buf is set BEFORE h2c_busy is acquired, and h2c_busy is set to 0 unconditionally on exit (even if a recovery set it to 2 meanwhile). Error logs hard-code 'qid 1'. Known issue: the C2H overflow recovery frees the TX queue (iwfg_clear_tx_queue -&gt; kfree(q)) while an H2C ioctl may still be waiting on it - see 30_documentation/developer/DRIVER_OVERFLOW_RECOVERY.md.</t>
  </si>
  <si>
    <t xml:space="preserve">DRV-145</t>
  </si>
  <si>
    <t xml:space="preserve">MAX_RETRIES</t>
  </si>
  <si>
    <t xml:space="preserve">const int MAX_RETRIES = 1000;</t>
  </si>
  <si>
    <t xml:space="preserve">Bound on h2c_busy acquisition attempts in iwfg_xmit_data.</t>
  </si>
  <si>
    <t xml:space="preserve">1000</t>
  </si>
  <si>
    <t xml:space="preserve">-ETIMEDOUT when retry_count &gt;= 1000</t>
  </si>
  <si>
    <t xml:space="preserve">DRV-146</t>
  </si>
  <si>
    <t xml:space="preserve">iwfg_map_sg_to_tx_descs</t>
  </si>
  <si>
    <t xml:space="preserve">int iwfg_map_sg_to_tx_descs(struct iwfg_private *priv, struct iwfg_user_page_buf *user_buf_hndl, u32 desc_len)</t>
  </si>
  <si>
    <t xml:space="preserve">Builds the H2C descriptor list for a mapped buffer: each DMA segment longer than desc_len is split into desc_len pieces; sets src_addr, len and metadata_len (=len) and marks the first descriptor sof=1.</t>
  </si>
  <si>
    <t xml:space="preserve">priv, user_buf_hndl (sgl, sg_mapped_count), desc_len</t>
  </si>
  <si>
    <t xml:space="preserve">tx_desc_count = sum over segments of ceil(sg_dma_len(seg) / desc_len)</t>
  </si>
  <si>
    <t xml:space="preserve">iwfg_add_user_buf() (H2C node), iwfg_add_dma_alloc_buf(), iwfg_add_dma_import_buf()</t>
  </si>
  <si>
    <t xml:space="preserve">Counter is u16. On kzalloc failure the partial list is left for the caller's cleanup.</t>
  </si>
  <si>
    <t xml:space="preserve">DRV-147</t>
  </si>
  <si>
    <t xml:space="preserve">iwfg_release_tx_descs</t>
  </si>
  <si>
    <t xml:space="preserve">void iwfg_release_tx_descs(struct iwfg_user_page_buf *user_buf_hndl)</t>
  </si>
  <si>
    <t xml:space="preserve">Frees every entry of a buffer's tx_desc_list.</t>
  </si>
  <si>
    <t xml:space="preserve">iwfg_free_user_buf_hndl, iwfg_delete_user_buf</t>
  </si>
  <si>
    <t xml:space="preserve">DRV-148</t>
  </si>
  <si>
    <t xml:space="preserve">h2c_buf_size</t>
  </si>
  <si>
    <t xml:space="preserve">h2c_buf_size = min_t(u32, sg_dma_len(user_buf_hndl-&gt;sgl), 16384);</t>
  </si>
  <si>
    <t xml:space="preserve">H2C descriptor length chosen at registration: the first DMA segment's length capped at 16384.</t>
  </si>
  <si>
    <t xml:space="preserve">h2c_desc_len = min(sg_dma_len(sgl[0]), 16384)</t>
  </si>
  <si>
    <t xml:space="preserve">iwfg_add_user_buf() -&gt; iwfg_map_sg_to_tx_descs()</t>
  </si>
  <si>
    <t xml:space="preserve">With page-aligned, non-coalesced user pages this is 4096 (one descriptor per page: 1 MiB -&gt; 256 descriptors = one batch, 16 MiB -&gt; 4096 descriptors = 16 batches). Logged as 'h2c_buf_size: %u'.</t>
  </si>
  <si>
    <t xml:space="preserve">DRV-149</t>
  </si>
  <si>
    <t xml:space="preserve">iwfg_qdma_h2c_start</t>
  </si>
  <si>
    <t xml:space="preserve">void iwfg_qdma_h2c_start(struct iwfg_private *priv, struct iwfg_cdev *icdev)</t>
  </si>
  <si>
    <t xml:space="preserve">Enables the PL-side H2C datapath at open: stream_active=1 and H2C_CTRL |= VID_OUT_SEL (bit 0).</t>
  </si>
  <si>
    <t xml:space="preserve">iwfg_open() for H2C nodes</t>
  </si>
  <si>
    <t xml:space="preserve">Root-cause fix for 'H2C stalls after the first chunk': without VID_OUT_SEL nothing in the PL consumed the stream, tready dropped and DMA_DATA hung. Not re-applied after the overflow recovery's QDMA soft reset (see 30_documentation/developer/DRIVER_OVERFLOW_RECOVERY.md). Log: 'H2C streaming enabled (stream %d, H2C_CTRL=0x%08x)'.</t>
  </si>
  <si>
    <t xml:space="preserve">DRV-150</t>
  </si>
  <si>
    <t xml:space="preserve">iwfg_qdma_h2c_stop</t>
  </si>
  <si>
    <t xml:space="preserve">void iwfg_qdma_h2c_stop(struct iwfg_private *priv, struct iwfg_cdev *icdev)</t>
  </si>
  <si>
    <t xml:space="preserve">Marks the H2C stream inactive; clears VID_OUT_SEL only if no other cdev on the same stream_id is active.</t>
  </si>
  <si>
    <t xml:space="preserve">iwfg_release() for H2C nodes</t>
  </si>
  <si>
    <t xml:space="preserve">Keeps VID_OUT_SEL when C2H is still open (c2h_start also depends on it). Log: 'H2C streaming stopped (stream %d, out_sel kept|cleared)'.</t>
  </si>
  <si>
    <t xml:space="preserve">DRV-151</t>
  </si>
  <si>
    <t xml:space="preserve">DEFAULT_MAX_DESC_FETCH</t>
  </si>
  <si>
    <t xml:space="preserve">#define DEFAULT_MAX_DESC_FETCH 6</t>
  </si>
  <si>
    <t xml:space="preserve">QDMA_GLBL_DSC_CFG.MAX_DSC_FETCH value.</t>
  </si>
  <si>
    <t xml:space="preserve">iwfg_qdma_init_csr()</t>
  </si>
  <si>
    <t xml:space="preserve">DRV-152</t>
  </si>
  <si>
    <t xml:space="preserve">DEFAULT_WB_INTVL</t>
  </si>
  <si>
    <t xml:space="preserve">#define DEFAULT_WB_INTVL QDMA_WB_INTVL_4</t>
  </si>
  <si>
    <t xml:space="preserve">QDMA_GLBL_DSC_CFG.WB_ACC_INT (H2C writeback interval).</t>
  </si>
  <si>
    <t xml:space="preserve">QDMA_WB_INTVL_4 (0)</t>
  </si>
  <si>
    <t xml:space="preserve">DRV-153</t>
  </si>
  <si>
    <t xml:space="preserve">DEFAULT_PFCH_STOP_THRES</t>
  </si>
  <si>
    <t xml:space="preserve">#define DEFAULT_PFCH_STOP_THRES 256</t>
  </si>
  <si>
    <t xml:space="preserve">QDMA_C2H_PFCH_CFG.PFCH_FL_TH.</t>
  </si>
  <si>
    <t xml:space="preserve">DRV-154</t>
  </si>
  <si>
    <t xml:space="preserve">DEFAULT_PFCH_NUM_ENTRIES_PER_Q</t>
  </si>
  <si>
    <t xml:space="preserve">#define DEFAULT_PFCH_NUM_ENTRIES_PER_Q 8</t>
  </si>
  <si>
    <t xml:space="preserve">QDMA_C2H_PFCH_CFG.NUM_PFCH.</t>
  </si>
  <si>
    <t xml:space="preserve">8</t>
  </si>
  <si>
    <t xml:space="preserve">DRV-155</t>
  </si>
  <si>
    <t xml:space="preserve">DEFAULT_PFCH_MAX_Q_CNT</t>
  </si>
  <si>
    <t xml:space="preserve">#define DEFAULT_PFCH_MAX_Q_CNT 16</t>
  </si>
  <si>
    <t xml:space="preserve">Prefetch queue count default.</t>
  </si>
  <si>
    <t xml:space="preserve">16</t>
  </si>
  <si>
    <t xml:space="preserve">Defined but unused (PFCH_QCNT is derived from PFCH_CACHE_DEPTH &gt;&gt; 1).</t>
  </si>
  <si>
    <t xml:space="preserve">DRV-156</t>
  </si>
  <si>
    <t xml:space="preserve">DEFAULT_C2H_INTR_TIMER_TICK</t>
  </si>
  <si>
    <t xml:space="preserve">#define DEFAULT_C2H_INTR_TIMER_TICK 25</t>
  </si>
  <si>
    <t xml:space="preserve">QDMA_C2H_INT_TIMER_TICK: 25 ticks = 100 ns at a 250 MHz user clock (1 tick = 4 ns).</t>
  </si>
  <si>
    <t xml:space="preserve">25</t>
  </si>
  <si>
    <t xml:space="preserve">DRV-157</t>
  </si>
  <si>
    <t xml:space="preserve">DEFAULT_CMPL_COAL_TIMER_CNT</t>
  </si>
  <si>
    <t xml:space="preserve">#define DEFAULT_CMPL_COAL_TIMER_CNT 5</t>
  </si>
  <si>
    <t xml:space="preserve">QDMA_C2H_WB_COAL_CFG.TICK_CNT.</t>
  </si>
  <si>
    <t xml:space="preserve">5</t>
  </si>
  <si>
    <t xml:space="preserve">DRV-158</t>
  </si>
  <si>
    <t xml:space="preserve">DEFAULT_CMPL_COAL_TIMER_TICK</t>
  </si>
  <si>
    <t xml:space="preserve">#define DEFAULT_CMPL_COAL_TIMER_TICK 25</t>
  </si>
  <si>
    <t xml:space="preserve">QDMA_C2H_WB_COAL_CFG.TICK_VAL (100 ns).</t>
  </si>
  <si>
    <t xml:space="preserve">DRV-159</t>
  </si>
  <si>
    <t xml:space="preserve">DEFAULT_CMPL_COAL_MAX_BUFSZ</t>
  </si>
  <si>
    <t xml:space="preserve">#define DEFAULT_CMPL_COAL_MAX_BUFSZ 32</t>
  </si>
  <si>
    <t xml:space="preserve">Completion coalesce buffer size default.</t>
  </si>
  <si>
    <t xml:space="preserve">Defined but unused (MAX_BUF_SZ is read from C2H_CMPL_COAL_BUF_DEPTH).</t>
  </si>
  <si>
    <t xml:space="preserve">DRV-160</t>
  </si>
  <si>
    <t xml:space="preserve">DEFAULT_H2C_THROT_DATA_THRES</t>
  </si>
  <si>
    <t xml:space="preserve">#define DEFAULT_H2C_THROT_DATA_THRES 0x4000</t>
  </si>
  <si>
    <t xml:space="preserve">QDMA_H2C_REQ_THROT.DATA_THRESH.</t>
  </si>
  <si>
    <t xml:space="preserve">0x4000</t>
  </si>
  <si>
    <t xml:space="preserve">DRV-161</t>
  </si>
  <si>
    <t xml:space="preserve">DEFAULT_THROT_EN_DATA</t>
  </si>
  <si>
    <t xml:space="preserve">#define DEFAULT_THROT_EN_DATA 1</t>
  </si>
  <si>
    <t xml:space="preserve">QDMA_H2C_REQ_THROT.EN_DATA (data throttle on).</t>
  </si>
  <si>
    <t xml:space="preserve">1</t>
  </si>
  <si>
    <t xml:space="preserve">DRV-162</t>
  </si>
  <si>
    <t xml:space="preserve">DEFAULT_THROT_EN_REQ</t>
  </si>
  <si>
    <t xml:space="preserve">#define DEFAULT_THROT_EN_REQ 0</t>
  </si>
  <si>
    <t xml:space="preserve">QDMA_H2C_REQ_THROT.EN_REQ (request throttle off).</t>
  </si>
  <si>
    <t xml:space="preserve">DRV-163</t>
  </si>
  <si>
    <t xml:space="preserve">DEFAULT_H2C_THROT_REQ_THRES</t>
  </si>
  <si>
    <t xml:space="preserve">#define DEFAULT_H2C_THROT_REQ_THRES 0x60</t>
  </si>
  <si>
    <t xml:space="preserve">QDMA_H2C_REQ_THROT.REQ_THRESH.</t>
  </si>
  <si>
    <t xml:space="preserve">0x60</t>
  </si>
  <si>
    <t xml:space="preserve">DRV-164</t>
  </si>
  <si>
    <t xml:space="preserve">rngcnt_pool</t>
  </si>
  <si>
    <t xml:space="preserve">static const u16 rngcnt_pool[QDMA_NUM_DESC_RNGCNT] =</t>
  </si>
  <si>
    <t xml:space="preserve">Descriptor/completion ring-size pool written to QDMA_GLBL_RNG_SZ[0..15]; queues select an index (driver uses 15).</t>
  </si>
  <si>
    <t xml:space="preserve">{4096, 64, 128, 192, 256, 384, 512, 768, 1024, 1536, 3072, 4096, 6144, 8192, 12288, 16384}</t>
  </si>
  <si>
    <t xml:space="preserve">index 15 -&gt; 16384 entries (16383 usable + writeback/status)</t>
  </si>
  <si>
    <t xml:space="preserve">entries</t>
  </si>
  <si>
    <t xml:space="preserve">iwfg_qdma_init_csr(), iwfg_ring_count()</t>
  </si>
  <si>
    <t xml:space="preserve">DRV-165</t>
  </si>
  <si>
    <t xml:space="preserve">c2h_bufsz_pool</t>
  </si>
  <si>
    <t xml:space="preserve">static const u16 c2h_bufsz_pool[QDMA_NUM_C2H_BUFSZ] =</t>
  </si>
  <si>
    <t xml:space="preserve">C2H buffer-size pool written to QDMA_C2H_BUF_SZ[0..15]; the C2H prefetch context uses index 15.</t>
  </si>
  <si>
    <t xml:space="preserve">{4096, 256, 512, 1024, 2048, 3968, 4096, 4096, 4096, 4096, 4096, 4096, 4096, 8192, 9018, 16384}</t>
  </si>
  <si>
    <t xml:space="preserve">index 15 -&gt; 16384 bytes per C2H descriptor</t>
  </si>
  <si>
    <t xml:space="preserve">iwfg_qdma_init_csr(), iwfg_get_c2h_bufsz(), iwfg_get_c2h_bufsz_idx()</t>
  </si>
  <si>
    <t xml:space="preserve">DRV-166</t>
  </si>
  <si>
    <t xml:space="preserve">c2h_timer_pool</t>
  </si>
  <si>
    <t xml:space="preserve">static const u16 c2h_timer_pool[QDMA_NUM_C2H_TIMERS] =</t>
  </si>
  <si>
    <t xml:space="preserve">C2H completion timer pool written to QDMA_C2H_TIMER_CNT[0..15] (in C2H_INT_TIMER_TICK units); completion context uses timer_idx 0.</t>
  </si>
  <si>
    <t xml:space="preserve">{10, 2, 4, 5, 8, 10, 15, 20, 25, 30, 50, 75, 100, 125, 150, 200}</t>
  </si>
  <si>
    <t xml:space="preserve">timer_idx 0 -&gt; 10 ticks x 100 ns = 1 µs</t>
  </si>
  <si>
    <t xml:space="preserve">timer ticks</t>
  </si>
  <si>
    <t xml:space="preserve">DRV-167</t>
  </si>
  <si>
    <t xml:space="preserve">c2h_thres_pool</t>
  </si>
  <si>
    <t xml:space="preserve">static const u16 c2h_thres_pool[QDMA_NUM_C2H_COUNTERS] =</t>
  </si>
  <si>
    <t xml:space="preserve">C2H completion counter-threshold pool written to QDMA_C2H_CNT_TH[0..15]; completion context uses counter_idx 0.</t>
  </si>
  <si>
    <t xml:space="preserve">{64, 2, 4, 8, 16, 24, 32, 48, 80, 96, 112, 128, 144, 160, 176, 192}</t>
  </si>
  <si>
    <t xml:space="preserve">counter_idx 0 -&gt; 64 completions</t>
  </si>
  <si>
    <t xml:space="preserve">completion entries</t>
  </si>
  <si>
    <t xml:space="preserve">DRV-168</t>
  </si>
  <si>
    <t xml:space="preserve">iwfg_ring_count</t>
  </si>
  <si>
    <t xml:space="preserve">u16 iwfg_ring_count(u8 idx)</t>
  </si>
  <si>
    <t xml:space="preserve">Ring size for a pool index.</t>
  </si>
  <si>
    <t xml:space="preserve">idx</t>
  </si>
  <si>
    <t xml:space="preserve">rngcnt_pool[idx], or 0 if idx &gt;= 16</t>
  </si>
  <si>
    <t xml:space="preserve">iwfg_init_tx_queue, iwfg_init_rx_queue</t>
  </si>
  <si>
    <t xml:space="preserve">DRV-169</t>
  </si>
  <si>
    <t xml:space="preserve">iwfg_get_c2h_bufsz</t>
  </si>
  <si>
    <t xml:space="preserve">u16 iwfg_get_c2h_bufsz(u8 idx)</t>
  </si>
  <si>
    <t xml:space="preserve">C2H buffer size for a pool index.</t>
  </si>
  <si>
    <t xml:space="preserve">c2h_bufsz_pool[idx], or 0 if idx &gt;= 16</t>
  </si>
  <si>
    <t xml:space="preserve">iwfg_add_user_buf (index 15), iwfg_update_rx_bufsz_idx</t>
  </si>
  <si>
    <t xml:space="preserve">DRV-170</t>
  </si>
  <si>
    <t xml:space="preserve">iwfg_get_c2h_bufsz_idx</t>
  </si>
  <si>
    <t xml:space="preserve">u8 iwfg_get_c2h_bufsz_idx(u32 dma_bufsz)</t>
  </si>
  <si>
    <t xml:space="preserve">Largest pool index whose size is &lt;= dma_bufsz (scans 15 down to 0).</t>
  </si>
  <si>
    <t xml:space="preserve">dma_bufsz</t>
  </si>
  <si>
    <t xml:space="preserve">index (0 if none)</t>
  </si>
  <si>
    <t xml:space="preserve">max i such that c2h_bufsz_pool[i] &lt;= dma_bufsz; 16384 -&gt; 15</t>
  </si>
  <si>
    <t xml:space="preserve">iwfg_update_rx_bufsz_idx()</t>
  </si>
  <si>
    <t xml:space="preserve">DRV-171</t>
  </si>
  <si>
    <t xml:space="preserve">iwfg_qdma_init_csr</t>
  </si>
  <si>
    <t xml:space="preserve">static void iwfg_qdma_init_csr(struct qdma_dev *qdev)</t>
  </si>
  <si>
    <t xml:space="preserve">Writes QDMA global CSRs (master PF only): ring-size pool, C2H buffer-size pool, C2H timer tick (25), timer and threshold pools, GLBL_DSC_CFG, C2H_PFCH_CFG (from PFCH_CACHE_DEPTH), C2H_WB_COAL_CFG (from CMPL_COAL_BUF_DEPTH) and H2C_REQ_THROT.</t>
  </si>
  <si>
    <t xml:space="preserve">qdev</t>
  </si>
  <si>
    <t xml:space="preserve">PFCH_QCNT = depth &gt;&gt; 1; EVT_QCNT_TH = (depth &gt;&gt; 1) - 2; offsets: GLBL_RNG_SZ + 4i, C2H_BUF_SZ + 4i, C2H_TIMER_CNT + 4i, C2H_CNT_TH + 4i</t>
  </si>
  <si>
    <t xml:space="preserve">iwfg_init_hardware()</t>
  </si>
  <si>
    <t xml:space="preserve">Comment TODO: MAX_BUF_SZ should per the QDMA document be buf_depth - 2; code (like libqdma) writes buf_depth.</t>
  </si>
  <si>
    <t xml:space="preserve">DRV-172</t>
  </si>
  <si>
    <t xml:space="preserve">iwfg_init_hardware</t>
  </si>
  <si>
    <t xml:space="preserve">int iwfg_init_hardware(struct iwfg_private *priv)</t>
  </si>
  <si>
    <t xml:space="preserve">Maps BAR2 (PL user registers, up to 64 MiB) into hw-&gt;addr, creates the QDMA device on BAR0, programs the function-map context (qbase = func_id*6, qmax = 6) and, on the master PF, the global CSRs.</t>
  </si>
  <si>
    <t xml:space="preserve">0; -EINVAL (BAR2 iomap failed); -ENOMEM (qdma_create_dev); fmap context error</t>
  </si>
  <si>
    <t xml:space="preserve">qbase = PCI_FUNC(devfn) * IWFG_MAX_QUEUES; map_len = min(pci_resource_len(BAR2), QDMA_MAX_BAR_LEN_MAPPED)</t>
  </si>
  <si>
    <t xml:space="preserve">iwfg_probe(), iwfg_reset_hardware()</t>
  </si>
  <si>
    <t xml:space="preserve">Its error path calls iwfg_clear_hardware() before hw-&gt;qdma has been assigned.</t>
  </si>
  <si>
    <t xml:space="preserve">DRV-173</t>
  </si>
  <si>
    <t xml:space="preserve">iwfg_clear_hardware</t>
  </si>
  <si>
    <t xml:space="preserve">void iwfg_clear_hardware(struct iwfg_private *priv)</t>
  </si>
  <si>
    <t xml:space="preserve">Invalidates the fmap context, destroys the QDMA device (unmaps BAR0), unmaps BAR2 and zeroes priv-&gt;hw.</t>
  </si>
  <si>
    <t xml:space="preserve">iwfg_probe() error path, iwfg_remove(), iwfg_reset_hardware()</t>
  </si>
  <si>
    <t xml:space="preserve">DRV-174</t>
  </si>
  <si>
    <t xml:space="preserve">iwfg_reset_hardware</t>
  </si>
  <si>
    <t xml:space="preserve">void iwfg_reset_hardware(struct iwfg_private *priv)</t>
  </si>
  <si>
    <t xml:space="preserve">QDMA soft reset: writes 1 to PL register 0xA0 (IWFG_QDMA_SOFT_RST_REG_OFFSET), busy-waits udelay(17000), then iwfg_clear_hardware() + iwfg_init_hardware().</t>
  </si>
  <si>
    <t xml:space="preserve">void (re-init errors ignored)</t>
  </si>
  <si>
    <t xml:space="preserve">µs (17000 = 17 ms)</t>
  </si>
  <si>
    <t xml:space="preserve">iwfg_release() (C2H close with no active stream), iwfg_rx_poll() overflow recovery</t>
  </si>
  <si>
    <t xml:space="preserve">Uses the literal 0xa0, not the macro. BAR2/BAR0 are unmapped and remapped while IRQ threads may read registers (reason the H2C close path no longer calls it). In the recovery it runs inside a work item; the developer note suggests msleep(). See 30_documentation/developer/DRIVER_OVERFLOW_RECOVERY.md.</t>
  </si>
  <si>
    <t xml:space="preserve">DRV-175</t>
  </si>
  <si>
    <t xml:space="preserve">iwfg_process_qdma_errors</t>
  </si>
  <si>
    <t xml:space="preserve">int iwfg_process_qdma_errors(struct iwfg_private *priv, char *err_info, size_t buffer_size)</t>
  </si>
  <si>
    <t xml:space="preserve">Intended to decode/clear QDMA error registers into a text buffer.</t>
  </si>
  <si>
    <t xml:space="preserve">priv, err_info, buffer_size</t>
  </si>
  <si>
    <t xml:space="preserve">always 0 (register reads are commented out)</t>
  </si>
  <si>
    <t xml:space="preserve">Stub: glbl_err_stat is never read; not called anywhere.</t>
  </si>
  <si>
    <t xml:space="preserve">DRV-176</t>
  </si>
  <si>
    <t xml:space="preserve">iwfg_print_qdma_debug_registers</t>
  </si>
  <si>
    <t xml:space="preserve">void iwfg_print_qdma_debug_registers(struct iwfg_private *priv)</t>
  </si>
  <si>
    <t xml:space="preserve">Dumps and decodes QDMA debug registers 0x1D0 (GLBL2_DBG_FAB0), 0x1D4 (GLBL2_DBG_FAB1), 0x270 (GLBL_DSC_DBG_DAT0) and 0x274 (GLBL_DSC_DBG_DAT1) to the kernel log (H2C/C2H fabric valid/ready, async-FIFO full/empty, credits, stall bits).</t>
  </si>
  <si>
    <t xml:space="preserve">Debug helper; not called by the driver. Uses literal offsets.</t>
  </si>
  <si>
    <t xml:space="preserve">DRV-177</t>
  </si>
  <si>
    <t xml:space="preserve">IWFG_IOCTL_ADD_BUF</t>
  </si>
  <si>
    <t xml:space="preserve">#define IWFG_IOCTL_ADD_BUF _IOWR(IWFG_MAGIC, 1, struct iwfg_user_buf)</t>
  </si>
  <si>
    <t xml:space="preserve">Userspace (C2H helper) definition of IWFG_IOCTL_ADD_BUF.</t>
  </si>
  <si>
    <t xml:space="preserve">gui/backend/C2H/fifo_pipe.c (c2h_stream)</t>
  </si>
  <si>
    <t xml:space="preserve">Legacy header used to build c2h_stream.</t>
  </si>
  <si>
    <t xml:space="preserve">01_sdr_workstation_GUI/backend/C2H/iwfg_user.h</t>
  </si>
  <si>
    <t xml:space="preserve">DRV-178</t>
  </si>
  <si>
    <t xml:space="preserve">IWFG_IOCTL_STREAM_START</t>
  </si>
  <si>
    <t xml:space="preserve">#define IWFG_IOCTL_STREAM_START _IO(IWFG_MAGIC, 2)</t>
  </si>
  <si>
    <t xml:space="preserve">Userspace (C2H helper) definition of IWFG_IOCTL_STREAM_START.</t>
  </si>
  <si>
    <t xml:space="preserve">Still defined in the C2H header; the driver returns -ENOTTY. c2h_stream does not call it.</t>
  </si>
  <si>
    <t xml:space="preserve">DRV-179</t>
  </si>
  <si>
    <t xml:space="preserve">IWFG_IOCTL_STREAM_STOP</t>
  </si>
  <si>
    <t xml:space="preserve">#define IWFG_IOCTL_STREAM_STOP _IO(IWFG_MAGIC, 3)</t>
  </si>
  <si>
    <t xml:space="preserve">Userspace (C2H helper) definition of IWFG_IOCTL_STREAM_STOP.</t>
  </si>
  <si>
    <t xml:space="preserve">DRV-180</t>
  </si>
  <si>
    <t xml:space="preserve">IWFG_IOCTL_DMA_DATA</t>
  </si>
  <si>
    <t xml:space="preserve">#define IWFG_IOCTL_DMA_DATA _IOWR(IWFG_MAGIC, 4, struct iwfg_user_dma_req)</t>
  </si>
  <si>
    <t xml:space="preserve">Userspace (C2H helper) definition of IWFG_IOCTL_DMA_DATA.</t>
  </si>
  <si>
    <t xml:space="preserve">Legacy header; has no struct iwfg_c2h_prearm, which fifo_pipe.c defines itself.</t>
  </si>
  <si>
    <t xml:space="preserve">DRV-181</t>
  </si>
  <si>
    <t xml:space="preserve">Userspace (H2C helper) definition of IWFG_IOCTL_ADD_BUF.</t>
  </si>
  <si>
    <t xml:space="preserve">gui/backend/H2C/iwfg_h2c.c</t>
  </si>
  <si>
    <t xml:space="preserve">v2 header used by iwfg_h2c; documents USERPTR + import_fd=-1 as mandatory.</t>
  </si>
  <si>
    <t xml:space="preserve">01_sdr_workstation_GUI/backend/H2C/iwfg_user.h</t>
  </si>
  <si>
    <t xml:space="preserve">DRV-182</t>
  </si>
  <si>
    <t xml:space="preserve">Userspace (H2C helper) definition of IWFG_IOCTL_DMA_DATA.</t>
  </si>
  <si>
    <t xml:space="preserve">v2 header; documents H2C errors EINTR/EBUSY/ETIMEDOUT (never EAGAIN) and C2H EAGAIN + prearm.</t>
  </si>
  <si>
    <t xml:space="preserve">DRV-183</t>
  </si>
  <si>
    <t xml:space="preserve">#define IWFG_IOCTL_QUERY_STREAM_PARAMS _IOR (IWFG_MAGIC, 5, struct iwfg_stream_params)</t>
  </si>
  <si>
    <t xml:space="preserve">Userspace (H2C helper) definition of IWFG_IOCTL_QUERY_STREAM_PARAMS.</t>
  </si>
  <si>
    <t xml:space="preserve">v2 header; numbers 2/3 intentionally NOT defined here so stale STREAM_START/STOP calls fail at compile time.</t>
  </si>
  <si>
    <t xml:space="preserve">DRV-184</t>
  </si>
  <si>
    <t xml:space="preserve">Kernel-header definition of IWFG_IOCTL_ADD_BUF (iwfg.h, included by the driver; pulls kernel-only headers, so userspace uses iwfg_uapi.h / iwfg_user.h instead).</t>
  </si>
  <si>
    <t xml:space="preserve">iwfg_main.c iwfg_ioctl()</t>
  </si>
  <si>
    <t xml:space="preserve">Kernel-side definition (source of truth).</t>
  </si>
  <si>
    <t xml:space="preserve">DRV-185</t>
  </si>
  <si>
    <t xml:space="preserve">Kernel-header definition of IWFG_IOCTL_STREAM_START (iwfg.h, included by the driver; pulls kernel-only headers, so userspace uses iwfg_uapi.h / iwfg_user.h instead).</t>
  </si>
  <si>
    <t xml:space="preserve">Kernel header still defines it, but iwfg_ioctl has no case -&gt; -ENOTTY.</t>
  </si>
  <si>
    <t xml:space="preserve">DRV-186</t>
  </si>
  <si>
    <t xml:space="preserve">Kernel-header definition of IWFG_IOCTL_STREAM_STOP (iwfg.h, included by the driver; pulls kernel-only headers, so userspace uses iwfg_uapi.h / iwfg_user.h instead).</t>
  </si>
  <si>
    <t xml:space="preserve">DRV-187</t>
  </si>
  <si>
    <t xml:space="preserve">Kernel-header definition of IWFG_IOCTL_DMA_DATA (iwfg.h, included by the driver; pulls kernel-only headers, so userspace uses iwfg_uapi.h / iwfg_user.h instead).</t>
  </si>
  <si>
    <t xml:space="preserve">DRV-188</t>
  </si>
  <si>
    <t xml:space="preserve">#define IWFG_IOCTL_QUERY_STREAM_PARAMS _IOR(IWFG_MAGIC, 5, struct iwfg_stream_params)</t>
  </si>
  <si>
    <t xml:space="preserve">Kernel-header definition of IWFG_IOCTL_QUERY_STREAM_PARAMS (iwfg.h, included by the driver; pulls kernel-only headers, so userspace uses iwfg_uapi.h / iwfg_user.h instead).</t>
  </si>
  <si>
    <t xml:space="preserve">DRV-189</t>
  </si>
  <si>
    <t xml:space="preserve">IWFG_MAGIC</t>
  </si>
  <si>
    <t xml:space="preserve">#define IWFG_MAGIC 'i'</t>
  </si>
  <si>
    <t xml:space="preserve">ioctl type byte shared by every iwfg ioctl number.</t>
  </si>
  <si>
    <t xml:space="preserve">'i'</t>
  </si>
  <si>
    <t xml:space="preserve">IWFG_IOCTL_ADD_BUF, IWFG_IOCTL_STREAM_START, IWFG_IOCTL_STREAM_STOP, IWFG_IOCTL_DMA_DATA, IWFG_IOCTL_QUERY_STREAM_PARAMS</t>
  </si>
  <si>
    <t xml:space="preserve">Same value in iwfg.h:57, H2C/iwfg_user.h:120 and C2H/iwfg_user.h:64.</t>
  </si>
  <si>
    <t xml:space="preserve">01_sdr_workstation_GUI/drivers/iwfg_uapi.h</t>
  </si>
  <si>
    <t xml:space="preserve">DRV-190</t>
  </si>
  <si>
    <t xml:space="preserve">Registers a buffer on the open node: pins the user pages, DMA-maps them and prebuilds the descriptor list for the node's direction (RX list on /dev/iwfg0, TX list on /dev/iwfg1). Returns the buffer's index in the per-cdev list.</t>
  </si>
  <si>
    <t xml:space="preserve">struct iwfg_user_buf: buf, size, buf_type (USERPTR mandatory on x86), import_fd (-1), is_chunked, chunk_size</t>
  </si>
  <si>
    <t xml:space="preserve">0 with buf_index and dmabuf_fd=-1 written back (USERPTR); -EFAULT (copy_from_user/copy_to_user); -EINVAL (iwfg_add_user_buf returned NULL, or buf_type not compiled in: DMA_ALLOC/DMA_IMPORT exist only under CONFIG_ARM/ARM64)</t>
  </si>
  <si>
    <t xml:space="preserve">cmd = _IOWR('i', 1, struct iwfg_user_buf); buf_index = position of the (addr,size) entry in icdev-&gt;dma_buf_list</t>
  </si>
  <si>
    <t xml:space="preserve">bytes (size, chunk_size)</t>
  </si>
  <si>
    <t xml:space="preserve">c2h_stream main() (fifo_pipe.c:181); iwfg_h2c register_dma_bufs() (iwfg_h2c.c:371); kernel handler iwfg_ioctl case at iwfg_main.c:343</t>
  </si>
  <si>
    <t xml:space="preserve">Direction is taken from the node, not from the struct. A duplicate (addr,size) registration returns the existing handle. iwfg_ioctl takes no lock, so concurrent ioctls on one cdev are not serialised. Every successful new registration also does atomic_set(&amp;priv-&gt;h2c_busy, 0) (iwfg_dma.c:2025).</t>
  </si>
  <si>
    <t xml:space="preserve">DRV-191</t>
  </si>
  <si>
    <t xml:space="preserve">Retired stream-start ioctl. iwfg_ioctl has no case for it, so it falls to the default branch.</t>
  </si>
  <si>
    <t xml:space="preserve">-ENOTTY (default case, iwfg_main.c:491)</t>
  </si>
  <si>
    <t xml:space="preserve">cmd = _IO('i', 2)</t>
  </si>
  <si>
    <t xml:space="preserve">none in the current helpers</t>
  </si>
  <si>
    <t xml:space="preserve">Streaming now starts in iwfg_open(): iwfg_qdma_c2h_start() for C2H, iwfg_qdma_h2c_start() for H2C. Still defined in iwfg_uapi.h, iwfg.h and C2H/iwfg_user.h; deliberately removed from H2C/iwfg_user.h so stale callers fail to compile.</t>
  </si>
  <si>
    <t xml:space="preserve">DRV-192</t>
  </si>
  <si>
    <t xml:space="preserve">Retired stream-stop ioctl. iwfg_ioctl has no case for it.</t>
  </si>
  <si>
    <t xml:space="preserve">cmd = _IO('i', 3)</t>
  </si>
  <si>
    <t xml:space="preserve">Stop now happens in iwfg_release() (close of the fd): queue teardown, c2h/h2c stop, buffer unpin, and a QDMA soft reset when the last C2H stream closes.</t>
  </si>
  <si>
    <t xml:space="preserve">DRV-193</t>
  </si>
  <si>
    <t xml:space="preserve">Blocking data transfer on a registered (or auto-registered) buffer. H2C: posts the buffer's whole TX descriptor list and returns when the ring has drained. C2H: arms the buffer (unless it was pre-armed) and returns when it is completely filled; an optional struct iwfg_c2h_prearm appended after the request lets the driver post the next buffer before the current one drains.</t>
  </si>
  <si>
    <t xml:space="preserve">struct iwfg_user_dma_req: buf (NULL to use buf_index; non-NULL auto-registers), size, buf_index; offset/flags/direction ignored. C2H only: optional struct iwfg_c2h_prearm at arg + sizeof(struct iwfg_user_dma_req)</t>
  </si>
  <si>
    <t xml:space="preserve">0; -EFAULT; -EINVAL (buffer not found / queue not initialised); H2C: -ERESTARTSYS (EINTR in userspace without SA_RESTART), -EBUSY (h2c_busy==2, overflow reset in progress), -ETIMEDOUT (1000 h2c_busy CAS retries or 2 s completion budget); C2H: -EAGAIN (FPGA FIFO-overflow recovery ran), -ERESTARTSYS</t>
  </si>
  <si>
    <t xml:space="preserve">cmd = _IOWR('i', 4, struct iwfg_user_dma_req); prearm accepted iff next_buf != NULL &amp;&amp; next_size == req.size</t>
  </si>
  <si>
    <t xml:space="preserve">c2h_stream main loop (fifo_pipe.c:240); iwfg_h2c DMA replay loop (iwfg_h2c.c:584); handler iwfg_main.c:390</t>
  </si>
  <si>
    <t xml:space="preserve">C2H success copies dma_req back unchanged (the driver does not set flags). The C2H wait (iwfg_wait_for_data) is unbounded; the H2C wait (iwfg_wait_for_tx) is bounded to IWFG_TX_WAIT_TOTAL_MS. Known issue: a C2H overflow recovery frees the TX queue while an H2C DMA_DATA may still be waiting on it - see 30_documentation/developer/DRIVER_OVERFLOW_RECOVERY.md.</t>
  </si>
  <si>
    <t xml:space="preserve">DRV-194</t>
  </si>
  <si>
    <t xml:space="preserve">Reads the card's video-stream parameter register for the cdev's stream_id and returns width/height/bpp.</t>
  </si>
  <si>
    <t xml:space="preserve">0 + struct iwfg_stream_params; -EFAULT</t>
  </si>
  <si>
    <t xml:space="preserve">cmd = _IOR('i', 5, struct iwfg_stream_params); width = bits[17:4], height = bits[31:18], bpp = bits[3:0] of IWFG_CARD_VID_STREAM_PRAM_REG_OFFSET</t>
  </si>
  <si>
    <t xml:space="preserve">ms (100 ms fixed delay)</t>
  </si>
  <si>
    <t xml:space="preserve">handler iwfg_main.c:480 -&gt; iwfg_query_stream_params()</t>
  </si>
  <si>
    <t xml:space="preserve">Always sleeps msleep(100) before the register read. Not defined in C2H/iwfg_user.h; not used by c2h_stream or iwfg_h2c.</t>
  </si>
  <si>
    <t xml:space="preserve">DRV-195</t>
  </si>
  <si>
    <t xml:space="preserve">case IWFG_IOCTL_ADD_BUF:</t>
  </si>
  <si>
    <t xml:space="preserve">Kernel handler: copies struct iwfg_user_buf in, dispatches on buf_type, then copies it back with buf_index/dmabuf_fd.</t>
  </si>
  <si>
    <t xml:space="preserve">arg -&gt; struct iwfg_user_buf</t>
  </si>
  <si>
    <t xml:space="preserve">0 / -EFAULT / -EINVAL</t>
  </si>
  <si>
    <t xml:space="preserve">index = count of list entries before the one whose user_addr==buf &amp;&amp; usr_buf_size==size</t>
  </si>
  <si>
    <t xml:space="preserve">iwfg_ioctl()</t>
  </si>
  <si>
    <t xml:space="preserve">USERPTR -&gt; iwfg_add_user_buf(priv, icdev, buf, size, is_chunked, chunk_size, icdev-&gt;is_audio). DMA_ALLOC -&gt; iwfg_add_dma_alloc_buf(), DMA_IMPORT -&gt; iwfg_add_dma_import_buf() only under CONFIG_ARM/ARM64; otherwise default -EINVAL.</t>
  </si>
  <si>
    <t xml:space="preserve">DRV-196</t>
  </si>
  <si>
    <t xml:space="preserve">case IWFG_IOCTL_DMA_DATA:</t>
  </si>
  <si>
    <t xml:space="preserve">Kernel handler: resolves the buffer (auto-register if buf != NULL, else by index), then iwfg_xmit_data() for DMA_TO_DEVICE or iwfg_recv_data() (with optional prearm buffer) for DMA_FROM_DEVICE.</t>
  </si>
  <si>
    <t xml:space="preserve">arg -&gt; struct iwfg_user_dma_req [+ struct iwfg_c2h_prearm for C2H]</t>
  </si>
  <si>
    <t xml:space="preserve">return value of iwfg_xmit_data()/iwfg_recv_data(); -EINVAL if buffer missing or direction invalid; -EFAULT</t>
  </si>
  <si>
    <t xml:space="preserve">Prearm validation (next_size == dma_req.size) is a bug fix for stack garbage after a bare dma_req (seen as a ~1.6 GB pin attempt). A failed prearm add is non-fatal (dev_warn 'Ignoring invalid prearm buffer').</t>
  </si>
  <si>
    <t xml:space="preserve">DRV-197</t>
  </si>
  <si>
    <t xml:space="preserve">case IWFG_IOCTL_QUERY_STREAM_PARAMS:</t>
  </si>
  <si>
    <t xml:space="preserve">Kernel handler: returns iwfg_query_stream_params(priv, icdev-&gt;stream_id) to userspace.</t>
  </si>
  <si>
    <t xml:space="preserve">0 / -EFAULT</t>
  </si>
  <si>
    <t xml:space="preserve">DRV-198</t>
  </si>
  <si>
    <t xml:space="preserve">iwfg_qdma_init_error_interrupt</t>
  </si>
  <si>
    <t xml:space="preserve">void iwfg_qdma_init_error_interrupt(unsigned long qdma, u16 vid)</t>
  </si>
  <si>
    <t xml:space="preserve">Routes QDMA global errors to an MSI-X vector: GLBL_ERR_INT (func, vec, arm=0), unmasks every leaf aggregator (leaf mask register = ALL mask, set the aggregator bit in GLBL_ERR_MASK), then GLBL_ERR_INT with arm=1.</t>
  </si>
  <si>
    <t xml:space="preserve">qdma, vid (0)</t>
  </si>
  <si>
    <t xml:space="preserve">iwfg_init_interrupt()</t>
  </si>
  <si>
    <t xml:space="preserve">DRV-199</t>
  </si>
  <si>
    <t xml:space="preserve">iwfg_qdma_clear_error_interrupt</t>
  </si>
  <si>
    <t xml:space="preserve">void iwfg_qdma_clear_error_interrupt(unsigned long qdma)</t>
  </si>
  <si>
    <t xml:space="preserve">Writes 0 to QDMA_OFFSET_GLBL_ERR_INT (disarms the error interrupt).</t>
  </si>
  <si>
    <t xml:space="preserve">qdma</t>
  </si>
  <si>
    <t xml:space="preserve">iwfg_clear_interrupt(), iwfg_rx_poll() on a completion with err=1</t>
  </si>
  <si>
    <t xml:space="preserve">When called from iwfg_rx_poll the error IRQ stays disarmed until the next ack-and-rearm.</t>
  </si>
  <si>
    <t xml:space="preserve">DRV-200</t>
  </si>
  <si>
    <t xml:space="preserve">iwfg_qdma_ack_and_rearm_error_interrupt</t>
  </si>
  <si>
    <t xml:space="preserve">void iwfg_qdma_ack_and_rearm_error_interrupt(unsigned long qdma, u16 vid)</t>
  </si>
  <si>
    <t xml:space="preserve">Clears W1C error status (read-and-write-back of GLBL_ERR_STAT 0x248, GLBL_DSC_ERR_STS 0x254, GLBL_TRQ_ERR_STAT 0x264, C2H_ERR_STAT 0xAF0, C2H_FATAL_ERR_STAT 0xAF8, H2C_ERR_STAT 0xE00) and rearms GLBL_ERR_INT (0xB04) with ARM=1.</t>
  </si>
  <si>
    <t xml:space="preserve">qdma, vid</t>
  </si>
  <si>
    <t xml:space="preserve">iwfg_error_thread_fn()</t>
  </si>
  <si>
    <t xml:space="preserve">DRV-201</t>
  </si>
  <si>
    <t xml:space="preserve">IWFG_MAX_IRQ_NAME</t>
  </si>
  <si>
    <t xml:space="preserve">#define IWFG_MAX_IRQ_NAME 32</t>
  </si>
  <si>
    <t xml:space="preserve">Length of the per-vector IRQ name buffer.</t>
  </si>
  <si>
    <t xml:space="preserve">01_sdr_workstation_GUI/drivers/iwfg_intr.c</t>
  </si>
  <si>
    <t xml:space="preserve">DRV-202</t>
  </si>
  <si>
    <t xml:space="preserve">iwfg_q_handler</t>
  </si>
  <si>
    <t xml:space="preserve">static irqreturn_t iwfg_q_handler(int irq, void *dev_id)</t>
  </si>
  <si>
    <t xml:space="preserve">Queue MSI-X handler (hard IRQ): maps vid to qid (vid - 2), drops the IRQ if the queue is NULL (or C2H with no user_buf), else schedule_work_on(current CPU, &amp;q-&gt;intr_work).</t>
  </si>
  <si>
    <t xml:space="preserve">irq, dev_id (struct iwfg_q_vector*)</t>
  </si>
  <si>
    <t xml:space="preserve">IRQ_HANDLED</t>
  </si>
  <si>
    <t xml:space="preserve">qid = vec-&gt;vid - 2</t>
  </si>
  <si>
    <t xml:space="preserve">request_irq in iwfg_init_q_vector()</t>
  </si>
  <si>
    <t xml:space="preserve">TX interrupts are no longer dropped when user_buf is transiently NULL (tx_reclaim handles it).</t>
  </si>
  <si>
    <t xml:space="preserve">DRV-203</t>
  </si>
  <si>
    <t xml:space="preserve">iwfg_user_handler</t>
  </si>
  <si>
    <t xml:space="preserve">static irqreturn_t iwfg_user_handler(int irq, void *dev_id)</t>
  </si>
  <si>
    <t xml:space="preserve">User-logic IRQ hard handler.</t>
  </si>
  <si>
    <t xml:space="preserve">IRQ_WAKE_THREAD</t>
  </si>
  <si>
    <t xml:space="preserve">request_threaded_irq vid 1 ('iwfg-user')</t>
  </si>
  <si>
    <t xml:space="preserve">DRV-204</t>
  </si>
  <si>
    <t xml:space="preserve">iwfg_user_thread_fn</t>
  </si>
  <si>
    <t xml:space="preserve">static irqreturn_t iwfg_user_thread_fn(int irq, void *dev_id)</t>
  </si>
  <si>
    <t xml:space="preserve">User-logic IRQ thread: clears IWFG_C2H_INTR_REG_OFFSET bit 0 if set (HDMI resolution change), otherwise scans IWFG_USER_INTR_STATUS_REG_OFFSET of each stream; a matching queue gets vsync_event=1 and vsync_waitq woken.</t>
  </si>
  <si>
    <t xml:space="preserve">irq, dev_id (priv)</t>
  </si>
  <si>
    <t xml:space="preserve">status offset = 0x1C + i * IWFG_VID_STREAM_BRAM_LEN</t>
  </si>
  <si>
    <t xml:space="preserve">priv-&gt;num_streams is 0, so the scan never runs; nothing waits on vsync_waitq (iwfg_vsync_wait is commented out).</t>
  </si>
  <si>
    <t xml:space="preserve">DRV-205</t>
  </si>
  <si>
    <t xml:space="preserve">iwfg_error_handler</t>
  </si>
  <si>
    <t xml:space="preserve">static irqreturn_t iwfg_error_handler(int irq, void *dev_id)</t>
  </si>
  <si>
    <t xml:space="preserve">Error IRQ hard handler.</t>
  </si>
  <si>
    <t xml:space="preserve">request_threaded_irq vid 0 ('iwfg-error')</t>
  </si>
  <si>
    <t xml:space="preserve">DRV-206</t>
  </si>
  <si>
    <t xml:space="preserve">iwfg_error_thread_fn</t>
  </si>
  <si>
    <t xml:space="preserve">static irqreturn_t iwfg_error_thread_fn(int irq, void *dev_id)</t>
  </si>
  <si>
    <t xml:space="preserve">Error IRQ thread: logs GLBL_ERR_STAT, GLBL_DSC_ERR_STS, GLBL_TRQ_ERR_STAT, C2H_ERR_STAT, C2H_FATAL_ERR_STAT and H2C_ERR_STAT, then ack-and-rearm (vid 0).</t>
  </si>
  <si>
    <t xml:space="preserve">IRQ_HANDLED; dmesg 'Error IRQ (BH) fired on Function#%05x: vector=%d'</t>
  </si>
  <si>
    <t xml:space="preserve">DRV-207</t>
  </si>
  <si>
    <t xml:space="preserve">iwfg_clear_q_vector</t>
  </si>
  <si>
    <t xml:space="preserve">static void iwfg_clear_q_vector(struct iwfg_private *priv, u16 vid)</t>
  </si>
  <si>
    <t xml:space="preserve">free_irq and kfree of one queue vector (stored at q_vector[vid - 2]).</t>
  </si>
  <si>
    <t xml:space="preserve">priv, vid</t>
  </si>
  <si>
    <t xml:space="preserve">iwfg_clear_interrupt()</t>
  </si>
  <si>
    <t xml:space="preserve">DRV-208</t>
  </si>
  <si>
    <t xml:space="preserve">iwfg_init_q_vector</t>
  </si>
  <si>
    <t xml:space="preserve">static int iwfg_init_q_vector(struct iwfg_private *priv, u16 vid)</t>
  </si>
  <si>
    <t xml:space="preserve">Allocates a queue vector, request_irq(pci_irq_vector(vid), iwfg_q_handler, name 'iwfg-&lt;vid&gt;') and stores it at q_vector[vid - 2].</t>
  </si>
  <si>
    <t xml:space="preserve">0; -ENOMEM; request_irq error</t>
  </si>
  <si>
    <t xml:space="preserve">The kzalloc'd IRQ name is never freed.</t>
  </si>
  <si>
    <t xml:space="preserve">DRV-209</t>
  </si>
  <si>
    <t xml:space="preserve">iwfg_acquire_msix_vectors</t>
  </si>
  <si>
    <t xml:space="preserve">static int iwfg_acquire_msix_vectors(struct iwfg_private *priv)</t>
  </si>
  <si>
    <t xml:space="preserve">Allocates MSI-X vectors: up to IWFG_MAX_QUEUES + non-queue vectors (1 user, +1 error on the master PF), minimum non_q + 1.</t>
  </si>
  <si>
    <t xml:space="preserve">0 and priv-&gt;num_q_vectors; negative errno</t>
  </si>
  <si>
    <t xml:space="preserve">max = 6 + non_q (8 on master PF); num_q_vectors = allocated - non_q</t>
  </si>
  <si>
    <t xml:space="preserve">vectors</t>
  </si>
  <si>
    <t xml:space="preserve">iwfg_init_capacity()</t>
  </si>
  <si>
    <t xml:space="preserve">DRV-210</t>
  </si>
  <si>
    <t xml:space="preserve">iwfg_set_num_queues</t>
  </si>
  <si>
    <t xml:space="preserve">static void iwfg_set_num_queues(struct iwfg_private *priv)</t>
  </si>
  <si>
    <t xml:space="preserve">num_tx_queues = num_rx_queues = min(num_q_vectors, IWFG_MAX_QUEUES).</t>
  </si>
  <si>
    <t xml:space="preserve">DRV-211</t>
  </si>
  <si>
    <t xml:space="preserve">iwfg_init_capacity</t>
  </si>
  <si>
    <t xml:space="preserve">int iwfg_init_capacity(struct iwfg_private *priv)</t>
  </si>
  <si>
    <t xml:space="preserve">Acquires MSI-X vectors and sets queue counts.</t>
  </si>
  <si>
    <t xml:space="preserve">0 or negative errno</t>
  </si>
  <si>
    <t xml:space="preserve">DRV-212</t>
  </si>
  <si>
    <t xml:space="preserve">iwfg_clear_capacity</t>
  </si>
  <si>
    <t xml:space="preserve">void iwfg_clear_capacity(struct iwfg_private *priv)</t>
  </si>
  <si>
    <t xml:space="preserve">Zeroes queue/vector counts and pci_free_irq_vectors().</t>
  </si>
  <si>
    <t xml:space="preserve">DRV-213</t>
  </si>
  <si>
    <t xml:space="preserve">iwfg_init_interrupt</t>
  </si>
  <si>
    <t xml:space="preserve">int iwfg_init_interrupt(struct iwfg_private *priv)</t>
  </si>
  <si>
    <t xml:space="preserve">Installs IRQs on the master PF: vid 0 error (threaded, 'iwfg-error') + QDMA error routing, vid 1 user (threaded, 'iwfg-user'), vid 2.. queue vectors (queue q -&gt; vid q+2).</t>
  </si>
  <si>
    <t xml:space="preserve">0 (also 0 immediately on non-master PFs); request_irq error</t>
  </si>
  <si>
    <t xml:space="preserve">Non-master PFs get no interrupts at all.</t>
  </si>
  <si>
    <t xml:space="preserve">DRV-214</t>
  </si>
  <si>
    <t xml:space="preserve">iwfg_clear_interrupt</t>
  </si>
  <si>
    <t xml:space="preserve">void iwfg_clear_interrupt(struct iwfg_private *priv)</t>
  </si>
  <si>
    <t xml:space="preserve">Frees queue vectors, the user IRQ and (master PF) the error IRQ, and disarms QDMA error routing.</t>
  </si>
  <si>
    <t xml:space="preserve">DRV-215</t>
  </si>
  <si>
    <t xml:space="preserve">NUM_LEAF_ERROR_AGGREGATORS</t>
  </si>
  <si>
    <t xml:space="preserve">#define NUM_LEAF_ERROR_AGGREGATORS 7</t>
  </si>
  <si>
    <t xml:space="preserve">Number of leaf error aggregators unmasked at init.</t>
  </si>
  <si>
    <t xml:space="preserve">7</t>
  </si>
  <si>
    <t xml:space="preserve">01_sdr_workstation_GUI/drivers/qdma_access/qdma_error_info.h</t>
  </si>
  <si>
    <t xml:space="preserve">DRV-216</t>
  </si>
  <si>
    <t xml:space="preserve">leaf_error_aggregators</t>
  </si>
  <si>
    <t xml:space="preserve">static u32 leaf_error_aggregators[NUM_LEAF_ERROR_AGGREGATORS] =</t>
  </si>
  <si>
    <t xml:space="preserve">Leaf aggregator indices: DSC_ERR_ALL, TRQ_ERR_ALL, ST_C2H_ERR_ALL, ST_FATAL_ERR_ALL, ST_H2C_ERR_ALL, SBE_ERR_ALL, DBE_ERR_ALL.</t>
  </si>
  <si>
    <t xml:space="preserve">iwfg_qdma_init_error_interrupt()</t>
  </si>
  <si>
    <t xml:space="preserve">DRV-217</t>
  </si>
  <si>
    <t xml:space="preserve">qdma_error_info</t>
  </si>
  <si>
    <t xml:space="preserve">static struct qdma_error_info qdma_error_info[QDMA_ERR_ALL] =</t>
  </si>
  <si>
    <t xml:space="preserve">Per-error table (idx, name, mask_reg_addr, stat_reg_addr, leaf_err_mask, glbl_err_mask) indexed by enum qdma_error_index.</t>
  </si>
  <si>
    <t xml:space="preserve">DRV-218</t>
  </si>
  <si>
    <t xml:space="preserve">iwfg_wait_for_data (fifo_overflow -&gt; -EAGAIN)</t>
  </si>
  <si>
    <t xml:space="preserve">if (user_buf_hndl-&gt;fifo_overflow)</t>
  </si>
  <si>
    <t xml:space="preserve">Userspace-visible end of the recovery: the woken C2H waiter sees fifo_overflow, clears it and returns -EAGAIN.</t>
  </si>
  <si>
    <t xml:space="preserve">-EAGAIN to IWFG_IOCTL_DMA_DATA</t>
  </si>
  <si>
    <t xml:space="preserve">iwfg_wait_for_data(); c2h_stream retries after 1 ms</t>
  </si>
  <si>
    <t xml:space="preserve">The overflow is otherwise invisible to userspace (no counter); the developer note proposes exposing one.</t>
  </si>
  <si>
    <t xml:space="preserve">DRV-219</t>
  </si>
  <si>
    <t xml:space="preserve">iwfg_rx_poll (is_usr_ovf branch)</t>
  </si>
  <si>
    <t xml:space="preserve">if (is_usr_ovf)</t>
  </si>
  <si>
    <t xml:space="preserve">C2H FPGA FIFO-overflow recovery (QDMA random tready deassertion workaround). Marks the buffer (ready=1, compl_count=0, filled sizes 0, fifo_overflow=1), takes h2c_busy to 2, tears down every queue, soft-resets the QDMA, rebuilds queues for every cdev, rewrites PL regs 0x08=0 and 0x00=0x3, then wakes the C2H waiter (which returns -EAGAIN).</t>
  </si>
  <si>
    <t xml:space="preserve">any completion with usr_ovf=1 in this poll pass</t>
  </si>
  <si>
    <t xml:space="preserve">C2H DMA_DATA returns -EAGAIN; queued H2C sees -EBUSY while h2c_busy==2</t>
  </si>
  <si>
    <t xml:space="preserve">µs (udelay 17000 inside reset)</t>
  </si>
  <si>
    <t xml:space="preserve">Runs in the C2H work item; spins ~17 ms in iwfg_reset_hardware. Does not re-apply H2C_CTRL.VID_OUT_SEL. Known issue: the C2H overflow recovery frees the TX queue (iwfg_clear_tx_queue -&gt; kfree(q)) while an H2C ioctl may still be waiting on it - see 30_documentation/developer/DRIVER_OVERFLOW_RECOVERY.md.</t>
  </si>
  <si>
    <t xml:space="preserve">DRV-220</t>
  </si>
  <si>
    <t xml:space="preserve">iwfg_rx_poll (h2c_busy 0-&gt;2 CAS)</t>
  </si>
  <si>
    <t xml:space="preserve">actual = atomic_cmpxchg(&amp;priv-&gt;h2c_busy, expected, 2);</t>
  </si>
  <si>
    <t xml:space="preserve">Reset-lock acquisition: after wait_for_h2c_idle(1000 µs), up to 100 attempts of CAS h2c_busy 0-&gt;2, each failed attempt with value 1 waiting another 100 µs.</t>
  </si>
  <si>
    <t xml:space="preserve">max wait ~ 1000 µs + 100 x 100 µs = ~11 ms before forcing</t>
  </si>
  <si>
    <t xml:space="preserve">iwfg_rx_poll() overflow branch</t>
  </si>
  <si>
    <t xml:space="preserve">If h2c_busy already holds 2 the loop neither breaks nor increments retry_count. Known issue: the C2H overflow recovery frees the TX queue (iwfg_clear_tx_queue -&gt; kfree(q)) while an H2C ioctl may still be waiting on it - see 30_documentation/developer/DRIVER_OVERFLOW_RECOVERY.md.</t>
  </si>
  <si>
    <t xml:space="preserve">DRV-221</t>
  </si>
  <si>
    <t xml:space="preserve">Failed to acquire reset lock after %d retries, forcing reset</t>
  </si>
  <si>
    <t xml:space="preserve">dev_warn(&amp;priv-&gt;pdev-&gt;dev, "Failed to acquire reset lock after %d retries, forcing reset", retry_count);</t>
  </si>
  <si>
    <t xml:space="preserve">Kernel warning when the CAS loop exhausts 100 retries; h2c_busy is then forced to 2 although an H2C transfer is still inside iwfg_tx_roll()/iwfg_wait_for_tx().</t>
  </si>
  <si>
    <t xml:space="preserve">dmesg: 'Failed to acquire reset lock after %d retries, forcing reset'</t>
  </si>
  <si>
    <t xml:space="preserve">Known issue: the C2H overflow recovery frees the TX queue (iwfg_clear_tx_queue -&gt; kfree(q)) while an H2C ioctl may still be waiting on it - see 30_documentation/developer/DRIVER_OVERFLOW_RECOVERY.md.</t>
  </si>
  <si>
    <t xml:space="preserve">DRV-222</t>
  </si>
  <si>
    <t xml:space="preserve">iwfg_rx_poll (queue teardown)</t>
  </si>
  <si>
    <t xml:space="preserve">for (int i = 0; i &lt; IWFG_MAX_QUEUES; i++)</t>
  </si>
  <si>
    <t xml:space="preserve">Recovery teardown: for every qid &lt; IWFG_MAX_QUEUES clears the RX queue (C2H) or TX queue (H2C), freeing rings and the queue structs.</t>
  </si>
  <si>
    <t xml:space="preserve">Called from inside the C2H queue's own work item (clear_*_queue skips cancel_work_sync on current_work()). Known issue: the C2H overflow recovery frees the TX queue (iwfg_clear_tx_queue -&gt; kfree(q)) while an H2C ioctl may still be waiting on it - see 30_documentation/developer/DRIVER_OVERFLOW_RECOVERY.md.</t>
  </si>
  <si>
    <t xml:space="preserve">DRV-223</t>
  </si>
  <si>
    <t xml:space="preserve">iwfg_rx_poll (iwfg_reset_hardware call)</t>
  </si>
  <si>
    <t xml:space="preserve">iwfg_reset_hardware(priv);</t>
  </si>
  <si>
    <t xml:space="preserve">QDMA soft reset inside the recovery (reg 0xA0 = 1, udelay(17000), clear + re-init hardware/fmap/CSR).</t>
  </si>
  <si>
    <t xml:space="preserve">The developer note suggests replacing udelay(17000) with msleep() because it spins a CPU per overflow.</t>
  </si>
  <si>
    <t xml:space="preserve">DRV-224</t>
  </si>
  <si>
    <t xml:space="preserve">iwfg_rx_poll (queue re-init)</t>
  </si>
  <si>
    <t xml:space="preserve">list_for_each_entry(cdev_entry, &amp;priv-&gt;cdev_list, list)</t>
  </si>
  <si>
    <t xml:space="preserve">Recovery rebuild: iwfg_init_rx_queue / iwfg_init_tx_queue for EVERY cdev on priv-&gt;cdev_list (both /dev/iwfg0 and /dev/iwfg1), regardless of whether the node is open; return values are ignored.</t>
  </si>
  <si>
    <t xml:space="preserve">The new TX queue has user_buf=NULL; a still-running H2C ioctl holds a pointer to the freed old queue.</t>
  </si>
  <si>
    <t xml:space="preserve">DRV-225</t>
  </si>
  <si>
    <t xml:space="preserve">iwfg_rx_poll (PL 0x08/0x00 rewrite)</t>
  </si>
  <si>
    <t xml:space="preserve">iwfg_write_reg(&amp;priv-&gt;hw, 0x08, 0x0);</t>
  </si>
  <si>
    <t xml:space="preserve">Recovery tail: h2c_busy=0, PL offset 0x08 (IWFG_C2H_TOT_BUFSZ_OFFSET) = 0, udelay(100), PL offset 0x00 (IWFG_C2H_CTRL) = 0x3 (START|SET_BUFSZ), then wake_up_interruptible on the buffer.</t>
  </si>
  <si>
    <t xml:space="preserve">Literal offsets, not the macros. C2H_CTRL=0x3 zeroes QDMA_C2H_QID and QDMA_C2H_BUFSZ_IDX; the BUFSZ_IDX field is only rewritten by iwfg_update_rx_bufsz_idx() on a new ADD_BUF. is_video_locked stays set.</t>
  </si>
  <si>
    <t xml:space="preserve">DRV-226</t>
  </si>
  <si>
    <t xml:space="preserve">iwfg_qdma_init_tx_queue</t>
  </si>
  <si>
    <t xml:space="preserve">int iwfg_qdma_init_tx_queue(unsigned long qdma, u16 qid, const struct iwfg_qdma_h2c_param *param)</t>
  </si>
  <si>
    <t xml:space="preserve">Programs an H2C stream queue: software context (qen=1, wbk_en=1, is_mm=0, irq_arm=1, irq_en=1, desc_sz=1 (16 B), fcrd_en=0, wbi_chk=1, wbi_intvl_en=1, rngsz_idx, desc_base, vec, intr_aggr=0), then clears the hardware and credit contexts.</t>
  </si>
  <si>
    <t xml:space="preserve">qdma, qid, param (rngcnt_idx, dma_addr, vid)</t>
  </si>
  <si>
    <t xml:space="preserve">0; context error (-EBUSY on programming timeout)</t>
  </si>
  <si>
    <t xml:space="preserve">iwfg_init_tx_queue()</t>
  </si>
  <si>
    <t xml:space="preserve">On error calls iwfg_qdma_clear_tx_queue().</t>
  </si>
  <si>
    <t xml:space="preserve">DRV-227</t>
  </si>
  <si>
    <t xml:space="preserve">iwfg_qdma_init_rx_queue</t>
  </si>
  <si>
    <t xml:space="preserve">int iwfg_qdma_init_rx_queue(unsigned long qdma, u16 qid, const struct iwfg_qdma_c2h_param *param)</t>
  </si>
  <si>
    <t xml:space="preserve">Programs a C2H stream queue: software context (qen=1, wbk_en=1, is_mm=0, desc_sz=0 (8 B), fcrd_en=1), clears hardware/credit contexts, prefetch context (bufsz_idx, pfch_en=1, valid=1) and completion context (stat_en=1, intr_en=1, trig_mode=5, counter_idx=0, timer_idx=0, color=1, rngsz_idx, baddr, desc_sz=0, valid=1, ovf_chk_dis=0, vec).</t>
  </si>
  <si>
    <t xml:space="preserve">qdma, qid, param (bufsz_idx, desc/cmpl rngcnt_idx, cmpl_desc_sz, desc/cmpl dma_addr, vid)</t>
  </si>
  <si>
    <t xml:space="preserve">0; context error</t>
  </si>
  <si>
    <t xml:space="preserve">iwfg_init_rx_queue()</t>
  </si>
  <si>
    <t xml:space="preserve">C2H interrupts come from the completion context (intr_en=1); the C2H software context leaves irq_en at 0.</t>
  </si>
  <si>
    <t xml:space="preserve">DRV-228</t>
  </si>
  <si>
    <t xml:space="preserve">iwfg_qdma_clear_tx_queue</t>
  </si>
  <si>
    <t xml:space="preserve">void iwfg_qdma_clear_tx_queue(unsigned long qdma, u16 qid)</t>
  </si>
  <si>
    <t xml:space="preserve">Invalidates the H2C software, hardware and credit contexts (engine stops for this qid).</t>
  </si>
  <si>
    <t xml:space="preserve">qdma, qid</t>
  </si>
  <si>
    <t xml:space="preserve">iwfg_clear_tx_queue() (first step), iwfg_qdma_init_tx_queue() error path</t>
  </si>
  <si>
    <t xml:space="preserve">DRV-229</t>
  </si>
  <si>
    <t xml:space="preserve">iwfg_qdma_clear_rx_queue</t>
  </si>
  <si>
    <t xml:space="preserve">void iwfg_qdma_clear_rx_queue(unsigned long qdma, u16 qid)</t>
  </si>
  <si>
    <t xml:space="preserve">Invalidates the C2H software, hardware, credit, prefetch and completion contexts.</t>
  </si>
  <si>
    <t xml:space="preserve">iwfg_clear_rx_queue() (first step), iwfg_qdma_init_rx_queue() error path</t>
  </si>
  <si>
    <t xml:space="preserve">DRV-230</t>
  </si>
  <si>
    <t xml:space="preserve">ctxt_lock</t>
  </si>
  <si>
    <t xml:space="preserve">static DEFINE_MUTEX(ctxt_lock);</t>
  </si>
  <si>
    <t xml:space="preserve">Global mutex serialising indirect context programming.</t>
  </si>
  <si>
    <t xml:space="preserve">qdma_program_ctxt()</t>
  </si>
  <si>
    <t xml:space="preserve">A mutex: context programming must run in process context (queue init/clear, including the overflow-recovery work item).</t>
  </si>
  <si>
    <t xml:space="preserve">01_sdr_workstation_GUI/drivers/qdma_access/qdma_context.c</t>
  </si>
  <si>
    <t xml:space="preserve">DRV-231</t>
  </si>
  <si>
    <t xml:space="preserve">qdma_get_real_qid</t>
  </si>
  <si>
    <t xml:space="preserve">static inline u16 qdma_get_real_qid(struct qdma_dev *qdev, u16 qid)</t>
  </si>
  <si>
    <t xml:space="preserve">Physical queue id from per-function qid.</t>
  </si>
  <si>
    <t xml:space="preserve">qdev, qid</t>
  </si>
  <si>
    <t xml:space="preserve">qid + qdev-&gt;q_base</t>
  </si>
  <si>
    <t xml:space="preserve">every qdma_*_ctxt queue command</t>
  </si>
  <si>
    <t xml:space="preserve">DRV-232</t>
  </si>
  <si>
    <t xml:space="preserve">qdma_program_ctxt</t>
  </si>
  <si>
    <t xml:space="preserve">static int qdma_program_ctxt(struct qdma_dev *qdev, const union qdma_ctxt_cmd *cmd, u32 *data, u8 len)</t>
  </si>
  <si>
    <t xml:space="preserve">Indirect context programming: for WR writes 8 data regs (0x804..) and 8 mask regs (0x824.., 0xFFFFFFFF), writes the command to 0x844, polls BUSY every 100 µs up to 500 ms, for RD copies the data regs back.</t>
  </si>
  <si>
    <t xml:space="preserve">qdev, cmd (union qdma_ctxt_cmd), data, len (words)</t>
  </si>
  <si>
    <t xml:space="preserve">0; -EBUSY on timeout</t>
  </si>
  <si>
    <t xml:space="preserve">num_polls = 500000 / 100 = 5000</t>
  </si>
  <si>
    <t xml:space="preserve">all qdma_write/clear/invalidate_*_ctxt</t>
  </si>
  <si>
    <t xml:space="preserve">Holds ctxt_lock; busy-waits with udelay.</t>
  </si>
  <si>
    <t xml:space="preserve">DRV-233</t>
  </si>
  <si>
    <t xml:space="preserve">qdma_write_sw_ctxt</t>
  </si>
  <si>
    <t xml:space="preserve">int qdma_write_sw_ctxt(struct qdma_dev *qdev, u16 qid, enum qdma_dir dir, const struct qdma_sw_ctxt *ctxt)</t>
  </si>
  <si>
    <t xml:space="preserve">Writes the 5-word descriptor software context (pidx, irq_arm, func_id, qen, fcrd_en, wbi_chk, wbi_intvl_en, at, fetch_max, rngsz_idx, desc_sz, bypass, mm_chn, wbk_en, irq_en, port_id, ..., desc_base, vec, intr_aggr).</t>
  </si>
  <si>
    <t xml:space="preserve">0; -EBUSY (context programming timeout)</t>
  </si>
  <si>
    <t xml:space="preserve">iwfg_qdma_init_tx_queue, iwfg_qdma_init_rx_queue</t>
  </si>
  <si>
    <t xml:space="preserve">DRV-234</t>
  </si>
  <si>
    <t xml:space="preserve">qdma_clear_sw_ctxt</t>
  </si>
  <si>
    <t xml:space="preserve">int qdma_clear_sw_ctxt(struct qdma_dev *qdev, u16 qid, enum qdma_dir dir)</t>
  </si>
  <si>
    <t xml:space="preserve">CLR command on the SW context (C2H or H2C select).</t>
  </si>
  <si>
    <t xml:space="preserve">iwfg_qdma_init_*_queue</t>
  </si>
  <si>
    <t xml:space="preserve">DRV-235</t>
  </si>
  <si>
    <t xml:space="preserve">qdma_invalidate_sw_ctxt</t>
  </si>
  <si>
    <t xml:space="preserve">int qdma_invalidate_sw_ctxt(struct qdma_dev *qdev, u16 qid, enum qdma_dir dir)</t>
  </si>
  <si>
    <t xml:space="preserve">INV command on the SW context.</t>
  </si>
  <si>
    <t xml:space="preserve">iwfg_qdma_clear_tx_queue, iwfg_qdma_clear_rx_queue</t>
  </si>
  <si>
    <t xml:space="preserve">DRV-236</t>
  </si>
  <si>
    <t xml:space="preserve">qdma_clear_hw_ctxt</t>
  </si>
  <si>
    <t xml:space="preserve">int qdma_clear_hw_ctxt(struct qdma_dev *qdev, u16 qid, enum qdma_dir dir)</t>
  </si>
  <si>
    <t xml:space="preserve">CLR command on the HW context.</t>
  </si>
  <si>
    <t xml:space="preserve">DRV-237</t>
  </si>
  <si>
    <t xml:space="preserve">qdma_invalidate_hw_ctxt</t>
  </si>
  <si>
    <t xml:space="preserve">int qdma_invalidate_hw_ctxt(struct qdma_dev *qdev, u16 qid, enum qdma_dir dir)</t>
  </si>
  <si>
    <t xml:space="preserve">INV command on the HW context.</t>
  </si>
  <si>
    <t xml:space="preserve">iwfg_qdma_clear_*_queue</t>
  </si>
  <si>
    <t xml:space="preserve">DRV-238</t>
  </si>
  <si>
    <t xml:space="preserve">qdma_clear_cr_ctxt</t>
  </si>
  <si>
    <t xml:space="preserve">int qdma_clear_cr_ctxt(struct qdma_dev *qdev, u16 qid, enum qdma_dir dir)</t>
  </si>
  <si>
    <t xml:space="preserve">CLR command on the credit context.</t>
  </si>
  <si>
    <t xml:space="preserve">DRV-239</t>
  </si>
  <si>
    <t xml:space="preserve">qdma_invalidate_cr_ctxt</t>
  </si>
  <si>
    <t xml:space="preserve">int qdma_invalidate_cr_ctxt(struct qdma_dev *qdev, u16 qid, enum qdma_dir dir)</t>
  </si>
  <si>
    <t xml:space="preserve">INV command on the credit context.</t>
  </si>
  <si>
    <t xml:space="preserve">DRV-240</t>
  </si>
  <si>
    <t xml:space="preserve">qdma_write_pfch_ctxt</t>
  </si>
  <si>
    <t xml:space="preserve">int qdma_write_pfch_ctxt(struct qdma_dev *qdev, u16 qid, const struct qdma_pfch_ctxt *ctxt)</t>
  </si>
  <si>
    <t xml:space="preserve">Writes the 2-word C2H prefetch context (bypass, bufsz_idx, port_id, err, pfch_en, in_pfch, sw_crdt split L/H, valid).</t>
  </si>
  <si>
    <t xml:space="preserve">DRV-241</t>
  </si>
  <si>
    <t xml:space="preserve">qdma_clear_pfch_ctxt</t>
  </si>
  <si>
    <t xml:space="preserve">int qdma_clear_pfch_ctxt(struct qdma_dev *qdev, u16 qid)</t>
  </si>
  <si>
    <t xml:space="preserve">CLR command on the prefetch context.</t>
  </si>
  <si>
    <t xml:space="preserve">DRV-242</t>
  </si>
  <si>
    <t xml:space="preserve">qdma_invalidate_pfch_ctxt</t>
  </si>
  <si>
    <t xml:space="preserve">int qdma_invalidate_pfch_ctxt(struct qdma_dev *qdev, u16 qid)</t>
  </si>
  <si>
    <t xml:space="preserve">INV command on the prefetch context.</t>
  </si>
  <si>
    <t xml:space="preserve">DRV-243</t>
  </si>
  <si>
    <t xml:space="preserve">qdma_write_cmpl_ctxt</t>
  </si>
  <si>
    <t xml:space="preserve">int qdma_write_cmpl_ctxt(struct qdma_dev *qdev, u16 qid, const struct qdma_cmpl_ctxt *ctxt)</t>
  </si>
  <si>
    <t xml:space="preserve">Writes the 5-word C2H completion context (stat_en, intr_en, trig_mode, func_id, counter/timer idx, intr_st, color, rngsz_idx, baddr split, desc_sz, pidx/cidx, valid, err, user_trig_pend, timer_running, full_upd, ovf_chk_dis, at, vec, intr_aggr).</t>
  </si>
  <si>
    <t xml:space="preserve">DRV-244</t>
  </si>
  <si>
    <t xml:space="preserve">qdma_clear_cmpl_ctxt</t>
  </si>
  <si>
    <t xml:space="preserve">int qdma_clear_cmpl_ctxt(struct qdma_dev *qdev, u16 qid)</t>
  </si>
  <si>
    <t xml:space="preserve">CLR command on the completion context.</t>
  </si>
  <si>
    <t xml:space="preserve">DRV-245</t>
  </si>
  <si>
    <t xml:space="preserve">qdma_invalidate_cmpl_ctxt</t>
  </si>
  <si>
    <t xml:space="preserve">int qdma_invalidate_cmpl_ctxt(struct qdma_dev *qdev, u16 qid)</t>
  </si>
  <si>
    <t xml:space="preserve">INV command on the completion context.</t>
  </si>
  <si>
    <t xml:space="preserve">DRV-246</t>
  </si>
  <si>
    <t xml:space="preserve">qdma_write_fmap_ctxt</t>
  </si>
  <si>
    <t xml:space="preserve">int qdma_write_fmap_ctxt(struct qdma_dev *qdev, const struct qdma_fmap_ctxt *ctxt)</t>
  </si>
  <si>
    <t xml:space="preserve">Writes the function-map context (cmd.qid = func_id; W0 qbase, W1 qmax) and caches q_base/num_queues in qdev.</t>
  </si>
  <si>
    <t xml:space="preserve">qdev, ctxt (qbase, qmax)</t>
  </si>
  <si>
    <t xml:space="preserve">0; -EBUSY (q_base/num_queues reset to 0)</t>
  </si>
  <si>
    <t xml:space="preserve">DRV-247</t>
  </si>
  <si>
    <t xml:space="preserve">qdma_clear_fmap_ctxt</t>
  </si>
  <si>
    <t xml:space="preserve">int qdma_clear_fmap_ctxt(struct qdma_dev *qdev)</t>
  </si>
  <si>
    <t xml:space="preserve">CLR command on the function-map context; zeroes q_base/num_queues.</t>
  </si>
  <si>
    <t xml:space="preserve">0; -EBUSY</t>
  </si>
  <si>
    <t xml:space="preserve">DRV-248</t>
  </si>
  <si>
    <t xml:space="preserve">qdma_invalidate_fmap_ctxt</t>
  </si>
  <si>
    <t xml:space="preserve">int qdma_invalidate_fmap_ctxt(struct qdma_dev *qdev)</t>
  </si>
  <si>
    <t xml:space="preserve">Releases the function-map context; zeroes q_base/num_queues.</t>
  </si>
  <si>
    <t xml:space="preserve">iwfg_clear_hardware()</t>
  </si>
  <si>
    <t xml:space="preserve">Issues QDMA_CTXT_CMD_OP_CLR, not OP_INV.</t>
  </si>
  <si>
    <t xml:space="preserve">DRV-249</t>
  </si>
  <si>
    <t xml:space="preserve">qdma_ctxt_cmd_op</t>
  </si>
  <si>
    <t xml:space="preserve">enum qdma_ctxt_cmd_op</t>
  </si>
  <si>
    <t xml:space="preserve">Context command opcodes.</t>
  </si>
  <si>
    <t xml:space="preserve">CLR=0, WR=1, RD=2, INV=3</t>
  </si>
  <si>
    <t xml:space="preserve">01_sdr_workstation_GUI/drivers/qdma_access/qdma_context.h</t>
  </si>
  <si>
    <t xml:space="preserve">DRV-250</t>
  </si>
  <si>
    <t xml:space="preserve">qdma_ctxt_cmd_sel</t>
  </si>
  <si>
    <t xml:space="preserve">enum qdma_ctxt_cmd_sel</t>
  </si>
  <si>
    <t xml:space="preserve">Context selectors.</t>
  </si>
  <si>
    <t xml:space="preserve">SW_C2H=0, SW_H2C=1, HW_C2H=2, HW_H2C=3, CR_C2H=4, CR_H2C=5, CMPL=6, PFCH=7, INTR_COAL=8, PASID_RAM_LOW=9, PASID_RAM_HIGH=10, TIMER=11, FMAP=12</t>
  </si>
  <si>
    <t xml:space="preserve">DRV-251</t>
  </si>
  <si>
    <t xml:space="preserve">qdma_ctxt_cmd</t>
  </si>
  <si>
    <t xml:space="preserve">union qdma_ctxt_cmd</t>
  </si>
  <si>
    <t xml:space="preserve">Indirect context command word layout written to 0x844.</t>
  </si>
  <si>
    <t xml:space="preserve">busy[0], sel[4:1], op[6:5], qid[17:7], rsvd[31:18]</t>
  </si>
  <si>
    <t xml:space="preserve">DRV-252</t>
  </si>
  <si>
    <t xml:space="preserve">QDMA_CTXT_PROG_TIMEOUT_US</t>
  </si>
  <si>
    <t xml:space="preserve">#define QDMA_CTXT_PROG_TIMEOUT_US (500*1000)</t>
  </si>
  <si>
    <t xml:space="preserve">Context-programming poll timeout.</t>
  </si>
  <si>
    <t xml:space="preserve">500*1000</t>
  </si>
  <si>
    <t xml:space="preserve">DRV-253</t>
  </si>
  <si>
    <t xml:space="preserve">QDMA_CTXT_PROG_POLL_INTERVAL_US</t>
  </si>
  <si>
    <t xml:space="preserve">#define QDMA_CTXT_PROG_POLL_INTERVAL_US 100</t>
  </si>
  <si>
    <t xml:space="preserve">Context-programming poll interval.</t>
  </si>
  <si>
    <t xml:space="preserve">DRV-254</t>
  </si>
  <si>
    <t xml:space="preserve">QDMA_CTXT_PROG_NUM_DATA_REGS</t>
  </si>
  <si>
    <t xml:space="preserve">#define QDMA_CTXT_PROG_NUM_DATA_REGS 8</t>
  </si>
  <si>
    <t xml:space="preserve">Indirect context data/mask register count.</t>
  </si>
  <si>
    <t xml:space="preserve">registers</t>
  </si>
  <si>
    <t xml:space="preserve">DRV-255</t>
  </si>
  <si>
    <t xml:space="preserve">qdma_sw_ctxt</t>
  </si>
  <si>
    <t xml:space="preserve">struct qdma_sw_ctxt</t>
  </si>
  <si>
    <t xml:space="preserve">Descriptor-queue software context fields (pidx, irq_arm, func_id, qen, fcrd_en, wbi_chk, wbi_intvl_en, at, fetch_max, rngsz_idx, desc_sz, bypass, mm_chn, wbk_en, irq_en, port_id, irq_no_last, err, err_wb_sent, irq_req, mrkr_dis, is_mm, desc_base, vec, intr_aggr).</t>
  </si>
  <si>
    <t xml:space="preserve">DRV-256</t>
  </si>
  <si>
    <t xml:space="preserve">qdma_hw_ctxt</t>
  </si>
  <si>
    <t xml:space="preserve">struct qdma_hw_ctxt</t>
  </si>
  <si>
    <t xml:space="preserve">Descriptor-queue hardware context (cidx, crd_use, desc_pend, idl_stp_b, event_pend, fetch_pend).</t>
  </si>
  <si>
    <t xml:space="preserve">DRV-257</t>
  </si>
  <si>
    <t xml:space="preserve">qdma_cr_ctxt</t>
  </si>
  <si>
    <t xml:space="preserve">struct qdma_cr_ctxt</t>
  </si>
  <si>
    <t xml:space="preserve">Descriptor-queue credit context (credit).</t>
  </si>
  <si>
    <t xml:space="preserve">DRV-258</t>
  </si>
  <si>
    <t xml:space="preserve">qdma_pfch_ctxt</t>
  </si>
  <si>
    <t xml:space="preserve">struct qdma_pfch_ctxt</t>
  </si>
  <si>
    <t xml:space="preserve">C2H prefetch context (bypass, bufsz_idx, port_id, err, pfch_en, in_pfch, sw_crdt, valid).</t>
  </si>
  <si>
    <t xml:space="preserve">DRV-259</t>
  </si>
  <si>
    <t xml:space="preserve">qdma_cmpl_ctxt</t>
  </si>
  <si>
    <t xml:space="preserve">struct qdma_cmpl_ctxt</t>
  </si>
  <si>
    <t xml:space="preserve">C2H completion context (stat_en, intr_en, trig_mode, func_id, counter_idx, timer_idx, intr_st, color, rngsz_idx, baddr, desc_sz, pidx, cidx, valid, err, user_trig_pend, timer_running, full_upd, ovf_chk_dis, at, vec, intr_aggr).</t>
  </si>
  <si>
    <t xml:space="preserve">DRV-260</t>
  </si>
  <si>
    <t xml:space="preserve">qdma_fmap_ctxt</t>
  </si>
  <si>
    <t xml:space="preserve">struct qdma_fmap_ctxt</t>
  </si>
  <si>
    <t xml:space="preserve">Function-map context (qbase, qmax).</t>
  </si>
  <si>
    <t xml:space="preserve">DRV-261</t>
  </si>
  <si>
    <t xml:space="preserve">qdma_create_dev</t>
  </si>
  <si>
    <t xml:space="preserve">struct qdma_dev *qdma_create_dev(struct pci_dev *pdev, u8 bar)</t>
  </si>
  <si>
    <t xml:space="preserve">Allocates a qdma_dev, records func_id = PCI_FUNC(devfn) and maps the whole BAR.</t>
  </si>
  <si>
    <t xml:space="preserve">pdev, bar (0 for QDMA)</t>
  </si>
  <si>
    <t xml:space="preserve">qdma_dev* or NULL (bad BAR &gt; 6, alloc or iomap failure)</t>
  </si>
  <si>
    <t xml:space="preserve">01_sdr_workstation_GUI/drivers/qdma_access/qdma_device.c</t>
  </si>
  <si>
    <t xml:space="preserve">DRV-262</t>
  </si>
  <si>
    <t xml:space="preserve">qdma_destroy_dev</t>
  </si>
  <si>
    <t xml:space="preserve">void qdma_destroy_dev(struct qdma_dev *qdev)</t>
  </si>
  <si>
    <t xml:space="preserve">Unmaps the BAR and frees the qdma_dev (NULL-safe).</t>
  </si>
  <si>
    <t xml:space="preserve">DRV-263</t>
  </si>
  <si>
    <t xml:space="preserve">qdma_dev</t>
  </si>
  <si>
    <t xml:space="preserve">struct qdma_dev</t>
  </si>
  <si>
    <t xml:space="preserve">QDMA device handle: pdev, func_id, q_base, num_queues, addr (BAR0 mapping).</t>
  </si>
  <si>
    <t xml:space="preserve">all qdma_* functions</t>
  </si>
  <si>
    <t xml:space="preserve">01_sdr_workstation_GUI/drivers/qdma_access/qdma_device.h</t>
  </si>
  <si>
    <t xml:space="preserve">DRV-264</t>
  </si>
  <si>
    <t xml:space="preserve">qdma_read_reg</t>
  </si>
  <si>
    <t xml:space="preserve">static inline u32 qdma_read_reg(struct qdma_dev *qdev, u32 offset)</t>
  </si>
  <si>
    <t xml:space="preserve">ioread32 of a QDMA (BAR0) register.</t>
  </si>
  <si>
    <t xml:space="preserve">qdev, offset</t>
  </si>
  <si>
    <t xml:space="preserve">ioread32(qdev-&gt;addr + offset)</t>
  </si>
  <si>
    <t xml:space="preserve">01_sdr_workstation_GUI/drivers/qdma_access/qdma_register.h</t>
  </si>
  <si>
    <t xml:space="preserve">DRV-265</t>
  </si>
  <si>
    <t xml:space="preserve">qdma_write_reg</t>
  </si>
  <si>
    <t xml:space="preserve">static inline void qdma_write_reg(struct qdma_dev *qdev, u32 offset, u32 val)</t>
  </si>
  <si>
    <t xml:space="preserve">iowrite32 to a QDMA (BAR0) register.</t>
  </si>
  <si>
    <t xml:space="preserve">qdev, offset, val</t>
  </si>
  <si>
    <t xml:space="preserve">iowrite32(val, qdev-&gt;addr + offset)</t>
  </si>
  <si>
    <t xml:space="preserve">DRV-266</t>
  </si>
  <si>
    <t xml:space="preserve">iwfg_clear_tx_queue</t>
  </si>
  <si>
    <t xml:space="preserve">void iwfg_clear_tx_queue(struct iwfg_private *priv, u16 qid)</t>
  </si>
  <si>
    <t xml:space="preserve">Tears down the H2C queue in safe order: invalidate QDMA contexts, WRITE_ONCE(priv-&gt;queue[qid], NULL), cancel_work_sync (unless called from that work), udelay(100), free ring, kfree(q).</t>
  </si>
  <si>
    <t xml:space="preserve">priv, qid</t>
  </si>
  <si>
    <t xml:space="preserve">ring bytes = ALIGN(QDMA_H2C_ST_DESC_SIZE*(count-1) + QDMA_WB_STAT_SIZE, PAGE_SIZE)</t>
  </si>
  <si>
    <t xml:space="preserve">iwfg_release() (H2C), iwfg_init_tx_queue(), overflow recovery</t>
  </si>
  <si>
    <t xml:space="preserve">Ordering fix for the second-run CPU hang (iwfg_tx_clean running on freed memory). Known issue: the C2H overflow recovery frees the TX queue (iwfg_clear_tx_queue -&gt; kfree(q)) while an H2C ioctl may still be waiting on it - see 30_documentation/developer/DRIVER_OVERFLOW_RECOVERY.md.</t>
  </si>
  <si>
    <t xml:space="preserve">DRV-267</t>
  </si>
  <si>
    <t xml:space="preserve">iwfg_init_tx_queue</t>
  </si>
  <si>
    <t xml:space="preserve">int iwfg_init_tx_queue(struct iwfg_private *priv, u16 qid)</t>
  </si>
  <si>
    <t xml:space="preserve">Creates the H2C queue: clears an existing one, allocates a 16384-entry ring (index 15) of 16-byte descriptors plus writeback, assigns MSI-X vector, INIT_WORK(iwfg_tx_clean), programs QDMA contexts (iwfg_qdma_init_tx_queue), resets h2c_busy to 0 and publishes priv-&gt;queue[qid].</t>
  </si>
  <si>
    <t xml:space="preserve">0; -ENOMEM; context-programming error</t>
  </si>
  <si>
    <t xml:space="preserve">vid = (qid % num_q_vectors) + 2; ring bytes = ALIGN(16 * 16383 + 8, PAGE_SIZE) = 262144 with 4 KiB pages</t>
  </si>
  <si>
    <t xml:space="preserve">bytes, descriptors</t>
  </si>
  <si>
    <t xml:space="preserve">iwfg_open() (H2C), overflow recovery</t>
  </si>
  <si>
    <t xml:space="preserve">rngcnt_idx 15 -&gt; iwfg_ring_count(15) = 16384, real_count 16383, writeback at desc + 16*16383. h2c_busy reset clears a stuck 1 (killed run) or 2 (recovery). On a failure after allocation, clear_tx_queue finds priv-&gt;queue[qid] NULL and returns, so q/ring are not freed.</t>
  </si>
  <si>
    <t xml:space="preserve">DRV-268</t>
  </si>
  <si>
    <t xml:space="preserve">iwfg_clear_rx_queue</t>
  </si>
  <si>
    <t xml:space="preserve">void iwfg_clear_rx_queue(struct iwfg_private *priv, u16 qid)</t>
  </si>
  <si>
    <t xml:space="preserve">Tears down the C2H queue (same order as iwfg_clear_tx_queue) and frees both the descriptor and completion rings.</t>
  </si>
  <si>
    <t xml:space="preserve">iwfg_release() (C2H), iwfg_init_rx_queue(), overflow recovery</t>
  </si>
  <si>
    <t xml:space="preserve">iwfg_rx_poll must never run on a freed queue/ring; current_work() guard avoids self-deadlock when called from the recovery.</t>
  </si>
  <si>
    <t xml:space="preserve">DRV-269</t>
  </si>
  <si>
    <t xml:space="preserve">iwfg_init_rx_queue</t>
  </si>
  <si>
    <t xml:space="preserve">int iwfg_init_rx_queue(struct iwfg_private *priv, u16 qid)</t>
  </si>
  <si>
    <t xml:space="preserve">Creates the C2H queue: 16384-entry descriptor ring (8-byte descriptors, color 0) and 16384-entry completion ring (8-byte entries, color 1), INIT_WORK(iwfg_rx_poll), programs contexts with bufsz_idx 15 (16 KiB), sets PIDX 0 and completion CIDX 0 with irq_arm=1.</t>
  </si>
  <si>
    <t xml:space="preserve">desc ring bytes = ALIGN(8*16383 + 8, PAGE_SIZE) = 131072; cmpl ring bytes = ALIGN(8*16383 + 8, PAGE_SIZE) = 131072</t>
  </si>
  <si>
    <t xml:space="preserve">iwfg_open() (C2H), overflow recovery</t>
  </si>
  <si>
    <t xml:space="preserve">Logs 'RX queue %d, ring count %d, ring size %d, real_count %d'. Same error-path leak pattern as iwfg_init_tx_queue.</t>
  </si>
  <si>
    <t xml:space="preserve">DRV-270</t>
  </si>
  <si>
    <t xml:space="preserve">iwfg_ring_get_real_count</t>
  </si>
  <si>
    <t xml:space="preserve">inline static u16 iwfg_ring_get_real_count(struct iwfg_ring *ring)</t>
  </si>
  <si>
    <t xml:space="preserve">Usable ring entries: count - 1 when a writeback/status entry exists.</t>
  </si>
  <si>
    <t xml:space="preserve">ring</t>
  </si>
  <si>
    <t xml:space="preserve">u16</t>
  </si>
  <si>
    <t xml:space="preserve">real_count = wb ? count - 1 : count</t>
  </si>
  <si>
    <t xml:space="preserve">DRV-271</t>
  </si>
  <si>
    <t xml:space="preserve">iwfg_ring_full</t>
  </si>
  <si>
    <t xml:space="preserve">inline static bool iwfg_ring_full(struct iwfg_ring *ring)</t>
  </si>
  <si>
    <t xml:space="preserve">True when advancing next_to_use would hit next_to_clean.</t>
  </si>
  <si>
    <t xml:space="preserve">(next_to_use + 1) % real_count == next_to_clean</t>
  </si>
  <si>
    <t xml:space="preserve">iwfg_rx_poll() (debug log only)</t>
  </si>
  <si>
    <t xml:space="preserve">DRV-272</t>
  </si>
  <si>
    <t xml:space="preserve">iwfg_ring_increment_head</t>
  </si>
  <si>
    <t xml:space="preserve">inline static void iwfg_ring_increment_head(struct iwfg_ring *ring)</t>
  </si>
  <si>
    <t xml:space="preserve">Advances the producer index.</t>
  </si>
  <si>
    <t xml:space="preserve">next_to_use = (next_to_use + 1) % real_count</t>
  </si>
  <si>
    <t xml:space="preserve">iwfg_tx_roll, iwfg_rx_post_user_descs_locked</t>
  </si>
  <si>
    <t xml:space="preserve">DRV-273</t>
  </si>
  <si>
    <t xml:space="preserve">iwfg_ring_increment_tail</t>
  </si>
  <si>
    <t xml:space="preserve">inline static void iwfg_ring_increment_tail(struct iwfg_ring *ring)</t>
  </si>
  <si>
    <t xml:space="preserve">Advances the consumer index.</t>
  </si>
  <si>
    <t xml:space="preserve">next_to_clean = (next_to_clean + 1) % real_count</t>
  </si>
  <si>
    <t xml:space="preserve">iwfg_tx_reclaim, iwfg_rx_poll</t>
  </si>
  <si>
    <t xml:space="preserve">DRV-274</t>
  </si>
  <si>
    <t xml:space="preserve">iwfg_ring_in_flight</t>
  </si>
  <si>
    <t xml:space="preserve">inline static u16 iwfg_ring_in_flight(struct iwfg_ring *ring)</t>
  </si>
  <si>
    <t xml:space="preserve">Descriptors posted but not yet consumed.</t>
  </si>
  <si>
    <t xml:space="preserve">next_to_use &gt;= next_to_clean ? next_to_use - next_to_clean : real_count - next_to_clean + next_to_use</t>
  </si>
  <si>
    <t xml:space="preserve">iwfg_rx_maybe_post_prearm, iwfg_ring_free_count</t>
  </si>
  <si>
    <t xml:space="preserve">DRV-275</t>
  </si>
  <si>
    <t xml:space="preserve">iwfg_ring_free_count</t>
  </si>
  <si>
    <t xml:space="preserve">inline static u16 iwfg_ring_free_count(struct iwfg_ring *ring)</t>
  </si>
  <si>
    <t xml:space="preserve">Free ring slots (one slot kept empty to distinguish full from empty).</t>
  </si>
  <si>
    <t xml:space="preserve">real_count - in_flight - 1</t>
  </si>
  <si>
    <t xml:space="preserve">DRV-276</t>
  </si>
  <si>
    <t xml:space="preserve">iwfg_user_buf</t>
  </si>
  <si>
    <t xml:space="preserve">struct iwfg_user_buf</t>
  </si>
  <si>
    <t xml:space="preserve">C2H helper's copy of struct iwfg_user_buf (legacy header).</t>
  </si>
  <si>
    <t xml:space="preserve">c2h_stream main()</t>
  </si>
  <si>
    <t xml:space="preserve">DRV-277</t>
  </si>
  <si>
    <t xml:space="preserve">iwfg_user_dma_req</t>
  </si>
  <si>
    <t xml:space="preserve">struct iwfg_user_dma_req</t>
  </si>
  <si>
    <t xml:space="preserve">C2H helper's copy of struct iwfg_user_dma_req (legacy header).</t>
  </si>
  <si>
    <t xml:space="preserve">c2h_stream main loop</t>
  </si>
  <si>
    <t xml:space="preserve">DRV-278</t>
  </si>
  <si>
    <t xml:space="preserve">H2C helper's copy of struct iwfg_user_buf (v2 header).</t>
  </si>
  <si>
    <t xml:space="preserve">iwfg_h2c register_dma_bufs()</t>
  </si>
  <si>
    <t xml:space="preserve">Same members/order as iwfg_uapi.h:57 using __u32/__s32.</t>
  </si>
  <si>
    <t xml:space="preserve">DRV-279</t>
  </si>
  <si>
    <t xml:space="preserve">H2C helper's copy of struct iwfg_user_dma_req.</t>
  </si>
  <si>
    <t xml:space="preserve">iwfg_h2c main loop</t>
  </si>
  <si>
    <t xml:space="preserve">Comments document offset/flags as ignored by the H2C path.</t>
  </si>
  <si>
    <t xml:space="preserve">DRV-280</t>
  </si>
  <si>
    <t xml:space="preserve">iwfg_c2h_prearm</t>
  </si>
  <si>
    <t xml:space="preserve">struct iwfg_c2h_prearm</t>
  </si>
  <si>
    <t xml:space="preserve">Optional C2H extension appended immediately after struct iwfg_user_dma_req in the same DMA_DATA argument: names the NEXT ring buffer so the driver can post its descriptors before the current buffer drains.</t>
  </si>
  <si>
    <t xml:space="preserve">next_buf, next_size</t>
  </si>
  <si>
    <t xml:space="preserve">valid iff next_buf != NULL &amp;&amp; next_size == req.size</t>
  </si>
  <si>
    <t xml:space="preserve">c2h_stream (fifo_pipe.c:222-238); iwfg_ioctl (iwfg_main.c:429-458)</t>
  </si>
  <si>
    <t xml:space="preserve">Not in iwfg_uapi.h or C2H/iwfg_user.h; fifo_pipe.c defines its own copy under #ifndef IWFG_HAVE_C2H_PREARM. Prevents descriptor starvation between ioctls.</t>
  </si>
  <si>
    <t xml:space="preserve">DRV-281</t>
  </si>
  <si>
    <t xml:space="preserve">iwfg_c2h_prearm.next_buf</t>
  </si>
  <si>
    <t xml:space="preserve">void *next_buf;</t>
  </si>
  <si>
    <t xml:space="preserve">VA of the next buffer (registered or registrable), or NULL for no pre-arming.</t>
  </si>
  <si>
    <t xml:space="preserve">Passed to iwfg_add_user_buf(), which dedups to the registered handle.</t>
  </si>
  <si>
    <t xml:space="preserve">DRV-282</t>
  </si>
  <si>
    <t xml:space="preserve">iwfg_c2h_prearm.next_size</t>
  </si>
  <si>
    <t xml:space="preserve">__u32 next_size;</t>
  </si>
  <si>
    <t xml:space="preserve">Must equal the current dma_req.size, otherwise the block is ignored.</t>
  </si>
  <si>
    <t xml:space="preserve">DRV-283</t>
  </si>
  <si>
    <t xml:space="preserve">Kernel-side struct iwfg_user_buf (u32/s32/bool).</t>
  </si>
  <si>
    <t xml:space="preserve">iwfg_ioctl, iwfg_add_dma_alloc_buf, iwfg_add_dma_import_buf</t>
  </si>
  <si>
    <t xml:space="preserve">DRV-284</t>
  </si>
  <si>
    <t xml:space="preserve">Kernel-side struct iwfg_user_dma_req.</t>
  </si>
  <si>
    <t xml:space="preserve">Comment claims the driver sets flags on C2H; the current code never does.</t>
  </si>
  <si>
    <t xml:space="preserve">DRV-285</t>
  </si>
  <si>
    <t xml:space="preserve">Kernel-side definition of the prearm block.</t>
  </si>
  <si>
    <t xml:space="preserve">void __user *next_buf; u32 next_size</t>
  </si>
  <si>
    <t xml:space="preserve">iwfg_ioctl DMA_DATA C2H branch</t>
  </si>
  <si>
    <t xml:space="preserve">DRV-286</t>
  </si>
  <si>
    <t xml:space="preserve">iwfg_stream_params</t>
  </si>
  <si>
    <t xml:space="preserve">struct iwfg_stream_params</t>
  </si>
  <si>
    <t xml:space="preserve">Kernel-side struct iwfg_stream_params.</t>
  </si>
  <si>
    <t xml:space="preserve">iwfg_query_stream_params()</t>
  </si>
  <si>
    <t xml:space="preserve">DRV-287</t>
  </si>
  <si>
    <t xml:space="preserve">IWFG_DIR_C2H_BUF</t>
  </si>
  <si>
    <t xml:space="preserve">#define IWFG_DIR_C2H_BUF 0</t>
  </si>
  <si>
    <t xml:space="preserve">Direction value for iwfg_user_dma_req.direction: card-to-host.</t>
  </si>
  <si>
    <t xml:space="preserve">c2h_stream (fifo_pipe.c:229)</t>
  </si>
  <si>
    <t xml:space="preserve">Informational only: the driver derives direction from icdev-&gt;direction (which node was opened).</t>
  </si>
  <si>
    <t xml:space="preserve">DRV-288</t>
  </si>
  <si>
    <t xml:space="preserve">IWFG_DIR_H2C_BUF</t>
  </si>
  <si>
    <t xml:space="preserve">#define IWFG_DIR_H2C_BUF 1</t>
  </si>
  <si>
    <t xml:space="preserve">Direction value for iwfg_user_dma_req.direction: host-to-card.</t>
  </si>
  <si>
    <t xml:space="preserve">iwfg_h2c (iwfg_h2c.c:577)</t>
  </si>
  <si>
    <t xml:space="preserve">Informational only; ignored by the driver.</t>
  </si>
  <si>
    <t xml:space="preserve">DRV-289</t>
  </si>
  <si>
    <t xml:space="preserve">IWFG_FLAG_NORM_PACKET</t>
  </si>
  <si>
    <t xml:space="preserve">#define IWFG_FLAG_NORM_PACKET 0</t>
  </si>
  <si>
    <t xml:space="preserve">Chunked-transfer flag: normal packet.</t>
  </si>
  <si>
    <t xml:space="preserve">iwfg_h2c (iwfg_h2c.c:579)</t>
  </si>
  <si>
    <t xml:space="preserve">The current driver ignores dma_req.flags on both paths (H2C posts the whole list; C2H never writes flags back).</t>
  </si>
  <si>
    <t xml:space="preserve">DRV-290</t>
  </si>
  <si>
    <t xml:space="preserve">IWFG_FLAG_LAST_PACKET</t>
  </si>
  <si>
    <t xml:space="preserve">#define IWFG_FLAG_LAST_PACKET 1</t>
  </si>
  <si>
    <t xml:space="preserve">Chunked-transfer flag: last packet.</t>
  </si>
  <si>
    <t xml:space="preserve">Ignored by the current driver (the iwfg_xmit_data code that used it is commented out).</t>
  </si>
  <si>
    <t xml:space="preserve">DRV-291</t>
  </si>
  <si>
    <t xml:space="preserve">iwfg_buf_type</t>
  </si>
  <si>
    <t xml:space="preserve">enum iwfg_buf_type</t>
  </si>
  <si>
    <t xml:space="preserve">Enum of buffer kinds accepted by IWFG_IOCTL_ADD_BUF.</t>
  </si>
  <si>
    <t xml:space="preserve">USERPTR=0, DMA_ALLOC=1, DMA_IMPORT=2</t>
  </si>
  <si>
    <t xml:space="preserve">iwfg_ioctl ADD_BUF switch</t>
  </si>
  <si>
    <t xml:space="preserve">DRV-292</t>
  </si>
  <si>
    <t xml:space="preserve">IWFG_BUF_TYPE_USERPTR</t>
  </si>
  <si>
    <t xml:space="preserve">IWFG_BUF_TYPE_USERPTR = 0,</t>
  </si>
  <si>
    <t xml:space="preserve">User-pointer buffer: driver pins the caller's pages (get_user_pages_fast) and DMA-maps them.</t>
  </si>
  <si>
    <t xml:space="preserve">c2h_stream, iwfg_h2c (both use only this type)</t>
  </si>
  <si>
    <t xml:space="preserve">Cannot be exported as DMA-BUF (iwfg_dmabuf_export rejects it).</t>
  </si>
  <si>
    <t xml:space="preserve">DRV-293</t>
  </si>
  <si>
    <t xml:space="preserve">IWFG_BUF_TYPE_DMA_ALLOC</t>
  </si>
  <si>
    <t xml:space="preserve">IWFG_BUF_TYPE_DMA_ALLOC = 1,</t>
  </si>
  <si>
    <t xml:space="preserve">Driver-allocated CMA buffer, auto-exported as DMA-BUF.</t>
  </si>
  <si>
    <t xml:space="preserve">Handled only under CONFIG_ARM/ARM64; on x86 hosts ADD_BUF returns -EINVAL.</t>
  </si>
  <si>
    <t xml:space="preserve">DRV-294</t>
  </si>
  <si>
    <t xml:space="preserve">IWFG_BUF_TYPE_DMA_IMPORT</t>
  </si>
  <si>
    <t xml:space="preserve">IWFG_BUF_TYPE_DMA_IMPORT = 2,</t>
  </si>
  <si>
    <t xml:space="preserve">Import an external DMA-BUF (import_fd) for QDMA use.</t>
  </si>
  <si>
    <t xml:space="preserve">2</t>
  </si>
  <si>
    <t xml:space="preserve">DRV-295</t>
  </si>
  <si>
    <t xml:space="preserve">IWFG_IOCTL_ADD_BUF argument: input description of the buffer plus driver-filled outputs.</t>
  </si>
  <si>
    <t xml:space="preserve">buf, size, buf_type, import_fd, is_chunked, chunk_size</t>
  </si>
  <si>
    <t xml:space="preserve">dmabuf_fd, buf_index</t>
  </si>
  <si>
    <t xml:space="preserve">LP64 layout: 8+4+4+4+1(+3 pad)+4+4+4 (+4 tail pad) = 40 bytes</t>
  </si>
  <si>
    <t xml:space="preserve">Bit-for-bit mirror of iwfg.h:65 (u32==uint32_t, kernel bool==_Bool). .compat_ioctl reuses iwfg_ioctl with no translation; a 32-bit caller encodes a different size in the cmd and falls to -ENOTTY.</t>
  </si>
  <si>
    <t xml:space="preserve">DRV-296</t>
  </si>
  <si>
    <t xml:space="preserve">iwfg_user_buf.buf</t>
  </si>
  <si>
    <t xml:space="preserve">void *buf;</t>
  </si>
  <si>
    <t xml:space="preserve">User virtual address of a USERPTR buffer.</t>
  </si>
  <si>
    <t xml:space="preserve">page-aligned VA recommended (helpers use posix_memalign(4096))</t>
  </si>
  <si>
    <t xml:space="preserve">If not page-aligned, sgl[0] is a partial page; on H2C the descriptor length becomes min(sg_dma_len(sgl[0]),16384), i.e. shorter descriptors.</t>
  </si>
  <si>
    <t xml:space="preserve">DRV-297</t>
  </si>
  <si>
    <t xml:space="preserve">iwfg_user_buf.size</t>
  </si>
  <si>
    <t xml:space="preserve">uint32_t size;</t>
  </si>
  <si>
    <t xml:space="preserve">Buffer length.</t>
  </si>
  <si>
    <t xml:space="preserve">0 is rejected (iwfg_add_user_buf returns NULL -&gt; -EINVAL). For C2H, the first buffer registered after open also programs IWFG_C2H_TOT_BUFSZ with this size.</t>
  </si>
  <si>
    <t xml:space="preserve">DRV-298</t>
  </si>
  <si>
    <t xml:space="preserve">iwfg_user_buf.buf_type</t>
  </si>
  <si>
    <t xml:space="preserve">uint32_t buf_type;</t>
  </si>
  <si>
    <t xml:space="preserve">enum iwfg_buf_type selector.</t>
  </si>
  <si>
    <t xml:space="preserve">IWFG_BUF_TYPE_USERPTR on x86</t>
  </si>
  <si>
    <t xml:space="preserve">DRV-299</t>
  </si>
  <si>
    <t xml:space="preserve">iwfg_user_buf.import_fd</t>
  </si>
  <si>
    <t xml:space="preserve">int32_t import_fd;</t>
  </si>
  <si>
    <t xml:space="preserve">DMA-BUF fd to import (DMA_IMPORT only).</t>
  </si>
  <si>
    <t xml:space="preserve">-1 for USERPTR</t>
  </si>
  <si>
    <t xml:space="preserve">Not validated on the USERPTR path.</t>
  </si>
  <si>
    <t xml:space="preserve">DRV-300</t>
  </si>
  <si>
    <t xml:space="preserve">iwfg_user_buf.is_chunked</t>
  </si>
  <si>
    <t xml:space="preserve">bool is_chunked;</t>
  </si>
  <si>
    <t xml:space="preserve">Chunked mode: completions are signalled every chunk_size bytes instead of once per full buffer.</t>
  </si>
  <si>
    <t xml:space="preserve">Helpers pass false. If true with chunk_size 0, iwfg_add_user_buf divides by zero (req_compls = size / size_to_fill, iwfg_dma.c:1920) - no validation.</t>
  </si>
  <si>
    <t xml:space="preserve">DRV-301</t>
  </si>
  <si>
    <t xml:space="preserve">iwfg_user_buf.chunk_size</t>
  </si>
  <si>
    <t xml:space="preserve">uint32_t chunk_size;</t>
  </si>
  <si>
    <t xml:space="preserve">Chunk length when is_chunked.</t>
  </si>
  <si>
    <t xml:space="preserve">DRV-302</t>
  </si>
  <si>
    <t xml:space="preserve">iwfg_user_buf.dmabuf_fd</t>
  </si>
  <si>
    <t xml:space="preserve">int32_t dmabuf_fd;</t>
  </si>
  <si>
    <t xml:space="preserve">Output: exported DMA-BUF fd.</t>
  </si>
  <si>
    <t xml:space="preserve">-1 for USERPTR (set at iwfg_main.c:370)</t>
  </si>
  <si>
    <t xml:space="preserve">iwfg_add_dma_alloc_buf() never writes this field back, so DMA_ALLOC callers get their own input value.</t>
  </si>
  <si>
    <t xml:space="preserve">DRV-303</t>
  </si>
  <si>
    <t xml:space="preserve">iwfg_user_buf.buf_index</t>
  </si>
  <si>
    <t xml:space="preserve">uint32_t buf_index;</t>
  </si>
  <si>
    <t xml:space="preserve">Output: index of the buffer in the per-cdev dma_buf_list, used later as iwfg_user_dma_req.buf_index.</t>
  </si>
  <si>
    <t xml:space="preserve">0-based list position</t>
  </si>
  <si>
    <t xml:space="preserve">Indices are per open file's cdev list and become invalid after close(); iwfg_h2c re-registers after every reopen.</t>
  </si>
  <si>
    <t xml:space="preserve">DRV-304</t>
  </si>
  <si>
    <t xml:space="preserve">IWFG_IOCTL_DMA_DATA argument.</t>
  </si>
  <si>
    <t xml:space="preserve">buf, size, offset, direction, buf_index, flags</t>
  </si>
  <si>
    <t xml:space="preserve">LP64 layout: 8 + 5*4 = 28 -&gt; padded to 32 bytes; the C2H prearm block is read from arg + sizeof(struct iwfg_user_dma_req)</t>
  </si>
  <si>
    <t xml:space="preserve">DRV-305</t>
  </si>
  <si>
    <t xml:space="preserve">iwfg_user_dma_req.buf</t>
  </si>
  <si>
    <t xml:space="preserve">Buffer VA; NULL means look the buffer up by buf_index.</t>
  </si>
  <si>
    <t xml:space="preserve">A non-NULL pointer calls iwfg_add_user_buf() (auto-registers, dedup by (addr,size)).</t>
  </si>
  <si>
    <t xml:space="preserve">DRV-306</t>
  </si>
  <si>
    <t xml:space="preserve">iwfg_user_dma_req.size</t>
  </si>
  <si>
    <t xml:space="preserve">Transfer size; also the auto-register size and the value next_size must match for prearm.</t>
  </si>
  <si>
    <t xml:space="preserve">The H2C path always sends the whole registered buffer regardless of size.</t>
  </si>
  <si>
    <t xml:space="preserve">DRV-307</t>
  </si>
  <si>
    <t xml:space="preserve">iwfg_user_dma_req.offset</t>
  </si>
  <si>
    <t xml:space="preserve">uint32_t offset;</t>
  </si>
  <si>
    <t xml:space="preserve">Offset for chunked transfers.</t>
  </si>
  <si>
    <t xml:space="preserve">Ignored by the current driver.</t>
  </si>
  <si>
    <t xml:space="preserve">DRV-308</t>
  </si>
  <si>
    <t xml:space="preserve">iwfg_user_dma_req.direction</t>
  </si>
  <si>
    <t xml:space="preserve">uint32_t direction;</t>
  </si>
  <si>
    <t xml:space="preserve">IWFG_DIR_* value.</t>
  </si>
  <si>
    <t xml:space="preserve">Informational only; only logged.</t>
  </si>
  <si>
    <t xml:space="preserve">DRV-309</t>
  </si>
  <si>
    <t xml:space="preserve">iwfg_user_dma_req.buf_index</t>
  </si>
  <si>
    <t xml:space="preserve">Index from ADD_BUF, used when buf == NULL (iwfg_get_user_buf_by_index).</t>
  </si>
  <si>
    <t xml:space="preserve">-EINVAL if no such index</t>
  </si>
  <si>
    <t xml:space="preserve">DRV-310</t>
  </si>
  <si>
    <t xml:space="preserve">iwfg_user_dma_req.flags</t>
  </si>
  <si>
    <t xml:space="preserve">uint32_t flags;</t>
  </si>
  <si>
    <t xml:space="preserve">IWFG_FLAG_* for chunked transfers.</t>
  </si>
  <si>
    <t xml:space="preserve">Ignored by the current driver in both directions.</t>
  </si>
  <si>
    <t xml:space="preserve">DRV-311</t>
  </si>
  <si>
    <t xml:space="preserve">IWFG_IOCTL_QUERY_STREAM_PARAMS result.</t>
  </si>
  <si>
    <t xml:space="preserve">width, height, bpp</t>
  </si>
  <si>
    <t xml:space="preserve">DRV-312</t>
  </si>
  <si>
    <t xml:space="preserve">iwfg_stream_params.width</t>
  </si>
  <si>
    <t xml:space="preserve">uint32_t width;</t>
  </si>
  <si>
    <t xml:space="preserve">Width field of IWFG_CARD_VID_STREAM_PRAM_REG_OFFSET.</t>
  </si>
  <si>
    <t xml:space="preserve">BITFIELD_GET(GENMASK(17,4), reg)</t>
  </si>
  <si>
    <t xml:space="preserve">DRV-313</t>
  </si>
  <si>
    <t xml:space="preserve">iwfg_stream_params.height</t>
  </si>
  <si>
    <t xml:space="preserve">uint32_t height;</t>
  </si>
  <si>
    <t xml:space="preserve">Height field of IWFG_CARD_VID_STREAM_PRAM_REG_OFFSET.</t>
  </si>
  <si>
    <t xml:space="preserve">BITFIELD_GET(GENMASK(31,18), reg)</t>
  </si>
  <si>
    <t xml:space="preserve">DRV-314</t>
  </si>
  <si>
    <t xml:space="preserve">iwfg_stream_params.bpp</t>
  </si>
  <si>
    <t xml:space="preserve">uint32_t bpp;</t>
  </si>
  <si>
    <t xml:space="preserve">Bits-per-pixel field of IWFG_CARD_VID_STREAM_PRAM_REG_OFFSET.</t>
  </si>
  <si>
    <t xml:space="preserve">BITFIELD_GET(GENMASK(3,0), reg)</t>
  </si>
  <si>
    <t xml:space="preserve">QDMA Registers - API reference</t>
  </si>
  <si>
    <t xml:space="preserve">133 entries. Source: iW-ASCEJ-01-SF-R1.0-REL1.0/iW-ASCEJ-01-SC-R1.0-REL1.0 and iW-ASCEJ-01-FF-R1.0-REL1.0 of release REL1.0 (1.2.5).</t>
  </si>
  <si>
    <t xml:space="preserve">REG-001</t>
  </si>
  <si>
    <t xml:space="preserve">QDMA / Registers</t>
  </si>
  <si>
    <t xml:space="preserve">QDMA_NUM_DESC_RNGCNT</t>
  </si>
  <si>
    <t xml:space="preserve">#define QDMA_NUM_DESC_RNGCNT 16</t>
  </si>
  <si>
    <t xml:space="preserve">Entries in the global ring-size table.</t>
  </si>
  <si>
    <t xml:space="preserve">rngcnt_pool, iwfg_ring_count</t>
  </si>
  <si>
    <t xml:space="preserve">01_sdr_workstation_GUI/drivers/qdma_access/qdma_export.h</t>
  </si>
  <si>
    <t xml:space="preserve">REG-002</t>
  </si>
  <si>
    <t xml:space="preserve">QDMA_NUM_C2H_BUFSZ</t>
  </si>
  <si>
    <t xml:space="preserve">#define QDMA_NUM_C2H_BUFSZ 16</t>
  </si>
  <si>
    <t xml:space="preserve">Entries in the C2H buffer-size table.</t>
  </si>
  <si>
    <t xml:space="preserve">c2h_bufsz_pool, iwfg_get_c2h_bufsz[_idx]</t>
  </si>
  <si>
    <t xml:space="preserve">REG-003</t>
  </si>
  <si>
    <t xml:space="preserve">QDMA_NUM_C2H_TIMERS</t>
  </si>
  <si>
    <t xml:space="preserve">#define QDMA_NUM_C2H_TIMERS 16</t>
  </si>
  <si>
    <t xml:space="preserve">Entries in the C2H timer table.</t>
  </si>
  <si>
    <t xml:space="preserve">REG-004</t>
  </si>
  <si>
    <t xml:space="preserve">QDMA_NUM_C2H_COUNTERS</t>
  </si>
  <si>
    <t xml:space="preserve">#define QDMA_NUM_C2H_COUNTERS 16</t>
  </si>
  <si>
    <t xml:space="preserve">Entries in the C2H counter-threshold table.</t>
  </si>
  <si>
    <t xml:space="preserve">REG-005</t>
  </si>
  <si>
    <t xml:space="preserve">qdma_dir</t>
  </si>
  <si>
    <t xml:space="preserve">enum qdma_dir</t>
  </si>
  <si>
    <t xml:space="preserve">Queue direction enum.</t>
  </si>
  <si>
    <t xml:space="preserve">QDMA_H2C=0, QDMA_C2H=1</t>
  </si>
  <si>
    <t xml:space="preserve">REG-006</t>
  </si>
  <si>
    <t xml:space="preserve">qdma_wb_intvl</t>
  </si>
  <si>
    <t xml:space="preserve">enum qdma_wb_intvl</t>
  </si>
  <si>
    <t xml:space="preserve">H2C writeback interval enum.</t>
  </si>
  <si>
    <t xml:space="preserve">QDMA_WB_INTVL_4=0 ... QDMA_WB_INTVL_512=7</t>
  </si>
  <si>
    <t xml:space="preserve">REG-007</t>
  </si>
  <si>
    <t xml:space="preserve">QDMA_H2C_ST_DESC_SIZE</t>
  </si>
  <si>
    <t xml:space="preserve">#define QDMA_H2C_ST_DESC_SIZE 16</t>
  </si>
  <si>
    <t xml:space="preserve">H2C stream descriptor size (software context desc_sz=1).</t>
  </si>
  <si>
    <t xml:space="preserve">iwfg_init_tx_queue, iwfg_clear_tx_queue, iwfg_tx_roll</t>
  </si>
  <si>
    <t xml:space="preserve">REG-008</t>
  </si>
  <si>
    <t xml:space="preserve">QDMA_H2C_ST_DESC_DW0_METADATA_LEN_MASK</t>
  </si>
  <si>
    <t xml:space="preserve">#define QDMA_H2C_ST_DESC_DW0_METADATA_LEN_MASK GENMASK_ULL(15, 0)</t>
  </si>
  <si>
    <t xml:space="preserve">H2C descriptor metadata length (driver sets = len, for the user logic).</t>
  </si>
  <si>
    <t xml:space="preserve">GENMASK_ULL(15, 0)</t>
  </si>
  <si>
    <t xml:space="preserve">REG-009</t>
  </si>
  <si>
    <t xml:space="preserve">QDMA_H2C_ST_DESC_DW0_METADATA_SOF_MASK</t>
  </si>
  <si>
    <t xml:space="preserve">#define QDMA_H2C_ST_DESC_DW0_METADATA_SOF_MASK GENMASK_ULL(31, 16)</t>
  </si>
  <si>
    <t xml:space="preserve">H2C descriptor SOF field (1 on the first descriptor of a buffer).</t>
  </si>
  <si>
    <t xml:space="preserve">GENMASK_ULL(31, 16)</t>
  </si>
  <si>
    <t xml:space="preserve">REG-010</t>
  </si>
  <si>
    <t xml:space="preserve">QDMA_H2C_ST_DESC_DW0_LEN_MASK</t>
  </si>
  <si>
    <t xml:space="preserve">#define QDMA_H2C_ST_DESC_DW0_LEN_MASK GENMASK_ULL(47, 32)</t>
  </si>
  <si>
    <t xml:space="preserve">H2C descriptor data length (&lt;= 16384 as used).</t>
  </si>
  <si>
    <t xml:space="preserve">GENMASK_ULL(47, 32)</t>
  </si>
  <si>
    <t xml:space="preserve">REG-011</t>
  </si>
  <si>
    <t xml:space="preserve">qdma_h2c_st_desc</t>
  </si>
  <si>
    <t xml:space="preserve">struct qdma_h2c_st_desc</t>
  </si>
  <si>
    <t xml:space="preserve">H2C stream descriptor fields: metadata_len, sof, len, src_addr.</t>
  </si>
  <si>
    <t xml:space="preserve">REG-012</t>
  </si>
  <si>
    <t xml:space="preserve">QDMA_C2H_ST_DESC_SIZE</t>
  </si>
  <si>
    <t xml:space="preserve">#define QDMA_C2H_ST_DESC_SIZE 8</t>
  </si>
  <si>
    <t xml:space="preserve">C2H stream descriptor size (desc_sz=0).</t>
  </si>
  <si>
    <t xml:space="preserve">iwfg_init_rx_queue, iwfg_rx_post_user_descs_locked</t>
  </si>
  <si>
    <t xml:space="preserve">REG-013</t>
  </si>
  <si>
    <t xml:space="preserve">qdma_c2h_st_desc</t>
  </si>
  <si>
    <t xml:space="preserve">struct qdma_c2h_st_desc</t>
  </si>
  <si>
    <t xml:space="preserve">C2H stream descriptor: dst_addr only (buffer length comes from the prefetch bufsz_idx).</t>
  </si>
  <si>
    <t xml:space="preserve">REG-014</t>
  </si>
  <si>
    <t xml:space="preserve">QDMA_WB_STAT_SIZE</t>
  </si>
  <si>
    <t xml:space="preserve">#define QDMA_WB_STAT_SIZE 8</t>
  </si>
  <si>
    <t xml:space="preserve">Descriptor-ring writeback status size (last slot).</t>
  </si>
  <si>
    <t xml:space="preserve">ring size calculation</t>
  </si>
  <si>
    <t xml:space="preserve">REG-015</t>
  </si>
  <si>
    <t xml:space="preserve">QDMA_WB_STAT_DW_PIDX_MASK</t>
  </si>
  <si>
    <t xml:space="preserve">#define QDMA_WB_STAT_DW_PIDX_MASK GENMASK_ULL(15, 0)</t>
  </si>
  <si>
    <t xml:space="preserve">Writeback status PIDX.</t>
  </si>
  <si>
    <t xml:space="preserve">REG-016</t>
  </si>
  <si>
    <t xml:space="preserve">QDMA_WB_STAT_DW_CIDX_MASK</t>
  </si>
  <si>
    <t xml:space="preserve">#define QDMA_WB_STAT_DW_CIDX_MASK GENMASK_ULL(31, 16)</t>
  </si>
  <si>
    <t xml:space="preserve">Writeback status CIDX (hardware consumer index used by iwfg_tx_reclaim).</t>
  </si>
  <si>
    <t xml:space="preserve">REG-017</t>
  </si>
  <si>
    <t xml:space="preserve">qdma_wb_stat</t>
  </si>
  <si>
    <t xml:space="preserve">struct qdma_wb_stat</t>
  </si>
  <si>
    <t xml:space="preserve">Unpacked writeback status: pidx, cidx.</t>
  </si>
  <si>
    <t xml:space="preserve">REG-018</t>
  </si>
  <si>
    <t xml:space="preserve">QDMA_C2H_CMPL_SIZE</t>
  </si>
  <si>
    <t xml:space="preserve">#define QDMA_C2H_CMPL_SIZE 8</t>
  </si>
  <si>
    <t xml:space="preserve">C2H completion entry size (cmpl_desc_sz=0).</t>
  </si>
  <si>
    <t xml:space="preserve">iwfg_init_rx_queue, iwfg_rx_poll</t>
  </si>
  <si>
    <t xml:space="preserve">REG-019</t>
  </si>
  <si>
    <t xml:space="preserve">QDMA_C2H_CMPL_DW_COLOR_MASK</t>
  </si>
  <si>
    <t xml:space="preserve">#define QDMA_C2H_CMPL_DW_COLOR_MASK GENMASK_ULL(1, 1)</t>
  </si>
  <si>
    <t xml:space="preserve">Completion color bit.</t>
  </si>
  <si>
    <t xml:space="preserve">GENMASK_ULL(1, 1)</t>
  </si>
  <si>
    <t xml:space="preserve">REG-020</t>
  </si>
  <si>
    <t xml:space="preserve">QDMA_C2H_CMPL_DW_ERR_MASK</t>
  </si>
  <si>
    <t xml:space="preserve">#define QDMA_C2H_CMPL_DW_ERR_MASK GENMASK_ULL(2, 2)</t>
  </si>
  <si>
    <t xml:space="preserve">Completion error bit.</t>
  </si>
  <si>
    <t xml:space="preserve">GENMASK_ULL(2, 2)</t>
  </si>
  <si>
    <t xml:space="preserve">REG-021</t>
  </si>
  <si>
    <t xml:space="preserve">QDMA_C2H_CMPL_DW_PKT_LEN_MASK</t>
  </si>
  <si>
    <t xml:space="preserve">#define QDMA_C2H_CMPL_DW_PKT_LEN_MASK GENMASK_ULL(19, 4)</t>
  </si>
  <si>
    <t xml:space="preserve">Completion packet length (bytes, 16 bits).</t>
  </si>
  <si>
    <t xml:space="preserve">GENMASK_ULL(19, 4)</t>
  </si>
  <si>
    <t xml:space="preserve">REG-022</t>
  </si>
  <si>
    <t xml:space="preserve">QDMA_C2H_CMPL_DW_SOF_MASK</t>
  </si>
  <si>
    <t xml:space="preserve">#define QDMA_C2H_CMPL_DW_SOF_MASK GENMASK_ULL(20, 20)</t>
  </si>
  <si>
    <t xml:space="preserve">Completion start-of-frame.</t>
  </si>
  <si>
    <t xml:space="preserve">GENMASK_ULL(20, 20)</t>
  </si>
  <si>
    <t xml:space="preserve">REG-023</t>
  </si>
  <si>
    <t xml:space="preserve">QDMA_C2H_CMPL_DW_PKT_ID_MASK</t>
  </si>
  <si>
    <t xml:space="preserve">#define QDMA_C2H_CMPL_DW_PKT_ID_MASK GENMASK_ULL(36, 21)</t>
  </si>
  <si>
    <t xml:space="preserve">Completion packet id.</t>
  </si>
  <si>
    <t xml:space="preserve">GENMASK_ULL(36, 21)</t>
  </si>
  <si>
    <t xml:space="preserve">REG-024</t>
  </si>
  <si>
    <t xml:space="preserve">QDMA_C2H_CMPL_USR_OVF_MASK</t>
  </si>
  <si>
    <t xml:space="preserve">#define QDMA_C2H_CMPL_USR_OVF_MASK GENMASK_ULL(37, 37)</t>
  </si>
  <si>
    <t xml:space="preserve">User-defined overflow flag: the PL sets it when its C2H FIFO overflowed; triggers the driver's overflow recovery.</t>
  </si>
  <si>
    <t xml:space="preserve">GENMASK_ULL(37, 37)</t>
  </si>
  <si>
    <t xml:space="preserve">REG-025</t>
  </si>
  <si>
    <t xml:space="preserve">qdma_c2h_cmpl</t>
  </si>
  <si>
    <t xml:space="preserve">struct qdma_c2h_cmpl</t>
  </si>
  <si>
    <t xml:space="preserve">Unpacked completion entry: color, err, pkt_len, sof, pkt_id, usr_ovf.</t>
  </si>
  <si>
    <t xml:space="preserve">REG-026</t>
  </si>
  <si>
    <t xml:space="preserve">QDMA_C2H_CMPL_STAT_SIZE</t>
  </si>
  <si>
    <t xml:space="preserve">#define QDMA_C2H_CMPL_STAT_SIZE 8</t>
  </si>
  <si>
    <t xml:space="preserve">C2H completion status entry size.</t>
  </si>
  <si>
    <t xml:space="preserve">REG-027</t>
  </si>
  <si>
    <t xml:space="preserve">QDMA_C2H_CMPL_STAT_DW_PIDX_MASK</t>
  </si>
  <si>
    <t xml:space="preserve">#define QDMA_C2H_CMPL_STAT_DW_PIDX_MASK GENMASK_ULL(15, 0)</t>
  </si>
  <si>
    <t xml:space="preserve">Completion status PIDX (loop bound in iwfg_rx_poll).</t>
  </si>
  <si>
    <t xml:space="preserve">REG-028</t>
  </si>
  <si>
    <t xml:space="preserve">QDMA_C2H_CMPL_STAT_DW_CIDX_MASK</t>
  </si>
  <si>
    <t xml:space="preserve">#define QDMA_C2H_CMPL_STAT_DW_CIDX_MASK GENMASK_ULL(31, 16)</t>
  </si>
  <si>
    <t xml:space="preserve">Completion status CIDX.</t>
  </si>
  <si>
    <t xml:space="preserve">REG-029</t>
  </si>
  <si>
    <t xml:space="preserve">QDMA_C2H_CMPL_STAT_DW_COLOR_MASK</t>
  </si>
  <si>
    <t xml:space="preserve">#define QDMA_C2H_CMPL_STAT_DW_COLOR_MASK GENMASK_ULL(32, 32)</t>
  </si>
  <si>
    <t xml:space="preserve">Completion status color.</t>
  </si>
  <si>
    <t xml:space="preserve">GENMASK_ULL(32, 32)</t>
  </si>
  <si>
    <t xml:space="preserve">REG-030</t>
  </si>
  <si>
    <t xml:space="preserve">QDMA_C2H_CMPL_STAT_DW_INTR_STATE_MASK</t>
  </si>
  <si>
    <t xml:space="preserve">#define QDMA_C2H_CMPL_STAT_DW_INTR_STATE_MASK GENMASK_ULL(34, 33)</t>
  </si>
  <si>
    <t xml:space="preserve">Completion status interrupt state.</t>
  </si>
  <si>
    <t xml:space="preserve">GENMASK_ULL(34, 33)</t>
  </si>
  <si>
    <t xml:space="preserve">REG-031</t>
  </si>
  <si>
    <t xml:space="preserve">qdma_c2h_cmpl_stat</t>
  </si>
  <si>
    <t xml:space="preserve">struct qdma_c2h_cmpl_stat</t>
  </si>
  <si>
    <t xml:space="preserve">Unpacked completion status: pidx, cidx, color, intr_state.</t>
  </si>
  <si>
    <t xml:space="preserve">REG-032</t>
  </si>
  <si>
    <t xml:space="preserve">qdma_error_index</t>
  </si>
  <si>
    <t xml:space="preserve">enum qdma_error_index</t>
  </si>
  <si>
    <t xml:space="preserve">Error index enum (descriptor, TRQ, C2H, fatal, H2C, SBE, DBE groups, each ending in *_ALL; QDMA_ERR_ALL last).</t>
  </si>
  <si>
    <t xml:space="preserve">qdma_error_info[], leaf_error_aggregators</t>
  </si>
  <si>
    <t xml:space="preserve">REG-033</t>
  </si>
  <si>
    <t xml:space="preserve">IWFG_VID_STREAM_BRAM_LEN</t>
  </si>
  <si>
    <t xml:space="preserve">#define IWFG_VID_STREAM_BRAM_LEN 0x1000</t>
  </si>
  <si>
    <t xml:space="preserve">Size of one stream's PL register block in BAR2; stream registers are addressed at stream_id * this + offset.</t>
  </si>
  <si>
    <t xml:space="preserve">0x1000</t>
  </si>
  <si>
    <t xml:space="preserve">iwfg_stream_read_reg/iwfg_stream_write_reg, iwfg_user_thread_fn</t>
  </si>
  <si>
    <t xml:space="preserve">REG-034</t>
  </si>
  <si>
    <t xml:space="preserve">IWFG_C2H_CTRL_REG_OFFSET</t>
  </si>
  <si>
    <t xml:space="preserve">#define IWFG_C2H_CTRL_REG_OFFSET 0x00</t>
  </si>
  <si>
    <t xml:space="preserve">C2H stream control: START (bit0), SET_BUFSZ (bit1), QDMA_C2H_QID (12:2), QDMA_C2H_BUFSZ_IDX (16:13), LEGACY_DROP (bit17).</t>
  </si>
  <si>
    <t xml:space="preserve">BAR2 offset (per stream)</t>
  </si>
  <si>
    <t xml:space="preserve">iwfg_qdma_c2h_start (=0), iwfg_rx_roll (QID, START, clear LEGACY_DROP), iwfg_update_rx_bufsz_idx (BUFSZ_IDX), iwfg_add_user_buf (SET_BUFSZ toggle), iwfg_qdma_c2h_stop (clear START), overflow recovery (literal 0x00 = 0x3)</t>
  </si>
  <si>
    <t xml:space="preserve">REG-035</t>
  </si>
  <si>
    <t xml:space="preserve">IWFG_H2C_CTRL_REG_OFFSET</t>
  </si>
  <si>
    <t xml:space="preserve">#define IWFG_H2C_CTRL_REG_OFFSET 0x04</t>
  </si>
  <si>
    <t xml:space="preserve">H2C/output control: VID_OUT_SEL (bit0) routes the PL output to the QDMA H2C AXI-Stream; DBG_SW (bit1).</t>
  </si>
  <si>
    <t xml:space="preserve">iwfg_qdma_h2c_start (set VID_OUT_SEL), iwfg_qdma_h2c_stop (clear if no other stream), iwfg_qdma_c2h_start (set VID_OUT_SEL)</t>
  </si>
  <si>
    <t xml:space="preserve">Not re-applied after the overflow recovery's soft reset - see 30_documentation/developer/DRIVER_OVERFLOW_RECOVERY.md.</t>
  </si>
  <si>
    <t xml:space="preserve">REG-036</t>
  </si>
  <si>
    <t xml:space="preserve">IWFG_C2H_TOT_BUFSZ_OFFSET</t>
  </si>
  <si>
    <t xml:space="preserve">#define IWFG_C2H_TOT_BUFSZ_OFFSET 0x08</t>
  </si>
  <si>
    <t xml:space="preserve">Total C2H buffer size seen by the PL; latched with C2H_CTRL.SET_BUFSZ.</t>
  </si>
  <si>
    <t xml:space="preserve">size of the first C2H buffer registered after open</t>
  </si>
  <si>
    <t xml:space="preserve">iwfg_add_user_buf() (C2H, once per open), overflow recovery writes literal 0x08 = 0</t>
  </si>
  <si>
    <t xml:space="preserve">REG-037</t>
  </si>
  <si>
    <t xml:space="preserve">IWFG_CARD_VID_STREAM_PRAM_REG_OFFSET</t>
  </si>
  <si>
    <t xml:space="preserve">#define IWFG_CARD_VID_STREAM_PRAM_REG_OFFSET 0x0C</t>
  </si>
  <si>
    <t xml:space="preserve">Card video-stream parameters: BPP (3:0), WIDTH (17:4), HEIGHT (31:18).</t>
  </si>
  <si>
    <t xml:space="preserve">REG-038</t>
  </si>
  <si>
    <t xml:space="preserve">IWFG_STREAM_SWITCH_INTR_REG_OFFSET</t>
  </si>
  <si>
    <t xml:space="preserve">#define IWFG_STREAM_SWITCH_INTR_REG_OFFSET 0x10</t>
  </si>
  <si>
    <t xml:space="preserve">Stream-switch interrupt register.</t>
  </si>
  <si>
    <t xml:space="preserve">Defined but not used by the driver.</t>
  </si>
  <si>
    <t xml:space="preserve">REG-039</t>
  </si>
  <si>
    <t xml:space="preserve">IWFG_C2H_INTR_REG_OFFSET</t>
  </si>
  <si>
    <t xml:space="preserve">#define IWFG_C2H_INTR_REG_OFFSET 0x14</t>
  </si>
  <si>
    <t xml:space="preserve">Card-to-host interrupt register: BIT0 interrupt, BIT1 video-stream change.</t>
  </si>
  <si>
    <t xml:space="preserve">iwfg_user_thread_fn() (read; write 0 to clear)</t>
  </si>
  <si>
    <t xml:space="preserve">REG-040</t>
  </si>
  <si>
    <t xml:space="preserve">IWFG_H2C_INTR_REG_OFFSET</t>
  </si>
  <si>
    <t xml:space="preserve">#define IWFG_H2C_INTR_REG_OFFSET 0x18</t>
  </si>
  <si>
    <t xml:space="preserve">Host-to-card interrupt/request register: BIT0 interrupt, BIT1 card stream change, BIT2 card-config query.</t>
  </si>
  <si>
    <t xml:space="preserve">iwfg_query_card_config() writes BIT0|BIT2</t>
  </si>
  <si>
    <t xml:space="preserve">REG-041</t>
  </si>
  <si>
    <t xml:space="preserve">IWFG_USER_INTR_STATUS_REG_OFFSET</t>
  </si>
  <si>
    <t xml:space="preserve">#define IWFG_USER_INTR_STATUS_REG_OFFSET 0x1C</t>
  </si>
  <si>
    <t xml:space="preserve">Per-stream user-interrupt status (value 1 = pending, write 0 to clear).</t>
  </si>
  <si>
    <t xml:space="preserve">addr = 0x1C + stream * 0x1000</t>
  </si>
  <si>
    <t xml:space="preserve">iwfg_user_thread_fn() (scan bounded by num_streams = 0)</t>
  </si>
  <si>
    <t xml:space="preserve">REG-042</t>
  </si>
  <si>
    <t xml:space="preserve">IWFG_QDMA_SOFT_RST_REG_OFFSET</t>
  </si>
  <si>
    <t xml:space="preserve">#define IWFG_QDMA_SOFT_RST_REG_OFFSET 0xA0</t>
  </si>
  <si>
    <t xml:space="preserve">QDMA soft reset: writing 1 resets the QDMA IP; the driver waits 17 ms afterwards and re-initialises.</t>
  </si>
  <si>
    <t xml:space="preserve">0x1</t>
  </si>
  <si>
    <t xml:space="preserve">µs (udelay(17000) after the write)</t>
  </si>
  <si>
    <t xml:space="preserve">iwfg_reset_hardware() (writes literal 0xa0, not this macro)</t>
  </si>
  <si>
    <t xml:space="preserve">REG-043</t>
  </si>
  <si>
    <t xml:space="preserve">IWFG_VERSION_CTRL_REG_OFFSET</t>
  </si>
  <si>
    <t xml:space="preserve">#define IWFG_VERSION_CTRL_REG_OFFSET 0xA4</t>
  </si>
  <si>
    <t xml:space="preserve">PL version register.</t>
  </si>
  <si>
    <t xml:space="preserve">Defined but not read by the driver.</t>
  </si>
  <si>
    <t xml:space="preserve">REG-044</t>
  </si>
  <si>
    <t xml:space="preserve">IWFG_TPG_PATTERN_SEL_REG_OFFSET</t>
  </si>
  <si>
    <t xml:space="preserve">#define IWFG_TPG_PATTERN_SEL_REG_OFFSET 0xA8</t>
  </si>
  <si>
    <t xml:space="preserve">Test-pattern-generator select.</t>
  </si>
  <si>
    <t xml:space="preserve">REG-045</t>
  </si>
  <si>
    <t xml:space="preserve">IWFG_CARD_CONFIG_REG_OFFSET</t>
  </si>
  <si>
    <t xml:space="preserve">#define IWFG_CARD_CONFIG_REG_OFFSET 0xAC</t>
  </si>
  <si>
    <t xml:space="preserve">Card configuration: NUM_HDMI_INPUTS (3:0), NUM_HDMI_OUTPUTS (7:4), HAS_AUDIO (bit8).</t>
  </si>
  <si>
    <t xml:space="preserve">iwfg_query_card_config()</t>
  </si>
  <si>
    <t xml:space="preserve">REG-046</t>
  </si>
  <si>
    <t xml:space="preserve">IWFG_AUD_CTRL_REG_OFFSET</t>
  </si>
  <si>
    <t xml:space="preserve">#define IWFG_AUD_CTRL_REG_OFFSET 0xF00</t>
  </si>
  <si>
    <t xml:space="preserve">Audio C2H control: START (bit0), SET_AUD_BUFSZ (bit1), C2H_QID (12:2), QDMA_BUFSZ_IDX (16:13).</t>
  </si>
  <si>
    <t xml:space="preserve">iwfg_rx_roll (audio), iwfg_update_rx_bufsz_idx (audio), iwfg_qdma_audio_start/stop</t>
  </si>
  <si>
    <t xml:space="preserve">REG-047</t>
  </si>
  <si>
    <t xml:space="preserve">IWFG_AUD_BUF_SIZE_REG_OFFSET</t>
  </si>
  <si>
    <t xml:space="preserve">#define IWFG_AUD_BUF_SIZE_REG_OFFSET 0xF04</t>
  </si>
  <si>
    <t xml:space="preserve">Audio buffer size.</t>
  </si>
  <si>
    <t xml:space="preserve">iwfg_add_user_buf (audio, once), iwfg_qdma_audio_stop (=0)</t>
  </si>
  <si>
    <t xml:space="preserve">REG-048</t>
  </si>
  <si>
    <t xml:space="preserve">IWFG_C2H_CTRL_START_MASK</t>
  </si>
  <si>
    <t xml:space="preserve">#define IWFG_C2H_CTRL_START_MASK BIT(0)</t>
  </si>
  <si>
    <t xml:space="preserve">C2H stream enable.</t>
  </si>
  <si>
    <t xml:space="preserve">BIT(0)</t>
  </si>
  <si>
    <t xml:space="preserve">iwfg_rx_roll (set), iwfg_qdma_c2h_stop (clear)</t>
  </si>
  <si>
    <t xml:space="preserve">REG-049</t>
  </si>
  <si>
    <t xml:space="preserve">IWFG_C2H_CTRL_SET_BUFSZ_MASK</t>
  </si>
  <si>
    <t xml:space="preserve">#define IWFG_C2H_CTRL_SET_BUFSZ_MASK BIT(1)</t>
  </si>
  <si>
    <t xml:space="preserve">Latch IWFG_C2H_TOT_BUFSZ (cleared, size written, set again).</t>
  </si>
  <si>
    <t xml:space="preserve">BIT(1)</t>
  </si>
  <si>
    <t xml:space="preserve">REG-050</t>
  </si>
  <si>
    <t xml:space="preserve">IWFG_C2H_CTRL_QDMA_C2H_QID_MASK</t>
  </si>
  <si>
    <t xml:space="preserve">#define IWFG_C2H_CTRL_QDMA_C2H_QID_MASK GENMASK(12, 2)</t>
  </si>
  <si>
    <t xml:space="preserve">QDMA C2H queue id the PL streams to.</t>
  </si>
  <si>
    <t xml:space="preserve">GENMASK(12, 2)</t>
  </si>
  <si>
    <t xml:space="preserve">iwfg_rx_roll (OR-ed in)</t>
  </si>
  <si>
    <t xml:space="preserve">REG-051</t>
  </si>
  <si>
    <t xml:space="preserve">IWFG_C2H_CTRL_QDMA_C2H_BUFSZ_IDX_MASK</t>
  </si>
  <si>
    <t xml:space="preserve">#define IWFG_C2H_CTRL_QDMA_C2H_BUFSZ_IDX_MASK GENMASK(16, 13)</t>
  </si>
  <si>
    <t xml:space="preserve">QDMA C2H buffer-size index (15 = 16 KiB).</t>
  </si>
  <si>
    <t xml:space="preserve">GENMASK(16, 13)</t>
  </si>
  <si>
    <t xml:space="preserve">iwfg_update_rx_bufsz_idx (OR-ed in)</t>
  </si>
  <si>
    <t xml:space="preserve">REG-052</t>
  </si>
  <si>
    <t xml:space="preserve">IWFG_C2H_CTRL_LEGACY_DROP_MASK</t>
  </si>
  <si>
    <t xml:space="preserve">#define IWFG_C2H_CTRL_LEGACY_DROP_MASK BIT(17)</t>
  </si>
  <si>
    <t xml:space="preserve">Legacy drop mode; cleared by the driver when arming.</t>
  </si>
  <si>
    <t xml:space="preserve">BIT(17)</t>
  </si>
  <si>
    <t xml:space="preserve">iwfg_rx_roll (clear)</t>
  </si>
  <si>
    <t xml:space="preserve">REG-053</t>
  </si>
  <si>
    <t xml:space="preserve">IWFG_H2C_CTRL_VID_OUT_SEL_MASK</t>
  </si>
  <si>
    <t xml:space="preserve">#define IWFG_H2C_CTRL_VID_OUT_SEL_MASK BIT(0)</t>
  </si>
  <si>
    <t xml:space="preserve">Enable the PL consumer of the QDMA H2C stream (and the loopback path). Without it tready deasserts after the PL FIFO fills and H2C transfers stall.</t>
  </si>
  <si>
    <t xml:space="preserve">iwfg_qdma_h2c_start/stop, iwfg_qdma_c2h_start</t>
  </si>
  <si>
    <t xml:space="preserve">REG-054</t>
  </si>
  <si>
    <t xml:space="preserve">IWFG_H2C_CTRL_DBG_SW_MASK</t>
  </si>
  <si>
    <t xml:space="preserve">#define IWFG_H2C_CTRL_DBG_SW_MASK BIT(1)</t>
  </si>
  <si>
    <t xml:space="preserve">Debug switch.</t>
  </si>
  <si>
    <t xml:space="preserve">unused</t>
  </si>
  <si>
    <t xml:space="preserve">REG-055</t>
  </si>
  <si>
    <t xml:space="preserve">IWFG_CARD_VID_STREAM_PRAM_BPP_MASK</t>
  </si>
  <si>
    <t xml:space="preserve">#define IWFG_CARD_VID_STREAM_PRAM_BPP_MASK GENMASK(3, 0)</t>
  </si>
  <si>
    <t xml:space="preserve">Bits per pixel.</t>
  </si>
  <si>
    <t xml:space="preserve">GENMASK(3, 0)</t>
  </si>
  <si>
    <t xml:space="preserve">REG-056</t>
  </si>
  <si>
    <t xml:space="preserve">IWFG_CARD_VID_STREAM_PRAM_WIDTH_MASK</t>
  </si>
  <si>
    <t xml:space="preserve">#define IWFG_CARD_VID_STREAM_PRAM_WIDTH_MASK GENMASK(17, 4)</t>
  </si>
  <si>
    <t xml:space="preserve">Frame width.</t>
  </si>
  <si>
    <t xml:space="preserve">GENMASK(17, 4)</t>
  </si>
  <si>
    <t xml:space="preserve">REG-057</t>
  </si>
  <si>
    <t xml:space="preserve">IWFG_CARD_VID_STREAM_PRAM_HEIGHT_MASK</t>
  </si>
  <si>
    <t xml:space="preserve">#define IWFG_CARD_VID_STREAM_PRAM_HEIGHT_MASK GENMASK(31, 18)</t>
  </si>
  <si>
    <t xml:space="preserve">Frame height.</t>
  </si>
  <si>
    <t xml:space="preserve">GENMASK(31, 18)</t>
  </si>
  <si>
    <t xml:space="preserve">REG-058</t>
  </si>
  <si>
    <t xml:space="preserve">IWFG_CARD_CONFIG_NUM_HDMI_INPUTS_MASK</t>
  </si>
  <si>
    <t xml:space="preserve">#define IWFG_CARD_CONFIG_NUM_HDMI_INPUTS_MASK GENMASK(3, 0)</t>
  </si>
  <si>
    <t xml:space="preserve">Number of HDMI inputs.</t>
  </si>
  <si>
    <t xml:space="preserve">REG-059</t>
  </si>
  <si>
    <t xml:space="preserve">IWFG_CARD_CONFIG_NUM_HDMI_OUTPUTS_MASK</t>
  </si>
  <si>
    <t xml:space="preserve">#define IWFG_CARD_CONFIG_NUM_HDMI_OUTPUTS_MASK GENMASK(7, 4)</t>
  </si>
  <si>
    <t xml:space="preserve">Number of HDMI outputs.</t>
  </si>
  <si>
    <t xml:space="preserve">GENMASK(7, 4)</t>
  </si>
  <si>
    <t xml:space="preserve">REG-060</t>
  </si>
  <si>
    <t xml:space="preserve">IWFG_CARD_CONFIG_HAS_AUDIO_MASK</t>
  </si>
  <si>
    <t xml:space="preserve">#define IWFG_CARD_CONFIG_HAS_AUDIO_MASK BIT(8)</t>
  </si>
  <si>
    <t xml:space="preserve">Audio present.</t>
  </si>
  <si>
    <t xml:space="preserve">BIT(8)</t>
  </si>
  <si>
    <t xml:space="preserve">REG-061</t>
  </si>
  <si>
    <t xml:space="preserve">IWFG_C2H_INTR_BIT_MASK</t>
  </si>
  <si>
    <t xml:space="preserve">#define IWFG_C2H_INTR_BIT_MASK BIT(0)</t>
  </si>
  <si>
    <t xml:space="preserve">C2H interrupt pending (HDMI RX resolution update).</t>
  </si>
  <si>
    <t xml:space="preserve">REG-062</t>
  </si>
  <si>
    <t xml:space="preserve">IWFG_C2H_INTR_VID_STREAM_CHANGE_MASK</t>
  </si>
  <si>
    <t xml:space="preserve">#define IWFG_C2H_INTR_VID_STREAM_CHANGE_MASK BIT(1)</t>
  </si>
  <si>
    <t xml:space="preserve">Video stream change.</t>
  </si>
  <si>
    <t xml:space="preserve">REG-063</t>
  </si>
  <si>
    <t xml:space="preserve">IWFG_H2C_INTR_BIT_MASK</t>
  </si>
  <si>
    <t xml:space="preserve">#define IWFG_H2C_INTR_BIT_MASK BIT(0)</t>
  </si>
  <si>
    <t xml:space="preserve">H2C interrupt/request strobe.</t>
  </si>
  <si>
    <t xml:space="preserve">REG-064</t>
  </si>
  <si>
    <t xml:space="preserve">IWFG_H2C_INTR_CARD_STREAM_CHANGE_MASK</t>
  </si>
  <si>
    <t xml:space="preserve">#define IWFG_H2C_INTR_CARD_STREAM_CHANGE_MASK BIT(1)</t>
  </si>
  <si>
    <t xml:space="preserve">Card stream change request.</t>
  </si>
  <si>
    <t xml:space="preserve">REG-065</t>
  </si>
  <si>
    <t xml:space="preserve">IWFG_H2C_INTR_CARD_CONFIG_QUERY_MASK</t>
  </si>
  <si>
    <t xml:space="preserve">#define IWFG_H2C_INTR_CARD_CONFIG_QUERY_MASK BIT(2)</t>
  </si>
  <si>
    <t xml:space="preserve">Card-config query request.</t>
  </si>
  <si>
    <t xml:space="preserve">BIT(2)</t>
  </si>
  <si>
    <t xml:space="preserve">REG-066</t>
  </si>
  <si>
    <t xml:space="preserve">IWFG_AUD_CTRL_START_MASK</t>
  </si>
  <si>
    <t xml:space="preserve">#define IWFG_AUD_CTRL_START_MASK BIT(0)</t>
  </si>
  <si>
    <t xml:space="preserve">Audio stream enable.</t>
  </si>
  <si>
    <t xml:space="preserve">iwfg_rx_roll (audio)</t>
  </si>
  <si>
    <t xml:space="preserve">REG-067</t>
  </si>
  <si>
    <t xml:space="preserve">IWFG_AUD_CTRL_SET_AUD_BUFSZ_MASK</t>
  </si>
  <si>
    <t xml:space="preserve">#define IWFG_AUD_CTRL_SET_AUD_BUFSZ_MASK BIT(1)</t>
  </si>
  <si>
    <t xml:space="preserve">Latch audio buffer size.</t>
  </si>
  <si>
    <t xml:space="preserve">REG-068</t>
  </si>
  <si>
    <t xml:space="preserve">IWFG_AUD_CTRL_C2H_QID_MASK</t>
  </si>
  <si>
    <t xml:space="preserve">#define IWFG_AUD_CTRL_C2H_QID_MASK GENMASK(12, 2)</t>
  </si>
  <si>
    <t xml:space="preserve">Audio QDMA C2H queue id.</t>
  </si>
  <si>
    <t xml:space="preserve">REG-069</t>
  </si>
  <si>
    <t xml:space="preserve">IWFG_AUD_CTRL_QDMA_BUFSZ_IDX_MASK</t>
  </si>
  <si>
    <t xml:space="preserve">#define IWFG_AUD_CTRL_QDMA_BUFSZ_IDX_MASK GENMASK(16, 13)</t>
  </si>
  <si>
    <t xml:space="preserve">Audio QDMA buffer-size index (driver uses 2 = 512 B).</t>
  </si>
  <si>
    <t xml:space="preserve">iwfg_update_rx_bufsz_idx (audio)</t>
  </si>
  <si>
    <t xml:space="preserve">REG-070</t>
  </si>
  <si>
    <t xml:space="preserve">INDIRECTION_TABLE_BASE_ADDR</t>
  </si>
  <si>
    <t xml:space="preserve">#define INDIRECTION_TABLE_BASE_ADDR QDMA_FUNC_OFFSET_INDIR_TABLE(0,0)</t>
  </si>
  <si>
    <t xml:space="preserve">RSS indirection-table base.</t>
  </si>
  <si>
    <t xml:space="preserve">QDMA_FUNC_OFFSET_INDIR_TABLE(0,0)</t>
  </si>
  <si>
    <t xml:space="preserve">Unused; QDMA_FUNC_OFFSET_INDIR_TABLE is not defined anywhere in the tree (harmless while unreferenced).</t>
  </si>
  <si>
    <t xml:space="preserve">REG-071</t>
  </si>
  <si>
    <t xml:space="preserve">INDIRECTION_TABLE_SIZE</t>
  </si>
  <si>
    <t xml:space="preserve">#define INDIRECTION_TABLE_SIZE 0x80</t>
  </si>
  <si>
    <t xml:space="preserve">RSS indirection-table size.</t>
  </si>
  <si>
    <t xml:space="preserve">0x80</t>
  </si>
  <si>
    <t xml:space="preserve">Unused (NIC heritage).</t>
  </si>
  <si>
    <t xml:space="preserve">REG-072</t>
  </si>
  <si>
    <t xml:space="preserve">IWFG_EN_RSS_KEY_SIZE</t>
  </si>
  <si>
    <t xml:space="preserve">#define IWFG_EN_RSS_KEY_SIZE 40</t>
  </si>
  <si>
    <t xml:space="preserve">RSS key size.</t>
  </si>
  <si>
    <t xml:space="preserve">40</t>
  </si>
  <si>
    <t xml:space="preserve">REG-073</t>
  </si>
  <si>
    <t xml:space="preserve">QDMA_MAX_BAR_LEN_MAPPED</t>
  </si>
  <si>
    <t xml:space="preserve">#define QDMA_MAX_BAR_LEN_MAPPED 0x4000000</t>
  </si>
  <si>
    <t xml:space="preserve">Cap on the BAR2 mapping length (QDMA config BAR size).</t>
  </si>
  <si>
    <t xml:space="preserve">0x4000000 (64 MiB)</t>
  </si>
  <si>
    <t xml:space="preserve">REG-074</t>
  </si>
  <si>
    <t xml:space="preserve">QDMA_OFFSET_IND_CTXT_DATA</t>
  </si>
  <si>
    <t xml:space="preserve">#define QDMA_OFFSET_IND_CTXT_DATA 0x804</t>
  </si>
  <si>
    <t xml:space="preserve">Indirect context data registers (8 words from here).</t>
  </si>
  <si>
    <t xml:space="preserve">BAR0 offset</t>
  </si>
  <si>
    <t xml:space="preserve">REG-075</t>
  </si>
  <si>
    <t xml:space="preserve">QDMA_OFFSET_IND_CTXT_MASK</t>
  </si>
  <si>
    <t xml:space="preserve">#define QDMA_OFFSET_IND_CTXT_MASK 0x824</t>
  </si>
  <si>
    <t xml:space="preserve">Indirect context mask registers (8 words, written 0xFFFFFFFF).</t>
  </si>
  <si>
    <t xml:space="preserve">REG-076</t>
  </si>
  <si>
    <t xml:space="preserve">QDMA_OFFSET_IND_CTXT_CMD</t>
  </si>
  <si>
    <t xml:space="preserve">#define QDMA_OFFSET_IND_CTXT_CMD 0x844</t>
  </si>
  <si>
    <t xml:space="preserve">Indirect context command (union qdma_ctxt_cmd); polled for BUSY.</t>
  </si>
  <si>
    <t xml:space="preserve">REG-077</t>
  </si>
  <si>
    <t xml:space="preserve">QDMA_IND_CTXT_CMD_BUSY_MASK</t>
  </si>
  <si>
    <t xml:space="preserve">#define QDMA_IND_CTXT_CMD_BUSY_MASK 0x1</t>
  </si>
  <si>
    <t xml:space="preserve">Context command busy bit (polled until 0).</t>
  </si>
  <si>
    <t xml:space="preserve">REG-078</t>
  </si>
  <si>
    <t xml:space="preserve">QDMA_OFFSET_GLBL_RNG_SZ</t>
  </si>
  <si>
    <t xml:space="preserve">#define QDMA_OFFSET_GLBL_RNG_SZ 0x204</t>
  </si>
  <si>
    <t xml:space="preserve">Global ring-size table (16 registers, 4 bytes apart).</t>
  </si>
  <si>
    <t xml:space="preserve">iwfg_qdma_init_csr (rngcnt_pool)</t>
  </si>
  <si>
    <t xml:space="preserve">REG-079</t>
  </si>
  <si>
    <t xml:space="preserve">QDMA_OFFSET_GLBL_ERR_STAT</t>
  </si>
  <si>
    <t xml:space="preserve">#define QDMA_OFFSET_GLBL_ERR_STAT 0x248</t>
  </si>
  <si>
    <t xml:space="preserve">Global error status (W1C).</t>
  </si>
  <si>
    <t xml:space="preserve">iwfg_error_thread_fn, iwfg_qdma_ack_and_rearm_error_interrupt</t>
  </si>
  <si>
    <t xml:space="preserve">Also defined again at line 293 with the same value.</t>
  </si>
  <si>
    <t xml:space="preserve">REG-080</t>
  </si>
  <si>
    <t xml:space="preserve">QDMA_OFFSET_GLBL_ERR_MASK</t>
  </si>
  <si>
    <t xml:space="preserve">#define QDMA_OFFSET_GLBL_ERR_MASK 0x24C</t>
  </si>
  <si>
    <t xml:space="preserve">Global error mask (aggregator enable bits).</t>
  </si>
  <si>
    <t xml:space="preserve">REG-081</t>
  </si>
  <si>
    <t xml:space="preserve">QDMA_OFFSET_GLBL_DSC_CFG</t>
  </si>
  <si>
    <t xml:space="preserve">#define QDMA_OFFSET_GLBL_DSC_CFG 0x250</t>
  </si>
  <si>
    <t xml:space="preserve">Descriptor engine config: WB_ACC_INT (2:0), MAX_DSC_FETCH (5:3).</t>
  </si>
  <si>
    <t xml:space="preserve">iwfg_qdma_init_csr (fetch 6, interval 4)</t>
  </si>
  <si>
    <t xml:space="preserve">REG-082</t>
  </si>
  <si>
    <t xml:space="preserve">QDMA_GLBL_DSC_CFG_WB_ACC_INT_MASK</t>
  </si>
  <si>
    <t xml:space="preserve">#define QDMA_GLBL_DSC_CFG_WB_ACC_INT_MASK GENMASK(2, 0)</t>
  </si>
  <si>
    <t xml:space="preserve">Writeback accumulation interval.</t>
  </si>
  <si>
    <t xml:space="preserve">GENMASK(2, 0)</t>
  </si>
  <si>
    <t xml:space="preserve">REG-083</t>
  </si>
  <si>
    <t xml:space="preserve">QDMA_GLBL_DSC_CFG_MAX_DSC_FETCH_MASK</t>
  </si>
  <si>
    <t xml:space="preserve">#define QDMA_GLBL_DSC_CFG_MAX_DSC_FETCH_MASK GENMASK(5, 3)</t>
  </si>
  <si>
    <t xml:space="preserve">Max outstanding descriptor fetches.</t>
  </si>
  <si>
    <t xml:space="preserve">GENMASK(5, 3)</t>
  </si>
  <si>
    <t xml:space="preserve">REG-084</t>
  </si>
  <si>
    <t xml:space="preserve">QDMA_OFFSET_GLBL_DSC_ERR_STS</t>
  </si>
  <si>
    <t xml:space="preserve">#define QDMA_OFFSET_GLBL_DSC_ERR_STS 0x254</t>
  </si>
  <si>
    <t xml:space="preserve">Global descriptor error status (W1C).</t>
  </si>
  <si>
    <t xml:space="preserve">iwfg_error_thread_fn, ack-and-rearm</t>
  </si>
  <si>
    <t xml:space="preserve">REG-085</t>
  </si>
  <si>
    <t xml:space="preserve">QDMA_OFFSET_GLBL_DSC_DBG_DAT0</t>
  </si>
  <si>
    <t xml:space="preserve">#define QDMA_OFFSET_GLBL_DSC_DBG_DAT0 0x270</t>
  </si>
  <si>
    <t xml:space="preserve">Descriptor debug data 0 (arbitration, stall bits).</t>
  </si>
  <si>
    <t xml:space="preserve">iwfg_print_qdma_debug_registers (literal 0x270)</t>
  </si>
  <si>
    <t xml:space="preserve">REG-086</t>
  </si>
  <si>
    <t xml:space="preserve">QDMA_OFFSET_GLBL_DSC_DBG_DAT1</t>
  </si>
  <si>
    <t xml:space="preserve">#define QDMA_OFFSET_GLBL_DSC_DBG_DAT1 0x274</t>
  </si>
  <si>
    <t xml:space="preserve">Descriptor debug data 1 (event/descriptor space).</t>
  </si>
  <si>
    <t xml:space="preserve">iwfg_print_qdma_debug_registers (literal 0x274)</t>
  </si>
  <si>
    <t xml:space="preserve">REG-087</t>
  </si>
  <si>
    <t xml:space="preserve">QDMA_OFFSET_C2H_TIMER_CNT</t>
  </si>
  <si>
    <t xml:space="preserve">#define QDMA_OFFSET_C2H_TIMER_CNT 0xA00</t>
  </si>
  <si>
    <t xml:space="preserve">C2H completion timer table (16 registers).</t>
  </si>
  <si>
    <t xml:space="preserve">iwfg_qdma_init_csr (c2h_timer_pool)</t>
  </si>
  <si>
    <t xml:space="preserve">REG-088</t>
  </si>
  <si>
    <t xml:space="preserve">QDMA_OFFSET_C2H_CNT_TH</t>
  </si>
  <si>
    <t xml:space="preserve">#define QDMA_OFFSET_C2H_CNT_TH 0xA40</t>
  </si>
  <si>
    <t xml:space="preserve">C2H completion counter-threshold table (16 registers).</t>
  </si>
  <si>
    <t xml:space="preserve">iwfg_qdma_init_csr (c2h_thres_pool)</t>
  </si>
  <si>
    <t xml:space="preserve">REG-089</t>
  </si>
  <si>
    <t xml:space="preserve">QDMA_OFFSET_C2H_BUF_SZ</t>
  </si>
  <si>
    <t xml:space="preserve">#define QDMA_OFFSET_C2H_BUF_SZ 0xAB0</t>
  </si>
  <si>
    <t xml:space="preserve">C2H buffer-size table (16 registers).</t>
  </si>
  <si>
    <t xml:space="preserve">iwfg_qdma_init_csr (c2h_bufsz_pool)</t>
  </si>
  <si>
    <t xml:space="preserve">REG-090</t>
  </si>
  <si>
    <t xml:space="preserve">QDMA_OFFSET_C2H_ERR_STAT</t>
  </si>
  <si>
    <t xml:space="preserve">#define QDMA_OFFSET_C2H_ERR_STAT 0xAF0</t>
  </si>
  <si>
    <t xml:space="preserve">C2H stream error status (W1C).</t>
  </si>
  <si>
    <t xml:space="preserve">REG-091</t>
  </si>
  <si>
    <t xml:space="preserve">QDMA_OFFSET_C2H_FATAL_ERR_STAT</t>
  </si>
  <si>
    <t xml:space="preserve">#define QDMA_OFFSET_C2H_FATAL_ERR_STAT 0xAF8</t>
  </si>
  <si>
    <t xml:space="preserve">C2H fatal error status (W1C).</t>
  </si>
  <si>
    <t xml:space="preserve">REG-092</t>
  </si>
  <si>
    <t xml:space="preserve">QDMA_OFFSET_C2H_PFCH_CFG</t>
  </si>
  <si>
    <t xml:space="preserve">#define QDMA_OFFSET_C2H_PFCH_CFG 0xB08</t>
  </si>
  <si>
    <t xml:space="preserve">C2H prefetch config: EVT_QCNT_TH (31:25), PFCH_QCNT (24:18), NUM_PFCH (17:9), PFCH_FL_TH (8:0).</t>
  </si>
  <si>
    <t xml:space="preserve">REG-093</t>
  </si>
  <si>
    <t xml:space="preserve">QDMA_C2H_EVT_QCNT_TH_MASK</t>
  </si>
  <si>
    <t xml:space="preserve">#define QDMA_C2H_EVT_QCNT_TH_MASK GENMASK(31, 25)</t>
  </si>
  <si>
    <t xml:space="preserve">C2H prefetch event queue-count threshold.</t>
  </si>
  <si>
    <t xml:space="preserve">GENMASK(31, 25)</t>
  </si>
  <si>
    <t xml:space="preserve">REG-094</t>
  </si>
  <si>
    <t xml:space="preserve">QDMA_C2H_PFCH_QCNT_MASK</t>
  </si>
  <si>
    <t xml:space="preserve">#define QDMA_C2H_PFCH_QCNT_MASK GENMASK(24, 18)</t>
  </si>
  <si>
    <t xml:space="preserve">C2H prefetch queue count.</t>
  </si>
  <si>
    <t xml:space="preserve">GENMASK(24, 18)</t>
  </si>
  <si>
    <t xml:space="preserve">REG-095</t>
  </si>
  <si>
    <t xml:space="preserve">QDMA_C2H_NUM_PFCH_MASK</t>
  </si>
  <si>
    <t xml:space="preserve">#define QDMA_C2H_NUM_PFCH_MASK GENMASK(17, 9)</t>
  </si>
  <si>
    <t xml:space="preserve">C2H prefetch entries per queue.</t>
  </si>
  <si>
    <t xml:space="preserve">GENMASK(17, 9)</t>
  </si>
  <si>
    <t xml:space="preserve">REG-096</t>
  </si>
  <si>
    <t xml:space="preserve">QDMA_C2H_PFCH_FL_TH_MASK</t>
  </si>
  <si>
    <t xml:space="preserve">#define QDMA_C2H_PFCH_FL_TH_MASK GENMASK(8, 0)</t>
  </si>
  <si>
    <t xml:space="preserve">C2H prefetch free-list threshold.</t>
  </si>
  <si>
    <t xml:space="preserve">GENMASK(8, 0)</t>
  </si>
  <si>
    <t xml:space="preserve">REG-097</t>
  </si>
  <si>
    <t xml:space="preserve">QDMA_OFFSET_C2H_INT_TIMER_TICK</t>
  </si>
  <si>
    <t xml:space="preserve">#define QDMA_OFFSET_C2H_INT_TIMER_TICK 0xB0C</t>
  </si>
  <si>
    <t xml:space="preserve">C2H interrupt timer tick (set to 25 = 100 ns at 250 MHz).</t>
  </si>
  <si>
    <t xml:space="preserve">REG-098</t>
  </si>
  <si>
    <t xml:space="preserve">QDMA_OFFSET_C2H_WB_COAL_CFG</t>
  </si>
  <si>
    <t xml:space="preserve">#define QDMA_OFFSET_C2H_WB_COAL_CFG 0xB50</t>
  </si>
  <si>
    <t xml:space="preserve">C2H completion writeback coalescing: MAX_BUF_SZ (31:26), TICK_VAL (25:14), TICK_CNT (13:2).</t>
  </si>
  <si>
    <t xml:space="preserve">REG-099</t>
  </si>
  <si>
    <t xml:space="preserve">QDMA_C2H_MAX_BUF_SZ_MASK</t>
  </si>
  <si>
    <t xml:space="preserve">#define QDMA_C2H_MAX_BUF_SZ_MASK GENMASK(31, 26)</t>
  </si>
  <si>
    <t xml:space="preserve">Completion coalesce max buffer size.</t>
  </si>
  <si>
    <t xml:space="preserve">GENMASK(31, 26)</t>
  </si>
  <si>
    <t xml:space="preserve">REG-100</t>
  </si>
  <si>
    <t xml:space="preserve">QDMA_C2H_TICK_VAL_MASK</t>
  </si>
  <si>
    <t xml:space="preserve">#define QDMA_C2H_TICK_VAL_MASK GENMASK(25, 14)</t>
  </si>
  <si>
    <t xml:space="preserve">Completion coalesce tick value.</t>
  </si>
  <si>
    <t xml:space="preserve">GENMASK(25, 14)</t>
  </si>
  <si>
    <t xml:space="preserve">REG-101</t>
  </si>
  <si>
    <t xml:space="preserve">QDMA_C2H_TICK_CNT_MASK</t>
  </si>
  <si>
    <t xml:space="preserve">#define QDMA_C2H_TICK_CNT_MASK GENMASK(13, 2)</t>
  </si>
  <si>
    <t xml:space="preserve">Completion coalesce tick count.</t>
  </si>
  <si>
    <t xml:space="preserve">GENMASK(13, 2)</t>
  </si>
  <si>
    <t xml:space="preserve">REG-102</t>
  </si>
  <si>
    <t xml:space="preserve">QDMA_OFFSET_C2H_PFCH_CACHE_DEPTH</t>
  </si>
  <si>
    <t xml:space="preserve">#define QDMA_OFFSET_C2H_PFCH_CACHE_DEPTH 0xBE0</t>
  </si>
  <si>
    <t xml:space="preserve">Read-only prefetch cache depth used to derive PFCH_QCNT/EVT_QCNT_TH.</t>
  </si>
  <si>
    <t xml:space="preserve">REG-103</t>
  </si>
  <si>
    <t xml:space="preserve">QDMA_OFFSET_C2H_CMPL_COAL_BUF_DEPTH</t>
  </si>
  <si>
    <t xml:space="preserve">#define QDMA_OFFSET_C2H_CMPL_COAL_BUF_DEPTH 0xBE4</t>
  </si>
  <si>
    <t xml:space="preserve">Read-only completion coalesce buffer depth used for MAX_BUF_SZ.</t>
  </si>
  <si>
    <t xml:space="preserve">REG-104</t>
  </si>
  <si>
    <t xml:space="preserve">QDMA_OFFSET_H2C_ERR_STAT</t>
  </si>
  <si>
    <t xml:space="preserve">#define QDMA_OFFSET_H2C_ERR_STAT 0xE00</t>
  </si>
  <si>
    <t xml:space="preserve">H2C stream error status (W1C).</t>
  </si>
  <si>
    <t xml:space="preserve">REG-105</t>
  </si>
  <si>
    <t xml:space="preserve">QDMA_OFFSET_H2C_REQ_THROT</t>
  </si>
  <si>
    <t xml:space="preserve">#define QDMA_OFFSET_H2C_REQ_THROT 0xE24</t>
  </si>
  <si>
    <t xml:space="preserve">H2C request throttle: EN_REQ (31), REQ_THRESH (25:17), EN_DATA (16), DATA_THRESH (15:0).</t>
  </si>
  <si>
    <t xml:space="preserve">iwfg_qdma_init_csr (data 0x4000 on, req 0x60 off)</t>
  </si>
  <si>
    <t xml:space="preserve">REG-106</t>
  </si>
  <si>
    <t xml:space="preserve">QDMA_H2C_REQ_THROT_EN_REQ_MASK</t>
  </si>
  <si>
    <t xml:space="preserve">#define QDMA_H2C_REQ_THROT_EN_REQ_MASK BIT(31)</t>
  </si>
  <si>
    <t xml:space="preserve">H2C request throttle enable.</t>
  </si>
  <si>
    <t xml:space="preserve">BIT(31)</t>
  </si>
  <si>
    <t xml:space="preserve">REG-107</t>
  </si>
  <si>
    <t xml:space="preserve">QDMA_H2C_REQ_THRESH_MASK</t>
  </si>
  <si>
    <t xml:space="preserve">#define QDMA_H2C_REQ_THRESH_MASK GENMASK(25, 17)</t>
  </si>
  <si>
    <t xml:space="preserve">H2C request throttle threshold.</t>
  </si>
  <si>
    <t xml:space="preserve">GENMASK(25, 17)</t>
  </si>
  <si>
    <t xml:space="preserve">REG-108</t>
  </si>
  <si>
    <t xml:space="preserve">QDMA_H2C_REQ_THROT_EN_DATA_MASK</t>
  </si>
  <si>
    <t xml:space="preserve">#define QDMA_H2C_REQ_THROT_EN_DATA_MASK BIT(16)</t>
  </si>
  <si>
    <t xml:space="preserve">H2C data throttle enable.</t>
  </si>
  <si>
    <t xml:space="preserve">BIT(16)</t>
  </si>
  <si>
    <t xml:space="preserve">REG-109</t>
  </si>
  <si>
    <t xml:space="preserve">QDMA_H2C_DATA_THRESH_MASK</t>
  </si>
  <si>
    <t xml:space="preserve">#define QDMA_H2C_DATA_THRESH_MASK GENMASK(15, 0)</t>
  </si>
  <si>
    <t xml:space="preserve">H2C data throttle threshold.</t>
  </si>
  <si>
    <t xml:space="preserve">GENMASK(15, 0)</t>
  </si>
  <si>
    <t xml:space="preserve">REG-110</t>
  </si>
  <si>
    <t xml:space="preserve">QDMA_OFFSET_DMAP_SEL_INTR_CIDX</t>
  </si>
  <si>
    <t xml:space="preserve">#define QDMA_OFFSET_DMAP_SEL_INTR_CIDX 0x18000</t>
  </si>
  <si>
    <t xml:space="preserve">PF interrupt-ring CIDX doorbell (queue stride 16).</t>
  </si>
  <si>
    <t xml:space="preserve">not used (no interrupt aggregation)</t>
  </si>
  <si>
    <t xml:space="preserve">REG-111</t>
  </si>
  <si>
    <t xml:space="preserve">QDMA_OFFSET_DMAP_SEL_H2C_DESC_PIDX</t>
  </si>
  <si>
    <t xml:space="preserve">#define QDMA_OFFSET_DMAP_SEL_H2C_DESC_PIDX 0x18004</t>
  </si>
  <si>
    <t xml:space="preserve">H2C descriptor PIDX doorbell; per queue at + qid*16.</t>
  </si>
  <si>
    <t xml:space="preserve">iwfg_qdma_set_q_pidx (iwfg_set_tx_head)</t>
  </si>
  <si>
    <t xml:space="preserve">REG-112</t>
  </si>
  <si>
    <t xml:space="preserve">QDMA_OFFSET_DMAP_SEL_C2H_DESC_PIDX</t>
  </si>
  <si>
    <t xml:space="preserve">#define QDMA_OFFSET_DMAP_SEL_C2H_DESC_PIDX 0x18008</t>
  </si>
  <si>
    <t xml:space="preserve">C2H descriptor PIDX doorbell; per queue at + qid*16.</t>
  </si>
  <si>
    <t xml:space="preserve">iwfg_qdma_set_q_pidx (iwfg_set_rx_head)</t>
  </si>
  <si>
    <t xml:space="preserve">REG-113</t>
  </si>
  <si>
    <t xml:space="preserve">QDMA_OFFSET_DMAP_SEL_CMPL_CIDX</t>
  </si>
  <si>
    <t xml:space="preserve">#define QDMA_OFFSET_DMAP_SEL_CMPL_CIDX 0x1800C</t>
  </si>
  <si>
    <t xml:space="preserve">C2H completion CIDX doorbell; per queue at + qid*16.</t>
  </si>
  <si>
    <t xml:space="preserve">iwfg_qdma_set_cmpl_cidx (iwfg_set_completion_tail)</t>
  </si>
  <si>
    <t xml:space="preserve">REG-114</t>
  </si>
  <si>
    <t xml:space="preserve">QDMA_DMAP_SEL_DESC_PIDX_MASK</t>
  </si>
  <si>
    <t xml:space="preserve">#define QDMA_DMAP_SEL_DESC_PIDX_MASK GENMASK(15, 0)</t>
  </si>
  <si>
    <t xml:space="preserve">Descriptor PIDX field of the PIDX doorbell.</t>
  </si>
  <si>
    <t xml:space="preserve">REG-115</t>
  </si>
  <si>
    <t xml:space="preserve">QDMA_DMAP_SEL_DESC_IRQ_ARM_MASK</t>
  </si>
  <si>
    <t xml:space="preserve">#define QDMA_DMAP_SEL_DESC_IRQ_ARM_MASK BIT(16)</t>
  </si>
  <si>
    <t xml:space="preserve">IRQ arm bit of the PIDX doorbell (1 for H2C, 0 for C2H).</t>
  </si>
  <si>
    <t xml:space="preserve">REG-116</t>
  </si>
  <si>
    <t xml:space="preserve">QDMA_DMAP_SEL_CMPL_IRQ_ARM_MASK</t>
  </si>
  <si>
    <t xml:space="preserve">#define QDMA_DMAP_SEL_CMPL_IRQ_ARM_MASK BIT(28)</t>
  </si>
  <si>
    <t xml:space="preserve">IRQ arm bit of the completion CIDX doorbell.</t>
  </si>
  <si>
    <t xml:space="preserve">BIT(28)</t>
  </si>
  <si>
    <t xml:space="preserve">REG-117</t>
  </si>
  <si>
    <t xml:space="preserve">QDMA_DMAP_SEL_CMPL_STAT_EN_MASK</t>
  </si>
  <si>
    <t xml:space="preserve">#define QDMA_DMAP_SEL_CMPL_STAT_EN_MASK BIT(27)</t>
  </si>
  <si>
    <t xml:space="preserve">Completion status writeback enable.</t>
  </si>
  <si>
    <t xml:space="preserve">BIT(27)</t>
  </si>
  <si>
    <t xml:space="preserve">REG-118</t>
  </si>
  <si>
    <t xml:space="preserve">QDMA_DMAP_SEL_CMPL_TRIG_MODE_MASK</t>
  </si>
  <si>
    <t xml:space="preserve">#define QDMA_DMAP_SEL_CMPL_TRIG_MODE_MASK GENMASK(26, 24)</t>
  </si>
  <si>
    <t xml:space="preserve">Completion interrupt trigger mode (driver: 5).</t>
  </si>
  <si>
    <t xml:space="preserve">GENMASK(26, 24)</t>
  </si>
  <si>
    <t xml:space="preserve">REG-119</t>
  </si>
  <si>
    <t xml:space="preserve">QDMA_DMAP_SEL_CMPL_TIMER_IDX_MASK</t>
  </si>
  <si>
    <t xml:space="preserve">#define QDMA_DMAP_SEL_CMPL_TIMER_IDX_MASK GENMASK(23, 20)</t>
  </si>
  <si>
    <t xml:space="preserve">Completion timer index (driver: 0).</t>
  </si>
  <si>
    <t xml:space="preserve">GENMASK(23, 20)</t>
  </si>
  <si>
    <t xml:space="preserve">REG-120</t>
  </si>
  <si>
    <t xml:space="preserve">QDMA_DMAP_SEL_CMPL_COUNTER_IDX_MASK</t>
  </si>
  <si>
    <t xml:space="preserve">#define QDMA_DMAP_SEL_CMPL_COUNTER_IDX_MASK GENMASK(19, 16)</t>
  </si>
  <si>
    <t xml:space="preserve">Completion counter index (driver: 0).</t>
  </si>
  <si>
    <t xml:space="preserve">GENMASK(19, 16)</t>
  </si>
  <si>
    <t xml:space="preserve">REG-121</t>
  </si>
  <si>
    <t xml:space="preserve">QDMA_DMAP_SEL_CMPL_CIDX_MASK</t>
  </si>
  <si>
    <t xml:space="preserve">#define QDMA_DMAP_SEL_CMPL_CIDX_MASK GENMASK(15, 0)</t>
  </si>
  <si>
    <t xml:space="preserve">Completion CIDX field.</t>
  </si>
  <si>
    <t xml:space="preserve">REG-122</t>
  </si>
  <si>
    <t xml:space="preserve">QDMA_OFFSET_GLBL_ERR_INT</t>
  </si>
  <si>
    <t xml:space="preserve">#define QDMA_OFFSET_GLBL_ERR_INT 0xB04</t>
  </si>
  <si>
    <t xml:space="preserve">Global error interrupt routing: FUNC (7:0), VEC (22:12), ARM (24).</t>
  </si>
  <si>
    <t xml:space="preserve">iwfg_qdma_init_error_interrupt, iwfg_qdma_clear_error_interrupt, ack-and-rearm</t>
  </si>
  <si>
    <t xml:space="preserve">0xB04 is also defined as QDMA_OFFSET_C2H_ERR_INT (line 102).</t>
  </si>
  <si>
    <t xml:space="preserve">REG-123</t>
  </si>
  <si>
    <t xml:space="preserve">QDMA_GLBL_ERR_FUNC_MASK</t>
  </si>
  <si>
    <t xml:space="preserve">#define QDMA_GLBL_ERR_FUNC_MASK GENMASK(7, 0)</t>
  </si>
  <si>
    <t xml:space="preserve">GLBL_ERR_INT function id.</t>
  </si>
  <si>
    <t xml:space="preserve">GENMASK(7, 0)</t>
  </si>
  <si>
    <t xml:space="preserve">REG-124</t>
  </si>
  <si>
    <t xml:space="preserve">QDMA_GLBL_ERR_VEC_MASK</t>
  </si>
  <si>
    <t xml:space="preserve">#define QDMA_GLBL_ERR_VEC_MASK GENMASK(22, 12)</t>
  </si>
  <si>
    <t xml:space="preserve">GLBL_ERR_INT MSI-X vector (driver: 0).</t>
  </si>
  <si>
    <t xml:space="preserve">GENMASK(22, 12)</t>
  </si>
  <si>
    <t xml:space="preserve">REG-125</t>
  </si>
  <si>
    <t xml:space="preserve">QDMA_GLBL_ERR_ARM_MASK</t>
  </si>
  <si>
    <t xml:space="preserve">#define QDMA_GLBL_ERR_ARM_MASK BIT(24)</t>
  </si>
  <si>
    <t xml:space="preserve">GLBL_ERR_INT arm bit.</t>
  </si>
  <si>
    <t xml:space="preserve">BIT(24)</t>
  </si>
  <si>
    <t xml:space="preserve">REG-126</t>
  </si>
  <si>
    <t xml:space="preserve">QDMA_C2H_ERR_ALL_MASK</t>
  </si>
  <si>
    <t xml:space="preserve">#define QDMA_C2H_ERR_ALL_MASK 0xFEDB</t>
  </si>
  <si>
    <t xml:space="preserve">All C2H stream error bits (leaf mask written at init).</t>
  </si>
  <si>
    <t xml:space="preserve">0xFEDB</t>
  </si>
  <si>
    <t xml:space="preserve">REG-127</t>
  </si>
  <si>
    <t xml:space="preserve">QDMA_C2H_FATAL_ERR_ALL_MASK</t>
  </si>
  <si>
    <t xml:space="preserve">#define QDMA_C2H_FATAL_ERR_ALL_MASK 0x7DF1B</t>
  </si>
  <si>
    <t xml:space="preserve">All C2H fatal error bits.</t>
  </si>
  <si>
    <t xml:space="preserve">0x7DF1B</t>
  </si>
  <si>
    <t xml:space="preserve">REG-128</t>
  </si>
  <si>
    <t xml:space="preserve">QDMA_H2C_ERR_ALL_MASK</t>
  </si>
  <si>
    <t xml:space="preserve">#define QDMA_H2C_ERR_ALL_MASK 0x1F</t>
  </si>
  <si>
    <t xml:space="preserve">All H2C error bits (zero-len desc, CSI MOP, no DMA desc, SBE, DBE).</t>
  </si>
  <si>
    <t xml:space="preserve">0x1F</t>
  </si>
  <si>
    <t xml:space="preserve">REG-129</t>
  </si>
  <si>
    <t xml:space="preserve">QDMA_GLBL_DSC_ERR_ALL_MASK</t>
  </si>
  <si>
    <t xml:space="preserve">#define QDMA_GLBL_DSC_ERR_ALL_MASK 0x1F9023F</t>
  </si>
  <si>
    <t xml:space="preserve">All descriptor error bits.</t>
  </si>
  <si>
    <t xml:space="preserve">0x1F9023F</t>
  </si>
  <si>
    <t xml:space="preserve">REG-130</t>
  </si>
  <si>
    <t xml:space="preserve">QDMA_OFFSET_GLBL_TRQ_ERR_STAT</t>
  </si>
  <si>
    <t xml:space="preserve">#define QDMA_OFFSET_GLBL_TRQ_ERR_STAT 0x264</t>
  </si>
  <si>
    <t xml:space="preserve">Global TRQ (register access) error status (W1C).</t>
  </si>
  <si>
    <t xml:space="preserve">Line 66 defines the same offset as QDMA_OFFSET_GLBL_TRQ_ERR_STS.</t>
  </si>
  <si>
    <t xml:space="preserve">REG-131</t>
  </si>
  <si>
    <t xml:space="preserve">QDMA_GLBL_TRQ_ERR_ALL_MASK</t>
  </si>
  <si>
    <t xml:space="preserve">#define QDMA_GLBL_TRQ_ERR_ALL_MASK 0xF</t>
  </si>
  <si>
    <t xml:space="preserve">All TRQ error bits.</t>
  </si>
  <si>
    <t xml:space="preserve">0xF</t>
  </si>
  <si>
    <t xml:space="preserve">REG-132</t>
  </si>
  <si>
    <t xml:space="preserve">QDMA_SBE_ERR_ALL_MASK</t>
  </si>
  <si>
    <t xml:space="preserve">#define QDMA_SBE_ERR_ALL_MASK 0xFFFFFF11</t>
  </si>
  <si>
    <t xml:space="preserve">All RAM single-bit error bits.</t>
  </si>
  <si>
    <t xml:space="preserve">0xFFFFFF11</t>
  </si>
  <si>
    <t xml:space="preserve">REG-133</t>
  </si>
  <si>
    <t xml:space="preserve">QDMA_DBE_ERR_ALL_MASK</t>
  </si>
  <si>
    <t xml:space="preserve">#define QDMA_DBE_ERR_ALL_MASK 0xFFFFFF11</t>
  </si>
  <si>
    <t xml:space="preserve">All RAM double-bit error bits.</t>
  </si>
  <si>
    <t xml:space="preserve">QDMA Helpers - API reference</t>
  </si>
  <si>
    <t xml:space="preserve">101 entries. Source: iW-ASCEJ-01-SF-R1.0-REL1.0/iW-ASCEJ-01-SC-R1.0-REL1.0 and iW-ASCEJ-01-FF-R1.0-REL1.0 of release REL1.0 (1.2.5).</t>
  </si>
  <si>
    <t xml:space="preserve">HLP-001</t>
  </si>
  <si>
    <t xml:space="preserve">QDMA / User-space helpers</t>
  </si>
  <si>
    <t xml:space="preserve">BUF_SIZE</t>
  </si>
  <si>
    <t xml:space="preserve">#define BUF_SIZE (16 * 1024 * 1024)</t>
  </si>
  <si>
    <t xml:space="preserve">Size of each registered DMA buffer and of each C2H DMA_DATA transfer / FIFO write.</t>
  </si>
  <si>
    <t xml:space="preserve">16 * 1024 * 1024</t>
  </si>
  <si>
    <t xml:space="preserve">16 MiB = 1024 C2H descriptors of 16 KiB</t>
  </si>
  <si>
    <t xml:space="preserve">01_sdr_workstation_GUI/backend/C2H/fifo_pipe.c</t>
  </si>
  <si>
    <t xml:space="preserve">HLP-002</t>
  </si>
  <si>
    <t xml:space="preserve">NUM_BUFS</t>
  </si>
  <si>
    <t xml:space="preserve">#define NUM_BUFS 4</t>
  </si>
  <si>
    <t xml:space="preserve">Number of registered buffers cycled round-robin; buffer (i+1)%4 is passed as the prearm buffer of transfer i.</t>
  </si>
  <si>
    <t xml:space="preserve">pinned host memory = 4 x 16 MiB = 64 MiB</t>
  </si>
  <si>
    <t xml:space="preserve">buffers</t>
  </si>
  <si>
    <t xml:space="preserve">HLP-003</t>
  </si>
  <si>
    <t xml:space="preserve">Local definition of the prearm block (void *next_buf; uint32_t next_size), compiled unless IWFG_HAVE_C2H_PREARM is defined, because C2H/iwfg_user.h lacks it.</t>
  </si>
  <si>
    <t xml:space="preserve">main() DMA loop</t>
  </si>
  <si>
    <t xml:space="preserve">HLP-004</t>
  </si>
  <si>
    <t xml:space="preserve">keep_running</t>
  </si>
  <si>
    <t xml:space="preserve">static volatile sig_atomic_t keep_running = 1;</t>
  </si>
  <si>
    <t xml:space="preserve">volatile sig_atomic_t loop flag cleared by SIGINT/SIGTERM.</t>
  </si>
  <si>
    <t xml:space="preserve">1 until a signal</t>
  </si>
  <si>
    <t xml:space="preserve">HLP-005</t>
  </si>
  <si>
    <t xml:space="preserve">sig_handler</t>
  </si>
  <si>
    <t xml:space="preserve">static void sig_handler(int sig)</t>
  </si>
  <si>
    <t xml:space="preserve">SIGINT/SIGTERM handler: keep_running = 0.</t>
  </si>
  <si>
    <t xml:space="preserve">sig</t>
  </si>
  <si>
    <t xml:space="preserve">HLP-006</t>
  </si>
  <si>
    <t xml:space="preserve">install_signal_handlers</t>
  </si>
  <si>
    <t xml:space="preserve">static int install_signal_handlers(void)</t>
  </si>
  <si>
    <t xml:space="preserve">Installs SIGINT/SIGTERM with sa_flags = 0 (NO SA_RESTART) so a blocked DMA_DATA ioctl, FIFO open() or write() returns EINTR; ignores SIGPIPE so a vanished reader gives write() = -1/EPIPE.</t>
  </si>
  <si>
    <t xml:space="preserve">0; -1 if sigaction fails</t>
  </si>
  <si>
    <t xml:space="preserve">main()</t>
  </si>
  <si>
    <t xml:space="preserve">Fix #1/#2: with SA_RESTART libc restarted the ioctl after -ERESTARTSYS and Ctrl+C never stopped the loop.</t>
  </si>
  <si>
    <t xml:space="preserve">HLP-007</t>
  </si>
  <si>
    <t xml:space="preserve">write_all</t>
  </si>
  <si>
    <t xml:space="preserve">static int write_all(int fd, const void *buf, size_t len)</t>
  </si>
  <si>
    <t xml:space="preserve">Writes a whole buffer to the FIFO, looping on partial writes; EINTR retries only while keep_running.</t>
  </si>
  <si>
    <t xml:space="preserve">fd, buf, len</t>
  </si>
  <si>
    <t xml:space="preserve">0; -1 on error (EPIPE = reader disconnected), on n == 0, or on EINTR after a stop signal</t>
  </si>
  <si>
    <t xml:space="preserve">main() after each DMA_DATA</t>
  </si>
  <si>
    <t xml:space="preserve">Blocking: the FIFO reader's drain rate gates the next DMA_DATA; while it blocks, the card fills the pre-armed buffer.</t>
  </si>
  <si>
    <t xml:space="preserve">HLP-008</t>
  </si>
  <si>
    <t xml:space="preserve">int main(int argc, char **argv)</t>
  </si>
  <si>
    <t xml:space="preserve">C2H capture pump: create FIFO, open device, posix_memalign + ADD_BUF 4 x 16 MiB buffers, wait for a FIFO reader, then loop: DMA_DATA(buf_idx, prearm next) -&gt; write_all(FIFO) -&gt; next buffer, printing throughput once a second; ordered teardown.</t>
  </si>
  <si>
    <t xml:space="preserve">argv[1] devnode, argv[2] fifo_path</t>
  </si>
  <si>
    <t xml:space="preserve">exit 0 on any loop exit (Ctrl+C, reader gone, ioctl error) and on interrupt before a reader; 1 on setup failure</t>
  </si>
  <si>
    <t xml:space="preserve">BackendLauncher::launchC2h (via stdbuf -oL)</t>
  </si>
  <si>
    <t xml:space="preserve">Single-threaded. Because the exit code is 0 for most endings, BackendLauncher classifies the reason from the printed lines (classifyC2hExit).</t>
  </si>
  <si>
    <t xml:space="preserve">HLP-009</t>
  </si>
  <si>
    <t xml:space="preserve">argv[1] (devnode)</t>
  </si>
  <si>
    <t xml:space="preserve">const char *devnode = (argc &gt; 1) ? argv[1] : "/dev/iwfg0";</t>
  </si>
  <si>
    <t xml:space="preserve">C2H device node.</t>
  </si>
  <si>
    <t xml:space="preserve">optional path</t>
  </si>
  <si>
    <t xml:space="preserve">default "/dev/iwfg0"</t>
  </si>
  <si>
    <t xml:space="preserve">BackendLauncher::launchC2h passes BackendConfig.c2hDevice</t>
  </si>
  <si>
    <t xml:space="preserve">Fix #6: "/dev/iwfg" does not exist.</t>
  </si>
  <si>
    <t xml:space="preserve">HLP-010</t>
  </si>
  <si>
    <t xml:space="preserve">argv[2] (fifo_path)</t>
  </si>
  <si>
    <t xml:space="preserve">const char *fifo_path = (argc &gt; 2) ? argv[2] : "/tmp/iwfg_fifo";</t>
  </si>
  <si>
    <t xml:space="preserve">Output FIFO path (unlinked and re-created at start, unlinked at exit).</t>
  </si>
  <si>
    <t xml:space="preserve">default "/tmp/iwfg_fifo"</t>
  </si>
  <si>
    <t xml:space="preserve">BackendLauncher::launchC2h passes BackendConfig.c2hFifo; DmaSource reads it</t>
  </si>
  <si>
    <t xml:space="preserve">Because each run unlinks + mkfifos, a restarted helper has a NEW inode; DmaSource::writerGone re-attaches.</t>
  </si>
  <si>
    <t xml:space="preserve">HLP-011</t>
  </si>
  <si>
    <t xml:space="preserve">perror("sigaction")</t>
  </si>
  <si>
    <t xml:space="preserve">perror("sigaction");</t>
  </si>
  <si>
    <t xml:space="preserve">Signal handler installation failed; exit 1.</t>
  </si>
  <si>
    <t xml:space="preserve">classifyC2hExit -&gt; StartupError</t>
  </si>
  <si>
    <t xml:space="preserve">HLP-012</t>
  </si>
  <si>
    <t xml:space="preserve">perror("mkfifo")</t>
  </si>
  <si>
    <t xml:space="preserve">perror("mkfifo");</t>
  </si>
  <si>
    <t xml:space="preserve">mkfifo failed (continues anyway - path may already exist).</t>
  </si>
  <si>
    <t xml:space="preserve">HLP-013</t>
  </si>
  <si>
    <t xml:space="preserve">Opening device: %s</t>
  </si>
  <si>
    <t xml:space="preserve">printf("Opening device: %s\n", devnode);</t>
  </si>
  <si>
    <t xml:space="preserve">About to open the C2H node.</t>
  </si>
  <si>
    <t xml:space="preserve">HLP-014</t>
  </si>
  <si>
    <t xml:space="preserve">perror("open device")</t>
  </si>
  <si>
    <t xml:space="preserve">perror("open device");</t>
  </si>
  <si>
    <t xml:space="preserve">open(/dev/iwfg0) failed (node missing, busy or permission).</t>
  </si>
  <si>
    <t xml:space="preserve">HLP-015</t>
  </si>
  <si>
    <t xml:space="preserve">perror("posix_memalign")</t>
  </si>
  <si>
    <t xml:space="preserve">perror("posix_memalign");</t>
  </si>
  <si>
    <t xml:space="preserve">Buffer allocation failed.</t>
  </si>
  <si>
    <t xml:space="preserve">HLP-016</t>
  </si>
  <si>
    <t xml:space="preserve">IWFG_IOCTL_ADD_BUF (registration loop)</t>
  </si>
  <si>
    <t xml:space="preserve">if (ioctl(fd, IWFG_IOCTL_ADD_BUF, &amp;user_buf) &lt; 0)</t>
  </si>
  <si>
    <t xml:space="preserve">Registers each 16 MiB buffer: buf_type USERPTR, import_fd -1, not chunked; stores the returned buf_index.</t>
  </si>
  <si>
    <t xml:space="preserve">buf_indices[i]; on failure perror and cleanup</t>
  </si>
  <si>
    <t xml:space="preserve">HLP-017</t>
  </si>
  <si>
    <t xml:space="preserve">perror("IWFG_IOCTL_ADD_BUF")</t>
  </si>
  <si>
    <t xml:space="preserve">perror("IWFG_IOCTL_ADD_BUF");</t>
  </si>
  <si>
    <t xml:space="preserve">Driver refused the buffer (pin/map/descriptor failure, wrong header ABI).</t>
  </si>
  <si>
    <t xml:space="preserve">HLP-018</t>
  </si>
  <si>
    <t xml:space="preserve">DMA streaming ready. Waiting for FIFO reader: %s</t>
  </si>
  <si>
    <t xml:space="preserve">printf("DMA streaming ready. Waiting for FIFO reader: %s\n", fifo_path);</t>
  </si>
  <si>
    <t xml:space="preserve">Buffers registered; now blocking in open(FIFO, O_WRONLY).</t>
  </si>
  <si>
    <t xml:space="preserve">HLP-019</t>
  </si>
  <si>
    <t xml:space="preserve">open(fifo_path, O_WRONLY) loop</t>
  </si>
  <si>
    <t xml:space="preserve">fifo_fd = open(fifo_path, O_WRONLY);</t>
  </si>
  <si>
    <t xml:space="preserve">Blocks until a FIFO reader opens the other end; EINTR re-checks keep_running.</t>
  </si>
  <si>
    <t xml:space="preserve">fifo_fd; on other errors perror("open fifo") and cleanup</t>
  </si>
  <si>
    <t xml:space="preserve">DmaSource opens the FIFO O_RDONLY|O_NONBLOCK, which releases this blocking open.</t>
  </si>
  <si>
    <t xml:space="preserve">HLP-020</t>
  </si>
  <si>
    <t xml:space="preserve">perror("open fifo")</t>
  </si>
  <si>
    <t xml:space="preserve">perror("open fifo");</t>
  </si>
  <si>
    <t xml:space="preserve">FIFO open failed with a non-EINTR error.</t>
  </si>
  <si>
    <t xml:space="preserve">HLP-021</t>
  </si>
  <si>
    <t xml:space="preserve">Interrupted before a FIFO reader connected.</t>
  </si>
  <si>
    <t xml:space="preserve">printf("Interrupted before a FIFO reader connected.\n");</t>
  </si>
  <si>
    <t xml:space="preserve">SIGINT/SIGTERM while waiting for a reader; exit 0.</t>
  </si>
  <si>
    <t xml:space="preserve">classifyC2hExit -&gt; Interrupted</t>
  </si>
  <si>
    <t xml:space="preserve">HLP-022</t>
  </si>
  <si>
    <t xml:space="preserve">FIFO connected! Streaming data...</t>
  </si>
  <si>
    <t xml:space="preserve">printf("FIFO connected! Streaming data...\n");</t>
  </si>
  <si>
    <t xml:space="preserve">Reader attached; DMA loop starts.</t>
  </si>
  <si>
    <t xml:space="preserve">BackendLauncher::handleC2hLine sets streamed = true</t>
  </si>
  <si>
    <t xml:space="preserve">HLP-023</t>
  </si>
  <si>
    <t xml:space="preserve">IWFG_IOCTL_DMA_DATA (C2H loop)</t>
  </si>
  <si>
    <t xml:space="preserve">int ret = ioctl(fd, IWFG_IOCTL_DMA_DATA, &amp;dma_req);</t>
  </si>
  <si>
    <t xml:space="preserve">Blocking C2H transfer into bufs[buf_idx] with buf=NULL/buf_index and a prearm block naming bufs[next_idx] (next_size = BUF_SIZE).</t>
  </si>
  <si>
    <t xml:space="preserve">struct { iwfg_user_dma_req req; iwfg_c2h_prearm prearm; }</t>
  </si>
  <si>
    <t xml:space="preserve">0 -&gt; write to FIFO; EAGAIN -&gt; nanosleep 1 ms and retry the SAME buffer (overflow recovery ran; nothing is written); EINTR -&gt; shutdown; other -&gt; perror + exit loop</t>
  </si>
  <si>
    <t xml:space="preserve">next_idx = (buf_idx + 1) % NUM_BUFS</t>
  </si>
  <si>
    <t xml:space="preserve">bytes, ms</t>
  </si>
  <si>
    <t xml:space="preserve">Prearm keeps the QDMA ring fed between ioctls (prevents descriptor starvation).</t>
  </si>
  <si>
    <t xml:space="preserve">HLP-024</t>
  </si>
  <si>
    <t xml:space="preserve">\nTransfer interrupted by signal, shutting down...</t>
  </si>
  <si>
    <t xml:space="preserve">printf("\nTransfer interrupted by signal, shutting down...\n");</t>
  </si>
  <si>
    <t xml:space="preserve">DMA_DATA returned EINTR (normal Ctrl+C path).</t>
  </si>
  <si>
    <t xml:space="preserve">classifyC2hExit -&gt; Interrupted ('interrupted by signal')</t>
  </si>
  <si>
    <t xml:space="preserve">HLP-025</t>
  </si>
  <si>
    <t xml:space="preserve">perror("IWFG_IOCTL_DMA_DATA (C2H)")</t>
  </si>
  <si>
    <t xml:space="preserve">perror("IWFG_IOCTL_DMA_DATA (C2H)");</t>
  </si>
  <si>
    <t xml:space="preserve">DMA_DATA failed with an errno other than EAGAIN/EINTR (e.g. EINVAL, EFAULT); loop exits, exit code still 0.</t>
  </si>
  <si>
    <t xml:space="preserve">classifyC2hExit -&gt; DriverError</t>
  </si>
  <si>
    <t xml:space="preserve">HLP-026</t>
  </si>
  <si>
    <t xml:space="preserve">\nFIFO reader disconnected, shutting down...</t>
  </si>
  <si>
    <t xml:space="preserve">printf("\nFIFO reader disconnected, shutting down...\n");</t>
  </si>
  <si>
    <t xml:space="preserve">write() returned EPIPE: the GUI/GNU Radio reader closed the FIFO.</t>
  </si>
  <si>
    <t xml:space="preserve">classifyC2hExit -&gt; ReaderClosed</t>
  </si>
  <si>
    <t xml:space="preserve">HLP-027</t>
  </si>
  <si>
    <t xml:space="preserve">\nFIFO write interrupted by signal, shutting down...</t>
  </si>
  <si>
    <t xml:space="preserve">printf("\nFIFO write interrupted by signal, shutting down...\n");</t>
  </si>
  <si>
    <t xml:space="preserve">write() interrupted by a stop signal.</t>
  </si>
  <si>
    <t xml:space="preserve">HLP-028</t>
  </si>
  <si>
    <t xml:space="preserve">perror("write to fifo")</t>
  </si>
  <si>
    <t xml:space="preserve">perror("write to fifo");</t>
  </si>
  <si>
    <t xml:space="preserve">Other FIFO write error.</t>
  </si>
  <si>
    <t xml:space="preserve">HLP-029</t>
  </si>
  <si>
    <t xml:space="preserve">mbps (stats)</t>
  </si>
  <si>
    <t xml:space="preserve">double mbps = (double)interval_bytes / (1024.0 * 1024.0) / secs;</t>
  </si>
  <si>
    <t xml:space="preserve">Throughput printed once per wall-clock second change.</t>
  </si>
  <si>
    <t xml:space="preserve">mbps = interval_bytes / (1024.0 * 1024.0) / secs; interval_bytes += BUF_SIZE per successful transfer</t>
  </si>
  <si>
    <t xml:space="preserve">MiB/s (printed as 'MB/s')</t>
  </si>
  <si>
    <t xml:space="preserve">'Streaming:' status line</t>
  </si>
  <si>
    <t xml:space="preserve">Fix #5: earlier code printed one buffer's size regardless of how many moved. Granularity is 16 MiB per transfer.</t>
  </si>
  <si>
    <t xml:space="preserve">HLP-030</t>
  </si>
  <si>
    <t xml:space="preserve">Streaming: %.2f MB/s (total: %.2f MB)</t>
  </si>
  <si>
    <t xml:space="preserve">printf("Streaming: %.2f MB/s (total: %.2f MB)\n", mbps, total_bytes / (1024.0 * 1024.0));</t>
  </si>
  <si>
    <t xml:space="preserve">Once-a-second throughput (MiB/s) and running total (MiB).</t>
  </si>
  <si>
    <t xml:space="preserve">BackendLauncher::parseC2hRateLine -&gt; c2hThroughput (first line skipped)</t>
  </si>
  <si>
    <t xml:space="preserve">HLP-031</t>
  </si>
  <si>
    <t xml:space="preserve">\nStopping stream...</t>
  </si>
  <si>
    <t xml:space="preserve">printf("\nStopping stream...\n");</t>
  </si>
  <si>
    <t xml:space="preserve">Normal loop exit; teardown follows (exit 0).</t>
  </si>
  <si>
    <t xml:space="preserve">HLP-032</t>
  </si>
  <si>
    <t xml:space="preserve">cleanup (teardown order)</t>
  </si>
  <si>
    <t xml:space="preserve">cleanup:</t>
  </si>
  <si>
    <t xml:space="preserve">Teardown in dependency order: close(FIFO) -&gt; unlink(FIFO) -&gt; close(device) [driver iwfg_release: clear RX queue, c2h_stop, unpin buffers, QDMA soft reset if no stream remains] -&gt; free(buffers).</t>
  </si>
  <si>
    <t xml:space="preserve">Fix #3: freeing buffers while still pinned/DMA-mapped was wrong. The capture's close is what triggers the driver's QDMA soft reset.</t>
  </si>
  <si>
    <t xml:space="preserve">HLP-033</t>
  </si>
  <si>
    <t xml:space="preserve">Cleanup complete.</t>
  </si>
  <si>
    <t xml:space="preserve">printf("Cleanup complete.\n");</t>
  </si>
  <si>
    <t xml:space="preserve">FIFO closed/unlinked, device closed, buffers freed.</t>
  </si>
  <si>
    <t xml:space="preserve">HLP-034</t>
  </si>
  <si>
    <t xml:space="preserve">$(BIN)/c2h_stream</t>
  </si>
  <si>
    <t xml:space="preserve">$(BIN)/c2h_stream: C2H/fifo_pipe.c C2H/iwfg_user.h | $(BIN)</t>
  </si>
  <si>
    <t xml:space="preserve">Build rule: c2h_stream is fifo_pipe.c compiled with -I C2H (uses C2H/iwfg_user.h).</t>
  </si>
  <si>
    <t xml:space="preserve">$(CC) $(CFLAGS) -I C2H -o bin/c2h_stream C2H/fifo_pipe.c (CFLAGS ?= -O2 -Wall -Wextra)</t>
  </si>
  <si>
    <t xml:space="preserve">BackendLauncher::binaryPath("c2h_stream"), rebuildHelpers (make -B)</t>
  </si>
  <si>
    <t xml:space="preserve">The source header still says 'gcc -o fifo_pipe'; the binary shipped/launched is bin/c2h_stream.</t>
  </si>
  <si>
    <t xml:space="preserve">01_sdr_workstation_GUI/backend/Makefile</t>
  </si>
  <si>
    <t xml:space="preserve">HLP-035</t>
  </si>
  <si>
    <t xml:space="preserve">DEF_DEVICE</t>
  </si>
  <si>
    <t xml:space="preserve">#define DEF_DEVICE "/dev/iwfg1"</t>
  </si>
  <si>
    <t xml:space="preserve">Default H2C node (qid 1).</t>
  </si>
  <si>
    <t xml:space="preserve">"/dev/iwfg1"</t>
  </si>
  <si>
    <t xml:space="preserve">01_sdr_workstation_GUI/backend/H2C/iwfg_h2c.c</t>
  </si>
  <si>
    <t xml:space="preserve">HLP-036</t>
  </si>
  <si>
    <t xml:space="preserve">DEF_FIFO</t>
  </si>
  <si>
    <t xml:space="preserve">#define DEF_FIFO "/tmp/iwfg_h2c.fifo"</t>
  </si>
  <si>
    <t xml:space="preserve">Default input FIFO.</t>
  </si>
  <si>
    <t xml:space="preserve">"/tmp/iwfg_h2c.fifo"</t>
  </si>
  <si>
    <t xml:space="preserve">HLP-037</t>
  </si>
  <si>
    <t xml:space="preserve">DEF_CHUNK</t>
  </si>
  <si>
    <t xml:space="preserve">#define DEF_CHUNK (16 * 1024)</t>
  </si>
  <si>
    <t xml:space="preserve">Default chunk size (the GUI launches with 1 MiB instead).</t>
  </si>
  <si>
    <t xml:space="preserve">16 * 1024</t>
  </si>
  <si>
    <t xml:space="preserve">HLP-038</t>
  </si>
  <si>
    <t xml:space="preserve">MAX_CHUNK</t>
  </si>
  <si>
    <t xml:space="preserve">#define MAX_CHUNK (64u * 1024 * 1024)</t>
  </si>
  <si>
    <t xml:space="preserve">Upper chunk limit (64 MiB).</t>
  </si>
  <si>
    <t xml:space="preserve">64u * 1024 * 1024</t>
  </si>
  <si>
    <t xml:space="preserve">HLP-039</t>
  </si>
  <si>
    <t xml:space="preserve">NUM_DMA_BUFS</t>
  </si>
  <si>
    <t xml:space="preserve">#define NUM_DMA_BUFS 2</t>
  </si>
  <si>
    <t xml:space="preserve">Registered ping-pong DMA buffers.</t>
  </si>
  <si>
    <t xml:space="preserve">HLP-040</t>
  </si>
  <si>
    <t xml:space="preserve">EBUSY_RETRY_US</t>
  </si>
  <si>
    <t xml:space="preserve">#define EBUSY_RETRY_US 2000</t>
  </si>
  <si>
    <t xml:space="preserve">Back-off between DMA_DATA retries while the driver reports EBUSY (C2H overflow reset in progress).</t>
  </si>
  <si>
    <t xml:space="preserve">main() EBUSY branch</t>
  </si>
  <si>
    <t xml:space="preserve">HLP-041</t>
  </si>
  <si>
    <t xml:space="preserve">EBUSY_MAX_RETRIES</t>
  </si>
  <si>
    <t xml:space="preserve">#define EBUSY_MAX_RETRIES 500</t>
  </si>
  <si>
    <t xml:space="preserve">Consecutive EBUSY retries before the device is cycled.</t>
  </si>
  <si>
    <t xml:space="preserve">500</t>
  </si>
  <si>
    <t xml:space="preserve">500 x 2000 µs = ~1 s of reset-wait, then reopen_device()</t>
  </si>
  <si>
    <t xml:space="preserve">retries</t>
  </si>
  <si>
    <t xml:space="preserve">HLP-042</t>
  </si>
  <si>
    <t xml:space="preserve">ETIMEDOUT_MAX</t>
  </si>
  <si>
    <t xml:space="preserve">#define ETIMEDOUT_MAX 15</t>
  </si>
  <si>
    <t xml:space="preserve">Consecutive ETIMEDOUT returns before the device is cycled.</t>
  </si>
  <si>
    <t xml:space="preserve">15</t>
  </si>
  <si>
    <t xml:space="preserve">each costs ~2 s in-kernel (IWFG_TX_WAIT_TOTAL_MS) -&gt; ~30 s of stalled card</t>
  </si>
  <si>
    <t xml:space="preserve">main() ETIMEDOUT branch</t>
  </si>
  <si>
    <t xml:space="preserve">HLP-043</t>
  </si>
  <si>
    <t xml:space="preserve">STALL_WARN_S</t>
  </si>
  <si>
    <t xml:space="preserve">#define STALL_WARN_S 3</t>
  </si>
  <si>
    <t xml:space="preserve">Seconds without a DMA completion (while inside the ioctl) before print_stall_diag().</t>
  </si>
  <si>
    <t xml:space="preserve">stall_watchdog()</t>
  </si>
  <si>
    <t xml:space="preserve">HLP-044</t>
  </si>
  <si>
    <t xml:space="preserve">STALL_KICK_S</t>
  </si>
  <si>
    <t xml:space="preserve">#define STALL_KICK_S 3</t>
  </si>
  <si>
    <t xml:space="preserve">Seconds without a completion after which the watchdog sends SIGUSR1 to the main thread every second (forces the ioctl out with EINTR).</t>
  </si>
  <si>
    <t xml:space="preserve">HLP-045</t>
  </si>
  <si>
    <t xml:space="preserve">KICKS_PER_REOPEN</t>
  </si>
  <si>
    <t xml:space="preserve">#define KICKS_PER_REOPEN 5</t>
  </si>
  <si>
    <t xml:space="preserve">Fruitless stall kicks before the device is closed and reopened.</t>
  </si>
  <si>
    <t xml:space="preserve">kicks</t>
  </si>
  <si>
    <t xml:space="preserve">main() EINTR branch</t>
  </si>
  <si>
    <t xml:space="preserve">HLP-046</t>
  </si>
  <si>
    <t xml:space="preserve">REOPEN_MAX_FAILS</t>
  </si>
  <si>
    <t xml:space="preserve">#define REOPEN_MAX_FAILS 5</t>
  </si>
  <si>
    <t xml:space="preserve">Consecutive failed reopen attempts (open or re-registration) before the helper gives up and exits.</t>
  </si>
  <si>
    <t xml:space="preserve">attempts</t>
  </si>
  <si>
    <t xml:space="preserve">reopen_device()</t>
  </si>
  <si>
    <t xml:space="preserve">HLP-047</t>
  </si>
  <si>
    <t xml:space="preserve">DIAG_EVERY_CYCLES</t>
  </si>
  <si>
    <t xml:space="preserve">#define DIAG_EVERY_CYCLES 8</t>
  </si>
  <si>
    <t xml:space="preserve">Rate limit for repeated stall-kick and diagnosis messages.</t>
  </si>
  <si>
    <t xml:space="preserve">main() recovery branches</t>
  </si>
  <si>
    <t xml:space="preserve">HLP-048</t>
  </si>
  <si>
    <t xml:space="preserve">g_dma_done</t>
  </si>
  <si>
    <t xml:space="preserve">static volatile uint64_t g_dma_done = 0;</t>
  </si>
  <si>
    <t xml:space="preserve">Completed DMA_DATA counter read by the watchdog to detect stalls.</t>
  </si>
  <si>
    <t xml:space="preserve">HLP-049</t>
  </si>
  <si>
    <t xml:space="preserve">g_in_dma</t>
  </si>
  <si>
    <t xml:space="preserve">static volatile int g_in_dma = 0;</t>
  </si>
  <si>
    <t xml:space="preserve">1 while the main thread is inside the DMA ioctl; the watchdog only counts stall seconds while set.</t>
  </si>
  <si>
    <t xml:space="preserve">HLP-050</t>
  </si>
  <si>
    <t xml:space="preserve">static void sig_handler(int s) { (void)s; g_stop = 1; }</t>
  </si>
  <si>
    <t xml:space="preserve">SIGINT/SIGTERM handler: g_stop = 1.</t>
  </si>
  <si>
    <t xml:space="preserve">HLP-051</t>
  </si>
  <si>
    <t xml:space="preserve">kick_handler</t>
  </si>
  <si>
    <t xml:space="preserve">static void kick_handler(int s) { (void)s; }</t>
  </si>
  <si>
    <t xml:space="preserve">SIGUSR1 no-op handler; its only purpose is to make the blocked ioctl return EINTR.</t>
  </si>
  <si>
    <t xml:space="preserve">HLP-052</t>
  </si>
  <si>
    <t xml:space="preserve">Installs SIGINT/SIGTERM (sig_handler) and SIGUSR1 (kick_handler) without SA_RESTART, and ignores SIGPIPE.</t>
  </si>
  <si>
    <t xml:space="preserve">0; -1 on sigaction failure</t>
  </si>
  <si>
    <t xml:space="preserve">SIGUSR1 must be a real handler, not SIG_IGN, or it would not interrupt the ioctl.</t>
  </si>
  <si>
    <t xml:space="preserve">HLP-053</t>
  </si>
  <si>
    <t xml:space="preserve">msleep_stoppable</t>
  </si>
  <si>
    <t xml:space="preserve">static void msleep_stoppable(unsigned int ms)</t>
  </si>
  <si>
    <t xml:space="preserve">nanosleep for ms milliseconds, resuming after EINTR unless g_stop.</t>
  </si>
  <si>
    <t xml:space="preserve">open_fifo_rd (200 ms), stall_watchdog (1000 ms), reopen_device (500 ms)</t>
  </si>
  <si>
    <t xml:space="preserve">HLP-054</t>
  </si>
  <si>
    <t xml:space="preserve">stage_fill / stage_ready</t>
  </si>
  <si>
    <t xml:space="preserve">static uint8_t *stage_fill = NULL;</t>
  </si>
  <si>
    <t xml:space="preserve">Staging ping-pong owned by the reader thread (never registered with the driver); swapped under g_mtx after each complete chunk.</t>
  </si>
  <si>
    <t xml:space="preserve">bytes (g_chunk each)</t>
  </si>
  <si>
    <t xml:space="preserve">HLP-055</t>
  </si>
  <si>
    <t xml:space="preserve">g_new_data</t>
  </si>
  <si>
    <t xml:space="preserve">static int g_new_data = 0;</t>
  </si>
  <si>
    <t xml:space="preserve">Set by the reader when stage_ready holds an unseen chunk; consumed by the DMA loop at the swap-in point.</t>
  </si>
  <si>
    <t xml:space="preserve">HLP-056</t>
  </si>
  <si>
    <t xml:space="preserve">ensure_fifo</t>
  </si>
  <si>
    <t xml:space="preserve">static int ensure_fifo(const char *path)</t>
  </si>
  <si>
    <t xml:space="preserve">Creates the FIFO if missing; reuses an existing FIFO inode; refuses a path that exists but is not a FIFO. Never unlinks a live FIFO.</t>
  </si>
  <si>
    <t xml:space="preserve">0; -1 (non-FIFO squatter, stat error, mkfifo error)</t>
  </si>
  <si>
    <t xml:space="preserve">main(), open_fifo_rd()</t>
  </si>
  <si>
    <t xml:space="preserve">v9 fix D: unlink+mkfifo deadlocked a writer already blocked in open() on the old inode.</t>
  </si>
  <si>
    <t xml:space="preserve">HLP-057</t>
  </si>
  <si>
    <t xml:space="preserve">[H2C] %s exists and is NOT a FIFO - refusing to touch it</t>
  </si>
  <si>
    <t xml:space="preserve">fprintf(stderr, "[H2C] %s exists and is NOT a FIFO - refusing " "to touch it\n", path);</t>
  </si>
  <si>
    <t xml:space="preserve">FIFO path squatted by a regular file.</t>
  </si>
  <si>
    <t xml:space="preserve">kNotSize ('NOT a FIFO')</t>
  </si>
  <si>
    <t xml:space="preserve">HLP-058</t>
  </si>
  <si>
    <t xml:space="preserve">open_fifo_rd</t>
  </si>
  <si>
    <t xml:space="preserve">static int open_fifo_rd(void)</t>
  </si>
  <si>
    <t xml:space="preserve">Opens the FIFO O_RDONLY|O_CLOEXEC, retrying forever (200 ms backoff) until g_stop; verifies the fd is a FIFO, recreates a vanished/squatted path.</t>
  </si>
  <si>
    <t xml:space="preserve">fd &gt;= 0; -1 only when g_stop is set</t>
  </si>
  <si>
    <t xml:space="preserve">main() (first connection), fifo_reader() (reconnects)</t>
  </si>
  <si>
    <t xml:space="preserve">v9 fix C (self-healing FIFO).</t>
  </si>
  <si>
    <t xml:space="preserve">HLP-059</t>
  </si>
  <si>
    <t xml:space="preserve">read_all</t>
  </si>
  <si>
    <t xml:space="preserve">static int read_all(int fd, void *buf, size_t len)</t>
  </si>
  <si>
    <t xml:space="preserve">Reads exactly len bytes from the FIFO.</t>
  </si>
  <si>
    <t xml:space="preserve">0 success; -1 EOF (writer closed) or error; 1 stop requested (EINTR with g_stop)</t>
  </si>
  <si>
    <t xml:space="preserve">main() (first chunk), fifo_reader()</t>
  </si>
  <si>
    <t xml:space="preserve">HLP-060</t>
  </si>
  <si>
    <t xml:space="preserve">fifo_reader</t>
  </si>
  <si>
    <t xml:space="preserve">static void *fifo_reader(void *arg)</t>
  </si>
  <si>
    <t xml:space="preserve">Reader thread: reads full chunks into stage_fill and publishes them by swapping with stage_ready under g_mtx (g_new_data=1, g_updates++); on EOF/error closes and reopens the FIFO while the DMA loop keeps replaying the last chunk. Exits only on g_stop.</t>
  </si>
  <si>
    <t xml:space="preserve">arg = FIFO fd inherited from main (one continuous connection)</t>
  </si>
  <si>
    <t xml:space="preserve">NULL</t>
  </si>
  <si>
    <t xml:space="preserve">pthread_create in main()</t>
  </si>
  <si>
    <t xml:space="preserve">v9 fix C: the reader never dies silently.</t>
  </si>
  <si>
    <t xml:space="preserve">HLP-061</t>
  </si>
  <si>
    <t xml:space="preserve">[H2C reader] GNU Radio reconnected.</t>
  </si>
  <si>
    <t xml:space="preserve">printf("[H2C reader] GNU Radio reconnected.\n");</t>
  </si>
  <si>
    <t xml:space="preserve">Reader reopened the FIFO after EOF/error.</t>
  </si>
  <si>
    <t xml:space="preserve">handleH2cLine ("GNU Radio reconnected")</t>
  </si>
  <si>
    <t xml:space="preserve">HLP-062</t>
  </si>
  <si>
    <t xml:space="preserve">[H2C reader] FIFO EOF/error - waiting for GNU Radio to reconnect (replaying last chunk)...</t>
  </si>
  <si>
    <t xml:space="preserve">printf("[H2C reader] FIFO EOF/error - waiting for GNU Radio " "to reconnect (replaying last chunk)...\n");</t>
  </si>
  <si>
    <t xml:space="preserve">Writer went away; the DMA loop keeps replaying the last chunk.</t>
  </si>
  <si>
    <t xml:space="preserve">HLP-063</t>
  </si>
  <si>
    <t xml:space="preserve">print_stall_diag</t>
  </si>
  <si>
    <t xml:space="preserve">static void print_stall_diag(void)</t>
  </si>
  <si>
    <t xml:space="preserve">Prints the multi-line stall diagnosis: card not consuming H2C data (PL H2C FIFO full / tready low); rebuild/reload driver (must enable the H2C datapath at open and bound the wait); check PS RF config (clocks+MTS, DAC enabled, AXIS switch QDMA-&gt;DAC); dmesg has the pidx/cidx dump.</t>
  </si>
  <si>
    <t xml:space="preserve">stall_watchdog() at STALL_WARN_S; main() on the first and every DIAG_EVERY_CYCLES-th reopen cycle</t>
  </si>
  <si>
    <t xml:space="preserve">HLP-064</t>
  </si>
  <si>
    <t xml:space="preserve">[H2C] WARNING: no DMA completion for %d s - the card is NOT</t>
  </si>
  <si>
    <t xml:space="preserve">"[H2C] WARNING: no DMA completion for %d s - the card is NOT\n"</t>
  </si>
  <si>
    <t xml:space="preserve">First line of the multi-line print_stall_diag() message: no completion for STALL_WARN_S seconds while inside the ioctl.</t>
  </si>
  <si>
    <t xml:space="preserve">isH2cStallLine ('no DMA completion')</t>
  </si>
  <si>
    <t xml:space="preserve">HLP-065</t>
  </si>
  <si>
    <t xml:space="preserve">stall_watchdog</t>
  </si>
  <si>
    <t xml:space="preserve">static void *stall_watchdog(void *arg)</t>
  </si>
  <si>
    <t xml:space="preserve">Watchdog thread: once a second compares g_dma_done; while inside the ioctl with no progress it counts quiet seconds, warns at STALL_WARN_S and sends SIGUSR1 to the main thread every second from STALL_KICK_S; on g_stop kicks once more to guarantee shutdown.</t>
  </si>
  <si>
    <t xml:space="preserve">v9 fixes A and E: on an old driver with an unbounded wait this is what un-wedges the ioctl; process-directed SIGINT could land on another thread.</t>
  </si>
  <si>
    <t xml:space="preserve">HLP-066</t>
  </si>
  <si>
    <t xml:space="preserve">[H2C] Card resumed consuming data.</t>
  </si>
  <si>
    <t xml:space="preserve">fprintf(stderr, "[H2C] Card resumed consuming data.\n");</t>
  </si>
  <si>
    <t xml:space="preserve">Completions resumed after a warned stall.</t>
  </si>
  <si>
    <t xml:space="preserve">handleH2cLine -&gt; Streaming</t>
  </si>
  <si>
    <t xml:space="preserve">HLP-067</t>
  </si>
  <si>
    <t xml:space="preserve">register_dma_bufs</t>
  </si>
  <si>
    <t xml:space="preserve">static int register_dma_bufs(int fd, uint8_t **bufs, uint32_t *idx)</t>
  </si>
  <si>
    <t xml:space="preserve">ADD_BUFs both ping-pong buffers (USERPTR, import_fd -1, size g_chunk, not chunked) and stores the returned indices.</t>
  </si>
  <si>
    <t xml:space="preserve">fd, bufs[2], idx[2]</t>
  </si>
  <si>
    <t xml:space="preserve">0; -1 (perror "[H2C] IWFG_IOCTL_ADD_BUF")</t>
  </si>
  <si>
    <t xml:space="preserve">main(), reopen_device()</t>
  </si>
  <si>
    <t xml:space="preserve">HLP-068</t>
  </si>
  <si>
    <t xml:space="preserve">perror("[H2C] IWFG_IOCTL_ADD_BUF")</t>
  </si>
  <si>
    <t xml:space="preserve">perror("[H2C] IWFG_IOCTL_ADD_BUF");</t>
  </si>
  <si>
    <t xml:space="preserve">Driver refused a ping-pong buffer.</t>
  </si>
  <si>
    <t xml:space="preserve">BackendLauncher: size-related -&gt; retryH2cSmaller</t>
  </si>
  <si>
    <t xml:space="preserve">HLP-069</t>
  </si>
  <si>
    <t xml:space="preserve">reopen_device</t>
  </si>
  <si>
    <t xml:space="preserve">static int reopen_device(const char *dev, int *fdp, uint8_t **bufs, uint32_t *idx)</t>
  </si>
  <si>
    <t xml:space="preserve">Full in-app reset path: close(dev) [driver tears down TX queue, unpins] -&gt; open(dev) [fresh TX queue, h2c_busy=0, VID_OUT_SEL re-enabled] -&gt; register_dma_bufs() (fresh indices). Retries every 500 ms.</t>
  </si>
  <si>
    <t xml:space="preserve">dev, fdp, bufs, idx</t>
  </si>
  <si>
    <t xml:space="preserve">0 success; -1 after more than REOPEN_MAX_FAILS consecutive failures or on g_stop</t>
  </si>
  <si>
    <t xml:space="preserve">main() after KICKS_PER_REOPEN kicks, EBUSY_MAX_RETRIES or ETIMEDOUT_MAX</t>
  </si>
  <si>
    <t xml:space="preserve">Safe while the reader runs (the reader never touches dev_fd). Cycles are unbounded; only a failing reopen ends the helper.</t>
  </si>
  <si>
    <t xml:space="preserve">HLP-070</t>
  </si>
  <si>
    <t xml:space="preserve">[H2C] device reopen failed %d times (%s) - giving up</t>
  </si>
  <si>
    <t xml:space="preserve">fprintf(stderr, "[H2C] device reopen failed %d times " "(%s) - giving up\n", fails, strerror(errno));</t>
  </si>
  <si>
    <t xml:space="preserve">Reopen failed more than REOPEN_MAX_FAILS times; helper exits.</t>
  </si>
  <si>
    <t xml:space="preserve">HLP-071</t>
  </si>
  <si>
    <t xml:space="preserve">[H2C] reopen open(%s): %s - retry %d/%d</t>
  </si>
  <si>
    <t xml:space="preserve">fprintf(stderr, "[H2C] reopen open(%s): %s - retry %d/%d\n", dev, strerror(errno), fails, REOPEN_MAX_FAILS);</t>
  </si>
  <si>
    <t xml:space="preserve">A reopen attempt failed; retrying in 500 ms.</t>
  </si>
  <si>
    <t xml:space="preserve">HLP-072</t>
  </si>
  <si>
    <t xml:space="preserve">[H2C] buffer re-registration failed %d times - giving up</t>
  </si>
  <si>
    <t xml:space="preserve">fprintf(stderr, "[H2C] buffer re-registration failed %d " "times - giving up\n", fails);</t>
  </si>
  <si>
    <t xml:space="preserve">ADD_BUF after reopen failed more than REOPEN_MAX_FAILS times; helper exits.</t>
  </si>
  <si>
    <t xml:space="preserve">HLP-073</t>
  </si>
  <si>
    <t xml:space="preserve">[H2C] Device reopened: TX queue + PL datapath reinitialized, buffers re-registered.</t>
  </si>
  <si>
    <t xml:space="preserve">printf("[H2C] Device reopened: TX queue + PL datapath reinitialized, " "buffers re-registered.\n");</t>
  </si>
  <si>
    <t xml:space="preserve">reopen_device() succeeded.</t>
  </si>
  <si>
    <t xml:space="preserve">isH2cStallLine ('Device reopened')</t>
  </si>
  <si>
    <t xml:space="preserve">HLP-074</t>
  </si>
  <si>
    <t xml:space="preserve">H2C playback service: ensure FIFO, open device, allocate staging + 2 registered DMA buffers, wait for the first chunk, start reader and watchdog threads, then loop: swap in new data into the idle buffer, blocking DMA_DATA on dma_bufs[cur], handle EINTR/EBUSY/ETIMEDOUT recovery, print throughput; ordered cleanup.</t>
  </si>
  <si>
    <t xml:space="preserve">argv[1] dev, argv[2] fifo, argv[3] chunk_bytes</t>
  </si>
  <si>
    <t xml:space="preserve">exit 0 on normal stop/interrupt; 1 on setup failure or unrecoverable device</t>
  </si>
  <si>
    <t xml:space="preserve">BackendLauncher::launchH2c (no stdbuf: setvbuf(stdout, _IOLBF) itself)</t>
  </si>
  <si>
    <t xml:space="preserve">Zero-gap looping: replays the most recent chunk at full DMA speed until GNU Radio delivers a new one. While dma_bufs[cur] is in the ioctl nothing touches it; new data goes to dma_bufs[1-cur].</t>
  </si>
  <si>
    <t xml:space="preserve">HLP-075</t>
  </si>
  <si>
    <t xml:space="preserve">argv[1] (dev)</t>
  </si>
  <si>
    <t xml:space="preserve">const char *dev = (argc &gt; 1) ? argv[1] : DEF_DEVICE;</t>
  </si>
  <si>
    <t xml:space="preserve">H2C device node.</t>
  </si>
  <si>
    <t xml:space="preserve">default DEF_DEVICE "/dev/iwfg1"</t>
  </si>
  <si>
    <t xml:space="preserve">BackendLauncher::launchH2c passes BackendConfig.h2cDevice</t>
  </si>
  <si>
    <t xml:space="preserve">HLP-076</t>
  </si>
  <si>
    <t xml:space="preserve">argv[2] (g_fifo_path)</t>
  </si>
  <si>
    <t xml:space="preserve">g_fifo_path = (argc &gt; 2) ? argv[2] : DEF_FIFO;</t>
  </si>
  <si>
    <t xml:space="preserve">Input FIFO written by GNU Radio / the GUI IQ generator.</t>
  </si>
  <si>
    <t xml:space="preserve">default DEF_FIFO "/tmp/iwfg_h2c.fifo"</t>
  </si>
  <si>
    <t xml:space="preserve">BackendLauncher::launchH2c passes BackendConfig.h2cFifo</t>
  </si>
  <si>
    <t xml:space="preserve">HLP-077</t>
  </si>
  <si>
    <t xml:space="preserve">argv[3] (chunk_bytes)</t>
  </si>
  <si>
    <t xml:space="preserve">if (argc &gt; 3)</t>
  </si>
  <si>
    <t xml:space="preserve">Chunk size = size of each registered ping-pong DMA buffer, of each FIFO read and of each DMA_DATA.</t>
  </si>
  <si>
    <t xml:space="preserve">strtol(base 0); must be a multiple of 4 in [4, MAX_CHUNK]</t>
  </si>
  <si>
    <t xml:space="preserve">g_chunk (default DEF_CHUNK 16384); invalid -&gt; message + exit 1</t>
  </si>
  <si>
    <t xml:space="preserve">BackendLauncher::launchH2c (kH2cChunkLadder rung); helperLoads probes with 0 to force an early exit</t>
  </si>
  <si>
    <t xml:space="preserve">HLP-078</t>
  </si>
  <si>
    <t xml:space="preserve">chunk_bytes must be a multiple of 4 in [4, %u]</t>
  </si>
  <si>
    <t xml:space="preserve">fprintf(stderr, "chunk_bytes must be a multiple of 4 in " "[4, %u]\n", MAX_CHUNK);</t>
  </si>
  <si>
    <t xml:space="preserve">Invalid argv[3]; exit 1 before touching the device.</t>
  </si>
  <si>
    <t xml:space="preserve">BackendLauncher onProcessFinished: not size-related (kNotSize); helperLoads probe</t>
  </si>
  <si>
    <t xml:space="preserve">HLP-079</t>
  </si>
  <si>
    <t xml:space="preserve">[H2C v9] device=%s  fifo=%s  chunk=%zu bytes</t>
  </si>
  <si>
    <t xml:space="preserve">printf("[H2C v9] device=%s fifo=%s chunk=%zu bytes\n", dev, g_fifo_path, g_chunk);</t>
  </si>
  <si>
    <t xml:space="preserve">Startup banner with the effective parameters.</t>
  </si>
  <si>
    <t xml:space="preserve">HLP-080</t>
  </si>
  <si>
    <t xml:space="preserve">[H2C] Waiting for GNU Radio (fifo_sink) on %s ...</t>
  </si>
  <si>
    <t xml:space="preserve">printf("[H2C] Waiting for GNU Radio (fifo_sink) on %s ...\n", g_fifo_path);</t>
  </si>
  <si>
    <t xml:space="preserve">Device open and buffers registered; waiting for a FIFO writer.</t>
  </si>
  <si>
    <t xml:space="preserve">handleH2cLine -&gt; H2cState::WaitingForData</t>
  </si>
  <si>
    <t xml:space="preserve">HLP-081</t>
  </si>
  <si>
    <t xml:space="preserve">[H2C] Interrupted before GNU Radio connected.</t>
  </si>
  <si>
    <t xml:space="preserve">printf("[H2C] Interrupted before GNU Radio connected.\n");</t>
  </si>
  <si>
    <t xml:space="preserve">Stop signal before a writer connected; exit 0.</t>
  </si>
  <si>
    <t xml:space="preserve">HLP-082</t>
  </si>
  <si>
    <t xml:space="preserve">[H2C] GNU Radio connected.</t>
  </si>
  <si>
    <t xml:space="preserve">printf("[H2C] GNU Radio connected.\n");</t>
  </si>
  <si>
    <t xml:space="preserve">Writer connected; reading the first chunk.</t>
  </si>
  <si>
    <t xml:space="preserve">handleH2cLine -&gt; H2cState::Starting</t>
  </si>
  <si>
    <t xml:space="preserve">HLP-083</t>
  </si>
  <si>
    <t xml:space="preserve">[H2C] Interrupted/EOF before first chunk.</t>
  </si>
  <si>
    <t xml:space="preserve">printf("[H2C] Interrupted/EOF before first chunk.\n");</t>
  </si>
  <si>
    <t xml:space="preserve">Writer closed or stop signal before one full chunk; exit 0.</t>
  </si>
  <si>
    <t xml:space="preserve">HLP-084</t>
  </si>
  <si>
    <t xml:space="preserve">[H2C] First chunk received. Starting DMA replay loop...</t>
  </si>
  <si>
    <t xml:space="preserve">printf("[H2C] First chunk received. Starting DMA replay loop...\n\n");</t>
  </si>
  <si>
    <t xml:space="preserve">First chunk primed into dma_bufs[0]; transfers begin.</t>
  </si>
  <si>
    <t xml:space="preserve">handleH2cLine sets h2cFirstChunk and arms the kH2cFirstRateMs (4 s) check</t>
  </si>
  <si>
    <t xml:space="preserve">HLP-085</t>
  </si>
  <si>
    <t xml:space="preserve">[H2C] WARNING: watchdog thread failed to start - stall auto-recovery disabled</t>
  </si>
  <si>
    <t xml:space="preserve">fprintf(stderr, "[H2C] WARNING: watchdog thread failed to start - " "stall auto-recovery disabled\n");</t>
  </si>
  <si>
    <t xml:space="preserve">Stall auto-recovery disabled.</t>
  </si>
  <si>
    <t xml:space="preserve">HLP-086</t>
  </si>
  <si>
    <t xml:space="preserve">IWFG_IOCTL_DMA_DATA (replay loop)</t>
  </si>
  <si>
    <t xml:space="preserve">int rc = ioctl(dev_fd, IWFG_IOCTL_DMA_DATA, &amp;req);</t>
  </si>
  <si>
    <t xml:space="preserve">Blocking H2C transfer of dma_bufs[cur] (buf NULL, buf_index, size g_chunk, flags NORM); g_in_dma brackets the call for the watchdog.</t>
  </si>
  <si>
    <t xml:space="preserve">0 -&gt; success path; EINTR -&gt; stop or watchdog kick; EBUSY -&gt; back off EBUSY_RETRY_US; ETIMEDOUT -&gt; retry up to ETIMEDOUT_MAX; other -&gt; perror and exit loop</t>
  </si>
  <si>
    <t xml:space="preserve">Re-posting the same buffer after a kick/timeout is safe: leftover descriptors of the same chunk drain as duplicates of data being replayed anyway.</t>
  </si>
  <si>
    <t xml:space="preserve">HLP-087</t>
  </si>
  <si>
    <t xml:space="preserve">EINTR branch (stall kick)</t>
  </si>
  <si>
    <t xml:space="preserve">if (errno == EINTR)</t>
  </si>
  <si>
    <t xml:space="preserve">EINTR without g_stop = watchdog kick: stall_kicks++; at KICKS_PER_REOPEN the device is cycled (reopen_cycles++).</t>
  </si>
  <si>
    <t xml:space="preserve">reopen after 5 kicks; first kick after 3 s quiet, then one per second -&gt; ~7 s</t>
  </si>
  <si>
    <t xml:space="preserve">HLP-088</t>
  </si>
  <si>
    <t xml:space="preserve">\n[H2C] Transfer interrupted, shutting down...</t>
  </si>
  <si>
    <t xml:space="preserve">printf("\n[H2C] Transfer interrupted, shutting down...\n");</t>
  </si>
  <si>
    <t xml:space="preserve">EINTR with g_stop set (normal stop).</t>
  </si>
  <si>
    <t xml:space="preserve">HLP-089</t>
  </si>
  <si>
    <t xml:space="preserve">[H2C] stall kick %d (reopen cycle %llu) - retrying transfer</t>
  </si>
  <si>
    <t xml:space="preserve">fprintf(stderr, "[H2C] stall kick %d (reopen cycle " "%llu) - retrying transfer\n", stall_kicks, (unsigned long long)reopen_cycles);</t>
  </si>
  <si>
    <t xml:space="preserve">Watchdog forced the ioctl out (first kick and every 8th).</t>
  </si>
  <si>
    <t xml:space="preserve">isH2cStallLine ('stall kick')</t>
  </si>
  <si>
    <t xml:space="preserve">HLP-090</t>
  </si>
  <si>
    <t xml:space="preserve">EBUSY branch</t>
  </si>
  <si>
    <t xml:space="preserve">if (errno == EBUSY)</t>
  </si>
  <si>
    <t xml:space="preserve">EBUSY = C2H overflow recovery is soft-resetting the QDMA (driver h2c_busy==2); sleep 2 ms and retry, cycle the device after EBUSY_MAX_RETRIES.</t>
  </si>
  <si>
    <t xml:space="preserve">cycle after 500 consecutive EBUSY (~1 s)</t>
  </si>
  <si>
    <t xml:space="preserve">HLP-091</t>
  </si>
  <si>
    <t xml:space="preserve">[H2C] h2c reset never completed (EBUSY x%d) - cycling device</t>
  </si>
  <si>
    <t xml:space="preserve">fprintf(stderr, "[H2C] h2c reset never completed " "(EBUSY x%d) - cycling device\n", ebusy_retries);</t>
  </si>
  <si>
    <t xml:space="preserve">EBUSY persisted for EBUSY_MAX_RETRIES; cycling the device.</t>
  </si>
  <si>
    <t xml:space="preserve">isH2cStallLine ('EBUSY', 'cycling device')</t>
  </si>
  <si>
    <t xml:space="preserve">HLP-092</t>
  </si>
  <si>
    <t xml:space="preserve">ETIMEDOUT branch</t>
  </si>
  <si>
    <t xml:space="preserve">if (errno == ETIMEDOUT)</t>
  </si>
  <si>
    <t xml:space="preserve">ETIMEDOUT = h2c_busy contention (1000 CAS retries) or the driver's 2 s completion timeout (card not consuming); retry, cycle after ETIMEDOUT_MAX.</t>
  </si>
  <si>
    <t xml:space="preserve">cycle after 15 consecutive ETIMEDOUT (~30 s)</t>
  </si>
  <si>
    <t xml:space="preserve">HLP-093</t>
  </si>
  <si>
    <t xml:space="preserve">[H2C] card did not consume data for ~%d s (ETIMEDOUT x%d) - cycling device</t>
  </si>
  <si>
    <t xml:space="preserve">"[H2C] card did not consume data for ~%d s "</t>
  </si>
  <si>
    <t xml:space="preserve">ETIMEDOUT exceeded ETIMEDOUT_MAX; cycling the device.</t>
  </si>
  <si>
    <t xml:space="preserve">isH2cStallLine ('ETIMEDOUT', 'cycling device')</t>
  </si>
  <si>
    <t xml:space="preserve">HLP-094</t>
  </si>
  <si>
    <t xml:space="preserve">[H2C] DMA_DATA ETIMEDOUT (%d/%d) - card not consuming, retrying</t>
  </si>
  <si>
    <t xml:space="preserve">fprintf(stderr, "[H2C] DMA_DATA ETIMEDOUT (%d/%d) - card " "not consuming, retrying\n", etimedout_retries, ETIMEDOUT_MAX);</t>
  </si>
  <si>
    <t xml:space="preserve">One ETIMEDOUT (driver 2 s budget or h2c_busy contention); retrying.</t>
  </si>
  <si>
    <t xml:space="preserve">isH2cStallLine ('ETIMEDOUT')</t>
  </si>
  <si>
    <t xml:space="preserve">HLP-095</t>
  </si>
  <si>
    <t xml:space="preserve">perror("[H2C] IWFG_IOCTL_DMA_DATA")</t>
  </si>
  <si>
    <t xml:space="preserve">perror("[H2C] IWFG_IOCTL_DMA_DATA");</t>
  </si>
  <si>
    <t xml:space="preserve">DMA_DATA failed with an unexpected errno; loop exits.</t>
  </si>
  <si>
    <t xml:space="preserve">BackendLauncher: size-related -&gt; retryH2cSmaller if it never streamed</t>
  </si>
  <si>
    <t xml:space="preserve">HLP-096</t>
  </si>
  <si>
    <t xml:space="preserve">[H2C] Recovered after %llu device cycle(s); streaming resumed.</t>
  </si>
  <si>
    <t xml:space="preserve">fprintf(stderr, "[H2C] Recovered after %llu device " "cycle(s); streaming resumed.\n", (unsigned long long)reopen_cycles);</t>
  </si>
  <si>
    <t xml:space="preserve">First success after one or more device cycles.</t>
  </si>
  <si>
    <t xml:space="preserve">handleH2cLine ("Recovered after") -&gt; Streaming</t>
  </si>
  <si>
    <t xml:space="preserve">HLP-097</t>
  </si>
  <si>
    <t xml:space="preserve">[H2C] %.2f MB/s  total=%.1f MB  GR_updates=%llu/s</t>
  </si>
  <si>
    <t xml:space="preserve">printf("[H2C] %.2f MB/s total=%.1f MB GR_updates=%llu/s\n", ibytes / 1048576.0 / (double)(now - last), total_bytes / 1048576.0, (unsigned long long)(upd_snapshot - last_updates));</t>
  </si>
  <si>
    <t xml:space="preserve">Once-a-second delivery to the card (MiB/s), total (MiB) and chunks received from the generator per second.</t>
  </si>
  <si>
    <t xml:space="preserve">parseH2cRateLine -&gt; h2cThroughput, H2cState::Streaming</t>
  </si>
  <si>
    <t xml:space="preserve">HLP-098</t>
  </si>
  <si>
    <t xml:space="preserve">throughput (stats)</t>
  </si>
  <si>
    <t xml:space="preserve">ibytes / 1048576.0 / (double)(now - last),</t>
  </si>
  <si>
    <t xml:space="preserve">Once-a-second delivery rate and GNU Radio update rate.</t>
  </si>
  <si>
    <t xml:space="preserve">MB/s = ibytes / 1048576.0 / (now - last); GR_updates/s = g_updates delta</t>
  </si>
  <si>
    <t xml:space="preserve">MiB/s (printed 'MB/s'), chunks/s</t>
  </si>
  <si>
    <t xml:space="preserve">'[H2C] %.2f MB/s ...' status line -&gt; BackendLauncher::parseH2cRateLine</t>
  </si>
  <si>
    <t xml:space="preserve">HLP-099</t>
  </si>
  <si>
    <t xml:space="preserve">cleanup</t>
  </si>
  <si>
    <t xml:space="preserve">g_stop=1; SIGTERM+join the watchdog; re-signal SIGTERM and pthread_tryjoin_np the reader every 50 ms for up to 5 s (then blocking join); never unlink the FIFO; close(dev) (driver releases TX queue, unpins) then free buffers.</t>
  </si>
  <si>
    <t xml:space="preserve">HLP-100</t>
  </si>
  <si>
    <t xml:space="preserve">[H2C] Stopped. Total sent: %.1f MB</t>
  </si>
  <si>
    <t xml:space="preserve">printf("[H2C] Stopped. Total sent: %.1f MB\n", total_bytes / 1048576.0);</t>
  </si>
  <si>
    <t xml:space="preserve">Final line after cleanup (MiB).</t>
  </si>
  <si>
    <t xml:space="preserve">HLP-101</t>
  </si>
  <si>
    <t xml:space="preserve">$(BIN)/iwfg_h2c</t>
  </si>
  <si>
    <t xml:space="preserve">$(BIN)/iwfg_h2c: H2C/iwfg_h2c.c H2C/iwfg_user.h | $(BIN)</t>
  </si>
  <si>
    <t xml:space="preserve">Build rule: iwfg_h2c is H2C/iwfg_h2c.c compiled with -pthread and -I H2C (uses the v2 H2C/iwfg_user.h).</t>
  </si>
  <si>
    <t xml:space="preserve">$(CC) $(CFLAGS) -pthread -I H2C -o bin/iwfg_h2c H2C/iwfg_h2c.c</t>
  </si>
  <si>
    <t xml:space="preserve">BackendLauncher::binaryPath("iwfg_h2c")</t>
  </si>
  <si>
    <t xml:space="preserve">QDMA Host - API reference</t>
  </si>
  <si>
    <t xml:space="preserve">92 entries. Source: iW-ASCEJ-01-SF-R1.0-REL1.0/iW-ASCEJ-01-SC-R1.0-REL1.0 and iW-ASCEJ-01-FF-R1.0-REL1.0 of release REL1.0 (1.2.5).</t>
  </si>
  <si>
    <t xml:space="preserve">HOST-001</t>
  </si>
  <si>
    <t xml:space="preserve">QDMA / Host integration</t>
  </si>
  <si>
    <t xml:space="preserve">kGraceMs</t>
  </si>
  <si>
    <t xml:space="preserve">constexpr int kGraceMs = 2500;</t>
  </si>
  <si>
    <t xml:space="preserve">Stop: time after SIGINT before SIGTERM.</t>
  </si>
  <si>
    <t xml:space="preserve">2500</t>
  </si>
  <si>
    <t xml:space="preserve">HOST-002</t>
  </si>
  <si>
    <t xml:space="preserve">kTermMs</t>
  </si>
  <si>
    <t xml:space="preserve">constexpr int kTermMs = 1500;</t>
  </si>
  <si>
    <t xml:space="preserve">Stop: time after SIGTERM before SIGKILL.</t>
  </si>
  <si>
    <t xml:space="preserve">1500</t>
  </si>
  <si>
    <t xml:space="preserve">HOST-003</t>
  </si>
  <si>
    <t xml:space="preserve">kKillWaitMs</t>
  </si>
  <si>
    <t xml:space="preserve">constexpr int kKillWaitMs = 1500;</t>
  </si>
  <si>
    <t xml:space="preserve">Stop: time after SIGKILL before a helper is declared stuck in the driver and left to the reaper.</t>
  </si>
  <si>
    <t xml:space="preserve">HOST-004</t>
  </si>
  <si>
    <t xml:space="preserve">kReadySettleMs</t>
  </si>
  <si>
    <t xml:space="preserve">constexpr int kReadySettleMs = 900;</t>
  </si>
  <si>
    <t xml:space="preserve">Settle window before becameReady (capture helper opens device, registers buffers, creates FIFO).</t>
  </si>
  <si>
    <t xml:space="preserve">900</t>
  </si>
  <si>
    <t xml:space="preserve">HOST-005</t>
  </si>
  <si>
    <t xml:space="preserve">kUdpReadySettleMs</t>
  </si>
  <si>
    <t xml:space="preserve">constexpr int kUdpReadySettleMs = 4000;</t>
  </si>
  <si>
    <t xml:space="preserve">Settle window for the UDP receiver (not QDMA).</t>
  </si>
  <si>
    <t xml:space="preserve">4000</t>
  </si>
  <si>
    <t xml:space="preserve">HOST-006</t>
  </si>
  <si>
    <t xml:space="preserve">kH2cFirstRateMs</t>
  </si>
  <si>
    <t xml:space="preserve">constexpr int kH2cFirstRateMs = 4000;</t>
  </si>
  <si>
    <t xml:space="preserve">After 'First chunk received', a rate line must arrive within this time or the H2C size/recovery logic runs.</t>
  </si>
  <si>
    <t xml:space="preserve">HOST-007</t>
  </si>
  <si>
    <t xml:space="preserve">kC2hRestartDelayMs</t>
  </si>
  <si>
    <t xml:space="preserve">constexpr int kC2hRestartDelayMs = 700;</t>
  </si>
  <si>
    <t xml:space="preserve">Delay before relaunching a capture helper so the driver finishes releasing the previous queue.</t>
  </si>
  <si>
    <t xml:space="preserve">700</t>
  </si>
  <si>
    <t xml:space="preserve">HOST-008</t>
  </si>
  <si>
    <t xml:space="preserve">kC2hRestartWindowMs</t>
  </si>
  <si>
    <t xml:space="preserve">constexpr qint64 kC2hRestartWindowMs = 60000;</t>
  </si>
  <si>
    <t xml:space="preserve">Window for the capture restart limit (c2hRestartLimit per minute).</t>
  </si>
  <si>
    <t xml:space="preserve">60000</t>
  </si>
  <si>
    <t xml:space="preserve">HOST-009</t>
  </si>
  <si>
    <t xml:space="preserve">kRelaunchFallbackMs</t>
  </si>
  <si>
    <t xml:space="preserve">constexpr int kRelaunchFallbackMs = 3000;</t>
  </si>
  <si>
    <t xml:space="preserve">Max wait for a replaced helper to exit before its replacement is launched anyway.</t>
  </si>
  <si>
    <t xml:space="preserve">HOST-010</t>
  </si>
  <si>
    <t xml:space="preserve">kPlaybackFirstMs</t>
  </si>
  <si>
    <t xml:space="preserve">constexpr int kPlaybackFirstMs = 1500;</t>
  </si>
  <si>
    <t xml:space="preserve">Ordered stop: capture gets SIGINT once transmit has exited, or after this long at the latest.</t>
  </si>
  <si>
    <t xml:space="preserve">HOST-011</t>
  </si>
  <si>
    <t xml:space="preserve">kH2cReopenMax</t>
  </si>
  <si>
    <t xml:space="preserve">constexpr int kH2cReopenMax = 3;</t>
  </si>
  <si>
    <t xml:space="preserve">Same-size reopens of a transmit helper allowed per window.</t>
  </si>
  <si>
    <t xml:space="preserve">reopens</t>
  </si>
  <si>
    <t xml:space="preserve">HOST-012</t>
  </si>
  <si>
    <t xml:space="preserve">kH2cReopenWindowMs</t>
  </si>
  <si>
    <t xml:space="preserve">constexpr qint64 kH2cReopenWindowMs = 60000;</t>
  </si>
  <si>
    <t xml:space="preserve">Window for kH2cReopenMax.</t>
  </si>
  <si>
    <t xml:space="preserve">HOST-013</t>
  </si>
  <si>
    <t xml:space="preserve">kTailLines</t>
  </si>
  <si>
    <t xml:space="preserve">constexpr int kTailLines = 40;</t>
  </si>
  <si>
    <t xml:space="preserve">Output lines kept per helper.</t>
  </si>
  <si>
    <t xml:space="preserve">HOST-014</t>
  </si>
  <si>
    <t xml:space="preserve">kNotableLines</t>
  </si>
  <si>
    <t xml:space="preserve">constexpr int kNotableLines = 12;</t>
  </si>
  <si>
    <t xml:space="preserve">Non-periodic output lines kept per helper (for exit reports).</t>
  </si>
  <si>
    <t xml:space="preserve">12</t>
  </si>
  <si>
    <t xml:space="preserve">HOST-015</t>
  </si>
  <si>
    <t xml:space="preserve">lineBufferWrapper</t>
  </si>
  <si>
    <t xml:space="preserve">QString lineBufferWrapper()</t>
  </si>
  <si>
    <t xml:space="preserve">Path to coreutils 'stdbuf' (cached), or empty if IWFG_NO_STDBUF is set or stdbuf is absent.</t>
  </si>
  <si>
    <t xml:space="preserve">QString path</t>
  </si>
  <si>
    <t xml:space="preserve">launchOne() for the Capture role</t>
  </si>
  <si>
    <t xml:space="preserve">Without it c2h_stream's stdout is 4 KiB block-buffered on a pipe: progress arrives in bursts and its last 'why I stopped' line arrives after the unbuffered perror, out of order.</t>
  </si>
  <si>
    <t xml:space="preserve">HOST-016</t>
  </si>
  <si>
    <t xml:space="preserve">Starting H2C chunk: IWFG_H2C_CHUNK_BYTES if within [kH2cChunkMin, kH2cChunkMax] and a multiple of 4, else 1 MiB.</t>
  </si>
  <si>
    <t xml:space="preserve">BackendConfig.h2cChunkBytes default, restartH2c(0), promotion after a stall</t>
  </si>
  <si>
    <t xml:space="preserve">HOST-017</t>
  </si>
  <si>
    <t xml:space="preserve">First ladder rung smaller than bytes.</t>
  </si>
  <si>
    <t xml:space="preserve">next rung or 0 at the bottom</t>
  </si>
  <si>
    <t xml:space="preserve">retryH2cSmaller()</t>
  </si>
  <si>
    <t xml:space="preserve">HOST-018</t>
  </si>
  <si>
    <t xml:space="preserve">byteSizeText</t>
  </si>
  <si>
    <t xml:space="preserve">Formats '16 MiB', '256 KiB' or 'N B'.</t>
  </si>
  <si>
    <t xml:space="preserve">HOST-019</t>
  </si>
  <si>
    <t xml:space="preserve">parseH2cRateLine</t>
  </si>
  <si>
    <t xml:space="preserve">Parses iwfg_h2c's '[H2C] &lt;x&gt; MB/s ... GR_updates=&lt;n&gt;/s' line.</t>
  </si>
  <si>
    <t xml:space="preserve">true + MiB/s (+ updates/s or -1); false otherwise</t>
  </si>
  <si>
    <t xml:space="preserve">regex \[H2C\]\s+([0-9]+(?:\.[0-9]+)?)\s*MB/s(?:.*GR_updates=([0-9]+)/s)?</t>
  </si>
  <si>
    <t xml:space="preserve">handleH2cLine()</t>
  </si>
  <si>
    <t xml:space="preserve">iwfg_h2c's 'MB' is MiB (divides by 1048576).</t>
  </si>
  <si>
    <t xml:space="preserve">HOST-020</t>
  </si>
  <si>
    <t xml:space="preserve">parseC2hRateLine</t>
  </si>
  <si>
    <t xml:space="preserve">Parses c2h_stream's 'Streaming: &lt;x&gt; MB/s (total: ...)' line.</t>
  </si>
  <si>
    <t xml:space="preserve">true + MiB/s</t>
  </si>
  <si>
    <t xml:space="preserve">regex ^Streaming:\s+([0-9]+(?:\.[0-9]+)?)\s*MB/s</t>
  </si>
  <si>
    <t xml:space="preserve">handleC2hLine()</t>
  </si>
  <si>
    <t xml:space="preserve">HOST-021</t>
  </si>
  <si>
    <t xml:space="preserve">isH2cStallLine</t>
  </si>
  <si>
    <t xml:space="preserve">bool isH2cStallLine(const QString&amp; line)</t>
  </si>
  <si>
    <t xml:space="preserve">True if an iwfg_h2c line reports the card not consuming: contains 'stall kick', 'ETIMEDOUT', 'no DMA completion', 'cycling device', 'Device reopened' or 'EBUSY'.</t>
  </si>
  <si>
    <t xml:space="preserve">HOST-022</t>
  </si>
  <si>
    <t xml:space="preserve">h2cStateName</t>
  </si>
  <si>
    <t xml:space="preserve">QString h2cStateName(H2cState s)</t>
  </si>
  <si>
    <t xml:space="preserve">Human name of an H2cState.</t>
  </si>
  <si>
    <t xml:space="preserve">HOST-023</t>
  </si>
  <si>
    <t xml:space="preserve">classifyC2hExit</t>
  </si>
  <si>
    <t xml:space="preserve">C2hExit classifyC2hExit(const QStringList&amp; lines, QString* detail)</t>
  </si>
  <si>
    <t xml:space="preserve">Classifies why c2h_stream ended from its output lines: 'IWFG_IOCTL_DMA_DATA (C2H)' -&gt; DriverError; 'FIFO reader disconnected' or 'write to fifo' -&gt; ReaderClosed; 'interrupted by signal' / 'Interrupted before a FIFO reader' -&gt; Interrupted; 'open device', 'IWFG_IOCTL_ADD_BUF', 'posix_memalign', 'open fifo', 'sigaction' -&gt; StartupError.</t>
  </si>
  <si>
    <t xml:space="preserve">lines (helper tail), detail (out: decisive line)</t>
  </si>
  <si>
    <t xml:space="preserve">C2hExit</t>
  </si>
  <si>
    <t xml:space="preserve">onProcessFinished() (capture role)</t>
  </si>
  <si>
    <t xml:space="preserve">Checks are ordered; the first match wins.</t>
  </si>
  <si>
    <t xml:space="preserve">HOST-024</t>
  </si>
  <si>
    <t xml:space="preserve">c2hExitText</t>
  </si>
  <si>
    <t xml:space="preserve">QString c2hExitText(C2hExit e)</t>
  </si>
  <si>
    <t xml:space="preserve">User text for a C2hExit.</t>
  </si>
  <si>
    <t xml:space="preserve">HOST-025</t>
  </si>
  <si>
    <t xml:space="preserve">QString BackendLauncher::backendDirectory()</t>
  </si>
  <si>
    <t xml:space="preserve">Finds the backend/ directory (with Makefile) beside the executable, one level up, or under the CWD.</t>
  </si>
  <si>
    <t xml:space="preserve">absolute path or empty</t>
  </si>
  <si>
    <t xml:space="preserve">HOST-026</t>
  </si>
  <si>
    <t xml:space="preserve">QString BackendLauncher::binaryPath(const QString&amp; name)</t>
  </si>
  <si>
    <t xml:space="preserve">backend/bin/&lt;name&gt; if it exists and is executable.</t>
  </si>
  <si>
    <t xml:space="preserve">name ('c2h_stream' | 'iwfg_h2c')</t>
  </si>
  <si>
    <t xml:space="preserve">HOST-027</t>
  </si>
  <si>
    <t xml:space="preserve">bool BackendLauncher::helperLoads(const QString&amp; path, QString* why)</t>
  </si>
  <si>
    <t xml:space="preserve">Pre-flight: runs the helper with arguments that make it exit before touching a device (iwfg_h2c: chunk 0; c2h_stream: nonexistent device) and scans output for loader faults (GLIBC_, missing .so, Exec format error). Cached by size:mtime.</t>
  </si>
  <si>
    <t xml:space="preserve">path, why (out)</t>
  </si>
  <si>
    <t xml:space="preserve">ms (2000 start/finish timeouts)</t>
  </si>
  <si>
    <t xml:space="preserve">1.2.3 probed with no arguments, which opened the DMA device and blocked for 3 s per helper.</t>
  </si>
  <si>
    <t xml:space="preserve">HOST-028</t>
  </si>
  <si>
    <t xml:space="preserve">BackendLauncher::rebuildHelpers</t>
  </si>
  <si>
    <t xml:space="preserve">bool BackendLauncher::rebuildHelpers(QString* log)</t>
  </si>
  <si>
    <t xml:space="preserve">Runs 'make -B' in the backend directory (blocking, up to 120 s) when a helper cannot load.</t>
  </si>
  <si>
    <t xml:space="preserve">bool + build log</t>
  </si>
  <si>
    <t xml:space="preserve">HOST-029</t>
  </si>
  <si>
    <t xml:space="preserve">bool BackendLauncher::binariesAvailable()</t>
  </si>
  <si>
    <t xml:space="preserve">True if both c2h_stream and iwfg_h2c are built.</t>
  </si>
  <si>
    <t xml:space="preserve">HOST-030</t>
  </si>
  <si>
    <t xml:space="preserve">QString BackendLauncher::buildBinaries(bool* ok)</t>
  </si>
  <si>
    <t xml:space="preserve">Runs 'make' in the backend directory (blocking).</t>
  </si>
  <si>
    <t xml:space="preserve">transcript; ok flag</t>
  </si>
  <si>
    <t xml:space="preserve">HOST-031</t>
  </si>
  <si>
    <t xml:space="preserve">BackendLauncher::~BackendLauncher()</t>
  </si>
  <si>
    <t xml:space="preserve">Bounded shutdown (~2 s): SIGINT to playback first (up to 700 ms), then SIGINT to the rest, wait up to 1500 ms, kill, wait 700 ms; still-running processes are deliberately leaked rather than blocking in QProcess's destructor.</t>
  </si>
  <si>
    <t xml:space="preserve">An orphaned c2h_stream would keep /dev/iwfg0 busy for the next run.</t>
  </si>
  <si>
    <t xml:space="preserve">HOST-032</t>
  </si>
  <si>
    <t xml:space="preserve">void BackendLauncher::start(const sdr::BackendConfig&amp; cfg)</t>
  </si>
  <si>
    <t xml:space="preserve">Non-blocking start: queues if a stop is in progress; pre-flights helpers (helperLoads, automatic rebuild) and device nodes; in H2C_C2H launches iwfg_h2c FIRST (transmit problems are non-fatal), then c2h_stream; emits becameReady(c2hFifo) after kReadySettleMs.</t>
  </si>
  <si>
    <t xml:space="preserve">signals statusMessage, becameReady or startFailed, processFailed(fatal=false) for transmit</t>
  </si>
  <si>
    <t xml:space="preserve">UI start, finishStop() pending start (resetDevice)</t>
  </si>
  <si>
    <t xml:space="preserve">Bumps m_generation so callbacks from an earlier run are ignored. Completes a pending resetDevice() (deviceReset(false)).</t>
  </si>
  <si>
    <t xml:space="preserve">HOST-033</t>
  </si>
  <si>
    <t xml:space="preserve">bool BackendLauncher::launchOne(const QString&amp; label, const QString&amp; program, const QStringList&amp; args, BackendProcess::Role role, QString* error)</t>
  </si>
  <si>
    <t xml:space="preserve">Creates a QProcess (merged channels), wraps the Capture role in 'stdbuf -oL &lt;helper&gt;' when stdbuf is available, connects readyRead/finished/error, starts it (3 s timeout) and records a BackendProcess.</t>
  </si>
  <si>
    <t xml:space="preserve">label, program, args, role, error (out)</t>
  </si>
  <si>
    <t xml:space="preserve">stdbuf exec()s the helper, so the PID (and SIGINT) is the helper's. iwfg_h2c is not wrapped (it line-buffers itself).</t>
  </si>
  <si>
    <t xml:space="preserve">HOST-034</t>
  </si>
  <si>
    <t xml:space="preserve">BackendLauncher::launchC2h</t>
  </si>
  <si>
    <t xml:space="preserve">bool BackendLauncher::launchC2h(QString* error)</t>
  </si>
  <si>
    <t xml:space="preserve">Launches 'C2H capture': c2h_stream &lt;c2hDevice&gt; &lt;c2hFifo&gt; (Capture role).</t>
  </si>
  <si>
    <t xml:space="preserve">start(), relaunchC2h()</t>
  </si>
  <si>
    <t xml:space="preserve">HOST-035</t>
  </si>
  <si>
    <t xml:space="preserve">BackendLauncher::launchH2c</t>
  </si>
  <si>
    <t xml:space="preserve">bool BackendLauncher::launchH2c(int chunkBytes, QString* error)</t>
  </si>
  <si>
    <t xml:space="preserve">Launches 'H2C playback': iwfg_h2c &lt;h2cDevice&gt; &lt;h2cFifo&gt; &lt;chunkBytes&gt; (Playback role), records the chunk, sets WaitingForData and emits h2cChunkBytesChanged.</t>
  </si>
  <si>
    <t xml:space="preserve">start(), retryH2cSmaller(), reopenH2c(), restartH2c()</t>
  </si>
  <si>
    <t xml:space="preserve">The generator's replay loop must match h2cChunkBytesChanged.</t>
  </si>
  <si>
    <t xml:space="preserve">HOST-036</t>
  </si>
  <si>
    <t xml:space="preserve">BackendLauncher::relaunchC2h</t>
  </si>
  <si>
    <t xml:space="preserve">void BackendLauncher::relaunchC2h()</t>
  </si>
  <si>
    <t xml:space="preserve">Relaunches the capture helper after it ended on its own; a launch failure is fatal and stops the backend.</t>
  </si>
  <si>
    <t xml:space="preserve">onProcessFinished() after kC2hRestartDelayMs</t>
  </si>
  <si>
    <t xml:space="preserve">The reader re-attaches by itself (DmaSource::writerGone).</t>
  </si>
  <si>
    <t xml:space="preserve">HOST-037</t>
  </si>
  <si>
    <t xml:space="preserve">BackendLauncher::c2hRestartAllowed</t>
  </si>
  <si>
    <t xml:space="preserve">bool BackendLauncher::c2hRestartAllowed()</t>
  </si>
  <si>
    <t xml:space="preserve">Sliding-window limit on automatic capture restarts.</t>
  </si>
  <si>
    <t xml:space="preserve">allowed iff restarts in the last 60000 ms &lt; c2hRestartLimit (3)</t>
  </si>
  <si>
    <t xml:space="preserve">HOST-038</t>
  </si>
  <si>
    <t xml:space="preserve">BackendLauncher::stopStalledH2c</t>
  </si>
  <si>
    <t xml:space="preserve">void BackendLauncher::stopStalledH2c(const QString&amp; why)</t>
  </si>
  <si>
    <t xml:space="preserve">When the capture fails while transmit is Stalled, stops the transmit helper (it keeps cycling /dev/iwfg1) and marks it Failed with a 'Retry transmit' hint.</t>
  </si>
  <si>
    <t xml:space="preserve">why</t>
  </si>
  <si>
    <t xml:space="preserve">onProcessFinished() capture restart path</t>
  </si>
  <si>
    <t xml:space="preserve">HOST-039</t>
  </si>
  <si>
    <t xml:space="preserve">BackendLauncher::retryH2cSmaller</t>
  </si>
  <si>
    <t xml:space="preserve">bool BackendLauncher::retryH2cSmaller(QProcess* p, const QString&amp; why)</t>
  </si>
  <si>
    <t xml:space="preserve">For a transmit helper that never streamed: relaunches one ladder rung smaller; at the bottom marks Stalled (not a buffer-size problem: check DAC input = Host, RF DAC running, driver enables the PL H2C datapath) and leaves iwfg_h2c running.</t>
  </si>
  <si>
    <t xml:space="preserve">p, why</t>
  </si>
  <si>
    <t xml:space="preserve">true if a retry was started</t>
  </si>
  <si>
    <t xml:space="preserve">queueH2cRecovery() (second stall at the same size), onProcessFinished() (size-related exit)</t>
  </si>
  <si>
    <t xml:space="preserve">Sets m_h2cBottomedByStall so a later successful stream is promoted back to the default size.</t>
  </si>
  <si>
    <t xml:space="preserve">HOST-040</t>
  </si>
  <si>
    <t xml:space="preserve">BackendLauncher::queueH2cRecovery</t>
  </si>
  <si>
    <t xml:space="preserve">void BackendLauncher::queueH2cRecovery(QProcess* p, const QString&amp; why)</t>
  </si>
  <si>
    <t xml:space="preserve">Decides what a stalled transmit helper needs (queued): before streaming, the first stall at a size reopens at the SAME size, a second stall steps down; after streaming, reopen if h2cReopenAllowed(), else leave it to iwfg_h2c's own recovery.</t>
  </si>
  <si>
    <t xml:space="preserve">handleH2cLine() (kH2cFirstRateMs check, stall lines)</t>
  </si>
  <si>
    <t xml:space="preserve">A stall is often the C2H-overflow reset leaving the H2C datapath disabled, not a size problem; 1.2.4 stepped straight down the whole ladder.</t>
  </si>
  <si>
    <t xml:space="preserve">HOST-041</t>
  </si>
  <si>
    <t xml:space="preserve">BackendLauncher::h2cReopenAllowed</t>
  </si>
  <si>
    <t xml:space="preserve">bool BackendLauncher::h2cReopenAllowed()</t>
  </si>
  <si>
    <t xml:space="preserve">Sliding-window limit on same-size transmit reopens.</t>
  </si>
  <si>
    <t xml:space="preserve">allowed iff reopens in the last 60000 ms &lt; kH2cReopenMax (3)</t>
  </si>
  <si>
    <t xml:space="preserve">HOST-042</t>
  </si>
  <si>
    <t xml:space="preserve">BackendLauncher::reopenH2c</t>
  </si>
  <si>
    <t xml:space="preserve">void BackendLauncher::reopenH2c(QProcess* p, const QString&amp; why)</t>
  </si>
  <si>
    <t xml:space="preserve">Releases the transmit helper and relaunches it with the same chunk size: the new open of /dev/iwfg1 rebuilds the H2C queue and re-runs iwfg_qdma_h2c_start() (re-enables VID_OUT_SEL).</t>
  </si>
  <si>
    <t xml:space="preserve">queueH2cRecovery()</t>
  </si>
  <si>
    <t xml:space="preserve">GUI workaround for the driver not re-applying VID_OUT_SEL after the overflow reset (30_documentation/developer/DRIVER_OVERFLOW_RECOVERY.md).</t>
  </si>
  <si>
    <t xml:space="preserve">HOST-043</t>
  </si>
  <si>
    <t xml:space="preserve">void BackendLauncher::resetDevice(const QString&amp; why)</t>
  </si>
  <si>
    <t xml:space="preserve">Recovers a wedged DMA device: stop() (transmit first, then capture, so the capture's close triggers the driver's QDMA soft reset) and restart with the same config via the pending-start path.</t>
  </si>
  <si>
    <t xml:space="preserve">deviceReset(true, why) ... deviceReset(false, ...)</t>
  </si>
  <si>
    <t xml:space="preserve">MainWindow when the capture delivered nothing for 5 s (MainWindow.cpp:1083)</t>
  </si>
  <si>
    <t xml:space="preserve">Ignored while stopping, when not running, or in UdpStream mode.</t>
  </si>
  <si>
    <t xml:space="preserve">HOST-044</t>
  </si>
  <si>
    <t xml:space="preserve">bool BackendLauncher::ensureH2c()</t>
  </si>
  <si>
    <t xml:space="preserve">Starts transmit in a capture-only session (via restartH2c(0)); needs a running backend.</t>
  </si>
  <si>
    <t xml:space="preserve">HOST-045</t>
  </si>
  <si>
    <t xml:space="preserve">void BackendLauncher::restartH2c(int chunkBytes)</t>
  </si>
  <si>
    <t xml:space="preserve">Operator 'Retry transmit': validates helper/device, switches C2H mode to H2C_C2H, releases any old transmit helper and launches a new one (0 = default chunk).</t>
  </si>
  <si>
    <t xml:space="preserve">processFailed(fatal=false) on validation/launch failure</t>
  </si>
  <si>
    <t xml:space="preserve">HOST-046</t>
  </si>
  <si>
    <t xml:space="preserve">void BackendLauncher::stop()</t>
  </si>
  <si>
    <t xml:space="preserve">Asynchronous ordered stop: SIGINT to the playback helper first; capture is signalled by stopTick() once playback has exited (or after kPlaybackFirstMs); escalation SIGINT -&gt; SIGTERM -&gt; SIGKILL on timers; stopped() when all exited.</t>
  </si>
  <si>
    <t xml:space="preserve">stopped() signal</t>
  </si>
  <si>
    <t xml:space="preserve">UI stop, resetDevice(), fatal process failure</t>
  </si>
  <si>
    <t xml:space="preserve">Order matters: the driver soft-resets the QDMA only when the last C2H stream closes with no other stream open.</t>
  </si>
  <si>
    <t xml:space="preserve">HOST-047</t>
  </si>
  <si>
    <t xml:space="preserve">BackendLauncher::signalStop</t>
  </si>
  <si>
    <t xml:space="preserve">void BackendLauncher::signalStop(BackendProcess&amp; bp)</t>
  </si>
  <si>
    <t xml:space="preserve">Records the stop time and sends SIGINT to one helper.</t>
  </si>
  <si>
    <t xml:space="preserve">BackendProcess&amp;</t>
  </si>
  <si>
    <t xml:space="preserve">HOST-048</t>
  </si>
  <si>
    <t xml:space="preserve">BackendLauncher::checkStopDone</t>
  </si>
  <si>
    <t xml:space="preserve">bool BackendLauncher::checkStopDone()</t>
  </si>
  <si>
    <t xml:space="preserve">If stopping and every helper has exited, finishStop().</t>
  </si>
  <si>
    <t xml:space="preserve">HOST-049</t>
  </si>
  <si>
    <t xml:space="preserve">BackendLauncher::stopTick</t>
  </si>
  <si>
    <t xml:space="preserve">void BackendLauncher::stopTick()</t>
  </si>
  <si>
    <t xml:space="preserve">100 ms stop timer: signals capture once playback is gone or kPlaybackFirstMs elapsed; per helper escalates to terminate() at kGraceMs, kill() at kGraceMs+kTermMs, and declares it stuck at +kKillWaitMs.</t>
  </si>
  <si>
    <t xml:space="preserve">SIGTERM at 2500 ms, SIGKILL at 4000 ms, 'stuck inside the driver' at 5500 ms after its SIGINT</t>
  </si>
  <si>
    <t xml:space="preserve">HOST-050</t>
  </si>
  <si>
    <t xml:space="preserve">BackendLauncher::finishStop</t>
  </si>
  <si>
    <t xml:space="preserve">void BackendLauncher::finishStop()</t>
  </si>
  <si>
    <t xml:space="preserve">Releases all processes, resets H2C state, emits stopped(), and runs a pending start (queued start or resetDevice).</t>
  </si>
  <si>
    <t xml:space="preserve">HOST-051</t>
  </si>
  <si>
    <t xml:space="preserve">void BackendLauncher::release(QProcess* p, std::function&lt;void()&gt; whenGone)</t>
  </si>
  <si>
    <t xml:space="preserve">Lets go of a QProcess without blocking: deletes it if exited, else adds it to the reaper list, sends SIGINT, kill() after 1500 ms, and runs whenGone on exit or after kRelaunchFallbackMs.</t>
  </si>
  <si>
    <t xml:space="preserve">p, whenGone</t>
  </si>
  <si>
    <t xml:space="preserve">A helper stuck in an uninterruptible driver call cannot be destroyed (QProcess's destructor would block the GUI).</t>
  </si>
  <si>
    <t xml:space="preserve">HOST-052</t>
  </si>
  <si>
    <t xml:space="preserve">BackendLauncher::checkDeviceNode</t>
  </si>
  <si>
    <t xml:space="preserve">bool BackendLauncher::checkDeviceNode(const QString&amp; path, const QString&amp; role, QString* why)</t>
  </si>
  <si>
    <t xml:space="preserve">Pre-flight of a DMA node: must exist (lists /dev/iwfg* otherwise and explains iwfg0 = C2H, iwfg1 = H2C) and be readable+writable by the user.</t>
  </si>
  <si>
    <t xml:space="preserve">path, role, why (out)</t>
  </si>
  <si>
    <t xml:space="preserve">Advises a udev rule or group membership rather than running the GUI with sudo (breaks CUDA IPC).</t>
  </si>
  <si>
    <t xml:space="preserve">HOST-053</t>
  </si>
  <si>
    <t xml:space="preserve">BackendLauncher::handleC2hLine</t>
  </si>
  <si>
    <t xml:space="preserve">void BackendLauncher::handleC2hLine(QProcess* p, const QString&amp; line, bool* periodic)</t>
  </si>
  <si>
    <t xml:space="preserve">Capture output: a 'Streaming:' rate line marks streamed and emits c2hThroughput (from the second line on); 'FIFO connected' marks streamed.</t>
  </si>
  <si>
    <t xml:space="preserve">p, line, periodic (out)</t>
  </si>
  <si>
    <t xml:space="preserve">The first rate line covers a fraction of a second and reads low, so it is not reported.</t>
  </si>
  <si>
    <t xml:space="preserve">HOST-054</t>
  </si>
  <si>
    <t xml:space="preserve">BackendLauncher::handleH2cLine</t>
  </si>
  <si>
    <t xml:space="preserve">void BackendLauncher::handleH2cLine(QProcess* p, const QString&amp; line, bool* periodic)</t>
  </si>
  <si>
    <t xml:space="preserve">Transmit output state machine: rate lines -&gt; Streaming + h2cThroughput (and promotion to the default chunk after a bottomed-out ladder); 'Waiting for GNU Radio' -&gt; WaitingForData; 'GNU Radio connected/reconnected' -&gt; Starting; 'First chunk received' -&gt; Starting + kH2cFirstRateMs check; stall lines -&gt; queueH2cRecovery (before streaming) or Stalled + recovery after 2 consecutive; 'Card resumed consuming'/'Recovered after' -&gt; Streaming.</t>
  </si>
  <si>
    <t xml:space="preserve">HOST-055</t>
  </si>
  <si>
    <t xml:space="preserve">void BackendLauncher::onReadyRead()</t>
  </si>
  <si>
    <t xml:space="preserve">Splits helper output into lines, emits logLine('[label] line'), dispatches to handleH2cLine/handleC2hLine and keeps tail (40) and notable (12, non-periodic) buffers.</t>
  </si>
  <si>
    <t xml:space="preserve">HOST-056</t>
  </si>
  <si>
    <t xml:space="preserve">void BackendLauncher::onProcessFinished(int exitCode, QProcess::ExitStatus status)</t>
  </si>
  <si>
    <t xml:space="preserve">Helper exit handling: Playback that never streamed with a size-related reason -&gt; retryH2cSmaller, else Failed + processFailed(fatal=false); Capture that had streamed and was not a StartupError -&gt; restart (bounded by c2hRestartAllowed, after kC2hRestartDelayMs, stopping a Stalled transmit), else processFailed(fatal=true) + stop().</t>
  </si>
  <si>
    <t xml:space="preserve">Not size-related (kNotSize): 'open device', 'chunk_bytes must be', 'NOT a FIFO', 'mkfifo', 'stat fifo', 'sigaction'. During stop() it only advances stopTick().</t>
  </si>
  <si>
    <t xml:space="preserve">HOST-057</t>
  </si>
  <si>
    <t xml:space="preserve">void BackendLauncher::onProcessError(QProcess::ProcessError err)</t>
  </si>
  <si>
    <t xml:space="preserve">Logs QProcess errors (diagnostic only).</t>
  </si>
  <si>
    <t xml:space="preserve">HOST-058</t>
  </si>
  <si>
    <t xml:space="preserve">BackendMode</t>
  </si>
  <si>
    <t xml:space="preserve">enum class BackendMode</t>
  </si>
  <si>
    <t xml:space="preserve">Pipeline mode.</t>
  </si>
  <si>
    <t xml:space="preserve">C2H (capture only), H2C_C2H (loopback: FIFO -&gt; card -&gt; FIFO), UdpStream (100G UDP, not QDMA)</t>
  </si>
  <si>
    <t xml:space="preserve">HOST-059</t>
  </si>
  <si>
    <t xml:space="preserve">kH2cChunkLadder</t>
  </si>
  <si>
    <t xml:space="preserve">H2C chunk-size step-down ladder used when a transmit helper never streams at a given size.</t>
  </si>
  <si>
    <t xml:space="preserve">{16 MiB, 4 MiB, 1 MiB, 256 KiB, 64 KiB, 16 KiB}</t>
  </si>
  <si>
    <t xml:space="preserve">DAC demand = 200 MHz x 4 B = 800e6 B/s ~ 763 MiB/s; 16 KiB chunks capped delivery at ~640 MiB/s</t>
  </si>
  <si>
    <t xml:space="preserve">nextSmallerH2cChunk(), retryH2cSmaller()</t>
  </si>
  <si>
    <t xml:space="preserve">1.2.2 used 16 MiB: nothing reached the DAC (4096 pages -&gt; thousands of H2C descriptors per transfer). Default is now 1 MiB (256 pages).</t>
  </si>
  <si>
    <t xml:space="preserve">HOST-060</t>
  </si>
  <si>
    <t xml:space="preserve">kH2cChunkDefault</t>
  </si>
  <si>
    <t xml:space="preserve">Default H2C chunk (iwfg_h2c argv[3]).</t>
  </si>
  <si>
    <t xml:space="preserve">1 &lt;&lt; 20 (1 MiB)</t>
  </si>
  <si>
    <t xml:space="preserve">host tone resolution = fs / (chunk_bytes / 4) -&gt; 763 Hz at 1 MiB and 200 MSPS; per-transfer overhead ~0.3 %</t>
  </si>
  <si>
    <t xml:space="preserve">defaultH2cChunkBytes()</t>
  </si>
  <si>
    <t xml:space="preserve">HOST-061</t>
  </si>
  <si>
    <t xml:space="preserve">kH2cChunkMin</t>
  </si>
  <si>
    <t xml:space="preserve">Lower bound for IWFG_H2C_CHUNK_BYTES.</t>
  </si>
  <si>
    <t xml:space="preserve">HOST-062</t>
  </si>
  <si>
    <t xml:space="preserve">kH2cChunkMax</t>
  </si>
  <si>
    <t xml:space="preserve">constexpr int kH2cChunkMax = 64 &lt;&lt; 20;</t>
  </si>
  <si>
    <t xml:space="preserve">Upper bound for IWFG_H2C_CHUNK_BYTES (= iwfg_h2c MAX_CHUNK).</t>
  </si>
  <si>
    <t xml:space="preserve">64 &lt;&lt; 20</t>
  </si>
  <si>
    <t xml:space="preserve">HOST-063</t>
  </si>
  <si>
    <t xml:space="preserve">enum class H2cState</t>
  </si>
  <si>
    <t xml:space="preserve">Transmit-helper display state.</t>
  </si>
  <si>
    <t xml:space="preserve">NotRunning, WaitingForData, Starting, Streaming, Stalled, Restarting, Failed</t>
  </si>
  <si>
    <t xml:space="preserve">setH2cState(), h2cStateChanged</t>
  </si>
  <si>
    <t xml:space="preserve">HOST-064</t>
  </si>
  <si>
    <t xml:space="preserve">Reason c2h_stream ended (it exits 0 for all of them).</t>
  </si>
  <si>
    <t xml:space="preserve">Unknown, ReaderClosed, DriverError, Interrupted, StartupError</t>
  </si>
  <si>
    <t xml:space="preserve">classifyC2hExit(), onProcessFinished()</t>
  </si>
  <si>
    <t xml:space="preserve">HOST-065</t>
  </si>
  <si>
    <t xml:space="preserve">struct BackendConfig</t>
  </si>
  <si>
    <t xml:space="preserve">Launch configuration (defaults mirror the helpers' own defaults).</t>
  </si>
  <si>
    <t xml:space="preserve">mode=C2H, c2hDevice=/dev/iwfg0, c2hFifo=/tmp/iwfg_fifo, h2cDevice=/dev/iwfg1, h2cFifo=/tmp/iwfg_h2c.fifo, h2cChunkBytes=defaultH2cChunkBytes(), c2hRestartLimit=3 (+ UDP fields)</t>
  </si>
  <si>
    <t xml:space="preserve">start(), resetDevice()</t>
  </si>
  <si>
    <t xml:space="preserve">HOST-066</t>
  </si>
  <si>
    <t xml:space="preserve">BackendProcess</t>
  </si>
  <si>
    <t xml:space="preserve">struct BackendProcess</t>
  </si>
  <si>
    <t xml:space="preserve">One managed helper: label, program, args, QProcess, role (Capture/Playback/Udp), tail/notable output, essential, streamed, rateLines, h2cChunkBytes, h2cFirstChunk, h2cStepQueued, h2cStallLines, stopSignalAt, stopPhase.</t>
  </si>
  <si>
    <t xml:space="preserve">m_procs</t>
  </si>
  <si>
    <t xml:space="preserve">essential = (role != Playback): transmit failure never ends the session.</t>
  </si>
  <si>
    <t xml:space="preserve">HOST-067</t>
  </si>
  <si>
    <t xml:space="preserve">All helpers up; the capture FIFO (c2hFifo) can be opened by DmaSource. (Qt signal)</t>
  </si>
  <si>
    <t xml:space="preserve">HOST-068</t>
  </si>
  <si>
    <t xml:space="preserve">A helper exited and will not be restarted; fatal=false for the optional transmit stage. (Qt signal)</t>
  </si>
  <si>
    <t xml:space="preserve">HOST-069</t>
  </si>
  <si>
    <t xml:space="preserve">Chunk size the transmit helper runs with (launch or step-down); the generator loop must match. (Qt signal)</t>
  </si>
  <si>
    <t xml:space="preserve">HOST-070</t>
  </si>
  <si>
    <t xml:space="preserve">iwfg_h2c's measured delivery to the card (MiB/s) and generator updates/s, once a second. (Qt signal)</t>
  </si>
  <si>
    <t xml:space="preserve">HOST-071</t>
  </si>
  <si>
    <t xml:space="preserve">Transmit helper state changed (H2cState + detail). (Qt signal)</t>
  </si>
  <si>
    <t xml:space="preserve">HOST-072</t>
  </si>
  <si>
    <t xml:space="preserve">c2h_stream's measured delivery from the card (MiB/s), once a second. (Qt signal)</t>
  </si>
  <si>
    <t xml:space="preserve">HOST-073</t>
  </si>
  <si>
    <t xml:space="preserve">Capture helper ended on its own and is being restarted (why, attempt, limit). (Qt signal)</t>
  </si>
  <si>
    <t xml:space="preserve">HOST-074</t>
  </si>
  <si>
    <t xml:space="preserve">resetDevice() began (true) or the device is running again / restart failed (false). (Qt signal)</t>
  </si>
  <si>
    <t xml:space="preserve">HOST-075</t>
  </si>
  <si>
    <t xml:space="preserve">kDmaBudgetMs</t>
  </si>
  <si>
    <t xml:space="preserve">constexpr int kDmaBudgetMs = 12;</t>
  </si>
  <si>
    <t xml:space="preserve">Time budget of one pump() read burst before yielding to the event loop.</t>
  </si>
  <si>
    <t xml:space="preserve">DmaSource::pump()</t>
  </si>
  <si>
    <t xml:space="preserve">HOST-076</t>
  </si>
  <si>
    <t xml:space="preserve">enlargePipe</t>
  </si>
  <si>
    <t xml:space="preserve">void enlargePipe(int fd)</t>
  </si>
  <si>
    <t xml:space="preserve">Raises the capture FIFO's pipe buffer with fcntl(F_SETPIPE_SZ) to fs.pipe-max-size (capped at 16 MiB, default target 1 MiB), halving on failure down to 64 KiB. Best effort.</t>
  </si>
  <si>
    <t xml:space="preserve">fd</t>
  </si>
  <si>
    <t xml:space="preserve">want = min(/proc/sys/fs/pipe-max-size, 16 MiB) if &gt;= 64 KiB else 1 MiB; while F_SETPIPE_SZ fails: want /= 2 (stop below 64 KiB)</t>
  </si>
  <si>
    <t xml:space="preserve">DmaSource::openDevice(), DmaSource::writerGone() (re-attach)</t>
  </si>
  <si>
    <t xml:space="preserve">With the default 64 KiB pipe each 16 MiB c2h_stream write costs ~256 wake-ups; a slow drain lets the FPGA C2H FIFO overflow, and the driver's overflow recovery then resets the QDMA, transmit included (see 30_documentation/developer/DRIVER_OVERFLOW_RECOVERY.md). Linux only.</t>
  </si>
  <si>
    <t xml:space="preserve">HOST-077</t>
  </si>
  <si>
    <t xml:space="preserve">DmaSource::name</t>
  </si>
  <si>
    <t xml:space="preserve">QString DmaSource::name() const</t>
  </si>
  <si>
    <t xml:space="preserve">Display name: 'PCIe DMA (closed)' or 'PCIe DMA — &lt;path&gt;'.</t>
  </si>
  <si>
    <t xml:space="preserve">HOST-078</t>
  </si>
  <si>
    <t xml:space="preserve">Applies a new Config: recomputes block size, resizes the accumulator in place (keeps already-read bytes so I/Q framing does not shift), and reopens if devicePath changed while active.</t>
  </si>
  <si>
    <t xml:space="preserve">sdr::Config (src.devicePath, blockSamples, format, streamChannels)</t>
  </si>
  <si>
    <t xml:space="preserve">m_blockBytes = max(1024, blockSamples) * bytesPerSample(format) * max(1, streamChannels)</t>
  </si>
  <si>
    <t xml:space="preserve">HOST-079</t>
  </si>
  <si>
    <t xml:space="preserve">DmaSource::fail</t>
  </si>
  <si>
    <t xml:space="preserve">void DmaSource::fail(const QString&amp; why)</t>
  </si>
  <si>
    <t xml:space="preserve">Marks error, deactivates, closes the fd and emits sourceError(why) + state.</t>
  </si>
  <si>
    <t xml:space="preserve">HOST-080</t>
  </si>
  <si>
    <t xml:space="preserve">bool DmaSource::openDevice()</t>
  </si>
  <si>
    <t xml:space="preserve">stat()s the path (detects FIFO), opens it O_RDONLY | O_NONBLOCK, enlarges the pipe if it is a FIFO, resets reader state and reports 'Attached to %1 (FIFO|device node)'.</t>
  </si>
  <si>
    <t xml:space="preserve">true; false via fail() (empty path, missing path, open error, non-POSIX platform)</t>
  </si>
  <si>
    <t xml:space="preserve">DmaSource::start(), applyConfig()</t>
  </si>
  <si>
    <t xml:space="preserve">O_NONBLOCK: without it open() of a FIFO with no writer blocks and the UI looks hung; it also releases c2h_stream's blocking open(O_WRONLY).</t>
  </si>
  <si>
    <t xml:space="preserve">HOST-081</t>
  </si>
  <si>
    <t xml:space="preserve">Attached to %1 (%2)</t>
  </si>
  <si>
    <t xml:space="preserve">emit statusMessage(QStringLiteral("Attached to %1 (%2)") .arg(path, m_isFifo ? QStringLiteral("FIFO") : QStringLiteral("device node")));</t>
  </si>
  <si>
    <t xml:space="preserve">openDevice() succeeded; %2 is 'FIFO' or 'device node'.</t>
  </si>
  <si>
    <t xml:space="preserve">statusMessage / sourceError signals</t>
  </si>
  <si>
    <t xml:space="preserve">HOST-082</t>
  </si>
  <si>
    <t xml:space="preserve">DmaSource::closeDevice</t>
  </si>
  <si>
    <t xml:space="preserve">void DmaSource::closeDevice()</t>
  </si>
  <si>
    <t xml:space="preserve">Closes the fd and clears the opened path and partial block.</t>
  </si>
  <si>
    <t xml:space="preserve">stop(), fail(), destructor, applyConfig()</t>
  </si>
  <si>
    <t xml:space="preserve">Closing the FIFO read end makes c2h_stream's next write fail with EPIPE ('FIFO reader disconnected').</t>
  </si>
  <si>
    <t xml:space="preserve">HOST-083</t>
  </si>
  <si>
    <t xml:space="preserve">void DmaSource::start()</t>
  </si>
  <si>
    <t xml:space="preserve">Sizes the block buffer, opens the source if needed, marks active, restarts clocks, emits 'Live acquisition running' and queues pump().</t>
  </si>
  <si>
    <t xml:space="preserve">Live mode start</t>
  </si>
  <si>
    <t xml:space="preserve">HOST-084</t>
  </si>
  <si>
    <t xml:space="preserve">Live acquisition running</t>
  </si>
  <si>
    <t xml:space="preserve">emit statusMessage(QStringLiteral("Live acquisition running"));</t>
  </si>
  <si>
    <t xml:space="preserve">start() completed.</t>
  </si>
  <si>
    <t xml:space="preserve">HOST-085</t>
  </si>
  <si>
    <t xml:space="preserve">void DmaSource::stop()</t>
  </si>
  <si>
    <t xml:space="preserve">Deactivates, closes the fd and emits 'Acquisition stopped'.</t>
  </si>
  <si>
    <t xml:space="preserve">HOST-086</t>
  </si>
  <si>
    <t xml:space="preserve">Acquisition stopped</t>
  </si>
  <si>
    <t xml:space="preserve">emit statusMessage(QStringLiteral("Acquisition stopped"));</t>
  </si>
  <si>
    <t xml:space="preserve">stop() completed.</t>
  </si>
  <si>
    <t xml:space="preserve">HOST-087</t>
  </si>
  <si>
    <t xml:space="preserve">int DmaSource::writerGone()</t>
  </si>
  <si>
    <t xml:space="preserve">Called when the FIFO has no writer (read()==0 or POLLHUP): if the path now names a different FIFO inode (helper restarted with unlink+mkfifo), reopens it O_NONBLOCK, enlarges the pipe and resets framing; warns once after 1.5 s of silence.</t>
  </si>
  <si>
    <t xml:space="preserve">delay in ms before the next pump: 0 after a re-attach, else 50</t>
  </si>
  <si>
    <t xml:space="preserve">re-attach iff S_ISFIFO(path) &amp;&amp; (st_ino or st_dev differs from fstat(m_fd))</t>
  </si>
  <si>
    <t xml:space="preserve">Fixes the 1.2.3 busy loop on EOF and the stale-inode problem after a c2h_stream restart (BackendLauncher::relaunchC2h).</t>
  </si>
  <si>
    <t xml:space="preserve">HOST-088</t>
  </si>
  <si>
    <t xml:space="preserve">Re-attached to %1 — the capture helper was restarted (%2).</t>
  </si>
  <si>
    <t xml:space="preserve">"Re-attached to %1 — the capture helper was restarted (%2).")</t>
  </si>
  <si>
    <t xml:space="preserve">writerGone() moved to the new FIFO inode; %2 counts re-attaches.</t>
  </si>
  <si>
    <t xml:space="preserve">HOST-089</t>
  </si>
  <si>
    <t xml:space="preserve">Nothing is writing to %1 — waiting for the capture helper.</t>
  </si>
  <si>
    <t xml:space="preserve">"Nothing is writing to %1 — waiting for the capture helper.").arg(m_openedPath));</t>
  </si>
  <si>
    <t xml:space="preserve">No writer for more than 1.5 s.</t>
  </si>
  <si>
    <t xml:space="preserve">HOST-090</t>
  </si>
  <si>
    <t xml:space="preserve">void DmaSource::pump()</t>
  </si>
  <si>
    <t xml:space="preserve">Read loop step: while paused drains up to 8 x 64 KiB and publishes nothing; otherwise reads into the block accumulator for up to kDmaBudgetMs, publishing a SampleBlock (raw bytes, decode deferred) each time a block fills and admit() allows; then re-queues itself immediately (data seen) or after poll(POLLIN, 20 ms) / writerGone() delay.</t>
  </si>
  <si>
    <t xml:space="preserve">published SampleBlocks; fail() on a read error other than EAGAIN/EWOULDBLOCK/EINTR</t>
  </si>
  <si>
    <t xml:space="preserve">samples per block = m_blockBytes / (bytesPerSample * channels)</t>
  </si>
  <si>
    <t xml:space="preserve">POLLNVAL (char device without poll) switches to a 2 ms timer and stays non-blocking (1.2.3 switched to blocking read and froze the GUI).</t>
  </si>
  <si>
    <t xml:space="preserve">HOST-091</t>
  </si>
  <si>
    <t xml:space="preserve">Read error on %1 — %2</t>
  </si>
  <si>
    <t xml:space="preserve">fail(QStringLiteral("Read error on %1 — %2") .arg(m_openedPath, QString::fromLocal8Bit(strerror(errno))));</t>
  </si>
  <si>
    <t xml:space="preserve">read() failed with an unexpected errno; source fails.</t>
  </si>
  <si>
    <t xml:space="preserve">HOST-092</t>
  </si>
  <si>
    <t xml:space="preserve">Live-mode signal source: reads a PCIe DMA character device or (normally) the c2h_stream capture FIFO and republishes fixed-size SampleBlocks. The read loop re-posts itself through the Qt event loop instead of spinning.</t>
  </si>
  <si>
    <t xml:space="preserve">Live acquisition pipeline (attached to BackendLauncher::captureFifo after becameReady)</t>
  </si>
  <si>
    <t xml:space="preserve">Firmware - API reference</t>
  </si>
  <si>
    <t xml:space="preserve">90 entries. Source: iW-ASCEJ-01-SF-R1.0-REL1.0/iW-ASCEJ-01-SC-R1.0-REL1.0 and iW-ASCEJ-01-FF-R1.0-REL1.0 of release REL1.0 (1.2.5).</t>
  </si>
  <si>
    <t xml:space="preserve">FW-001</t>
  </si>
  <si>
    <t xml:space="preserve">Firmware (bare-metal)</t>
  </si>
  <si>
    <t xml:space="preserve">Init_Adc_Select_Gpio</t>
  </si>
  <si>
    <t xml:space="preserve">int Init_Adc_Select_Gpio()</t>
  </si>
  <si>
    <t xml:space="preserve">Initialises the ADC channel-select AXI GPIO (channel 1 output).</t>
  </si>
  <si>
    <t xml:space="preserve">none</t>
  </si>
  <si>
    <t xml:space="preserve">XST_SUCCESS</t>
  </si>
  <si>
    <t xml:space="preserve">main init step 6/9</t>
  </si>
  <si>
    <t xml:space="preserve">01_Source/main.c</t>
  </si>
  <si>
    <t xml:space="preserve">FW-002</t>
  </si>
  <si>
    <t xml:space="preserve">Init_Axis_Switch</t>
  </si>
  <si>
    <t xml:space="preserve">int Init_Axis_Switch()</t>
  </si>
  <si>
    <t xml:space="preserve">Looks up and initialises the ADC AXIS switch and disables all master ports.</t>
  </si>
  <si>
    <t xml:space="preserve">XST_SUCCESS / XST_FAILURE on lookup failure</t>
  </si>
  <si>
    <t xml:space="preserve">main init step 7/9</t>
  </si>
  <si>
    <t xml:space="preserve">FW-003</t>
  </si>
  <si>
    <t xml:space="preserve">Set_Adc_Channel_Routing</t>
  </si>
  <si>
    <t xml:space="preserve">void Set_Adc_Channel_Routing(int ch0, int ch1, int ch2, int ch3)</t>
  </si>
  <si>
    <t xml:space="preserve">Programs the ADC AXIS switch: master port n (0-3) takes slave port chN; values outside 0-7 leave that master disabled.</t>
  </si>
  <si>
    <t xml:space="preserve">ch0..ch3: slave port 0-7 for MI0..MI3</t>
  </si>
  <si>
    <t xml:space="preserve">main boot (7,3,2,1), menu 9, menu 13, Change_Sampling_Rate_All_Tiles; pcie_apply PCIE_EVT_AXIS_ROUTING, SAMPLING_RATE, RESET, DEFAULTS</t>
  </si>
  <si>
    <t xml:space="preserve">Default routing ADC_ROUTE_DEFAULT_CH0..3 = 7,3,2,1 (MI0&lt;-SI7, MI1&lt;-SI3, MI2&lt;-SI2, MI3&lt;-SI1).</t>
  </si>
  <si>
    <t xml:space="preserve">FW-004</t>
  </si>
  <si>
    <t xml:space="preserve">Set_PL_Gpio_Routing</t>
  </si>
  <si>
    <t xml:space="preserve">void Set_PL_Gpio_Routing(int mode)</t>
  </si>
  <si>
    <t xml:space="preserve">Writes the PL channel-select mode to the ADC select GPIO if in range 1-3.</t>
  </si>
  <si>
    <t xml:space="preserve">mode: 1 = single channel 1, 2 = channel 2, 3 = channel 4 (per menu text)</t>
  </si>
  <si>
    <t xml:space="preserve">main boot (3), menu 10; pcie_apply PCIE_EVT_PL_GPIO_ROUTING and PCIE_EVT_DEFAULTS</t>
  </si>
  <si>
    <t xml:space="preserve">FW-005</t>
  </si>
  <si>
    <t xml:space="preserve">adcDisableCoeffOvrd</t>
  </si>
  <si>
    <t xml:space="preserve">void adcDisableCoeffOvrd (u32 *cmdVals)</t>
  </si>
  <si>
    <t xml:space="preserve">Disables the calibration-coefficient override of one ADC block (XRFdc_DisableCoefficientsOverride).</t>
  </si>
  <si>
    <t xml:space="preserve">cmdVals[0]=tile, [1]=block</t>
  </si>
  <si>
    <t xml:space="preserve">none (console output)</t>
  </si>
  <si>
    <t xml:space="preserve">CLI (cmdParseAndRun)</t>
  </si>
  <si>
    <t xml:space="preserve">CLI command 'adcDisableCoeffOvrd' (table line 50). CLI command handler registered via a cli_*_init() table; main.c in this tree does not call cli_init/cmdParseAndRun, so it is reachable only if the CLI loop is wired in.</t>
  </si>
  <si>
    <t xml:space="preserve">01_Source/adcDisableCoeffOvrd.c</t>
  </si>
  <si>
    <t xml:space="preserve">FW-006</t>
  </si>
  <si>
    <t xml:space="preserve">adcGetCalCoeff</t>
  </si>
  <si>
    <t xml:space="preserve">void adcGetCalCoeff (u32 *cmdVals)</t>
  </si>
  <si>
    <t xml:space="preserve">Reads and displays the live calibration coefficients of one ADC block.</t>
  </si>
  <si>
    <t xml:space="preserve">CLI command 'adcGetCalCoeff' (table line 52). CLI command handler registered via a cli_*_init() table; main.c in this tree does not call cli_init/cmdParseAndRun, so it is reachable only if the CLI loop is wired in.</t>
  </si>
  <si>
    <t xml:space="preserve">01_Source/adcGetCalCoefficients.c</t>
  </si>
  <si>
    <t xml:space="preserve">FW-007</t>
  </si>
  <si>
    <t xml:space="preserve">adcLoadBGCalCoeff</t>
  </si>
  <si>
    <t xml:space="preserve">void adcLoadBGCalCoeff (u32 *cmdVals)</t>
  </si>
  <si>
    <t xml:space="preserve">Loads stored GCB, TSCB and OCB1 (background) coefficients into one ADC block with XRFdc_SetCalCoefficients and validates by reading back.</t>
  </si>
  <si>
    <t xml:space="preserve">CLI command 'adcLoadBGCalCoeff' (table line 53). CLI command handler registered via a cli_*_init() table; main.c in this tree does not call cli_init/cmdParseAndRun, so it is reachable only if the CLI loop is wired in. Sibling adcLoadFGCalCoeff loads the stored OCB2 (foreground) coefficients the same way.</t>
  </si>
  <si>
    <t xml:space="preserve">01_Source/adcLoadCalCoefficients.c</t>
  </si>
  <si>
    <t xml:space="preserve">FW-008</t>
  </si>
  <si>
    <t xml:space="preserve">adcSaveCalCoeff</t>
  </si>
  <si>
    <t xml:space="preserve">void adcSaveCalCoeff (u32 *cmdVals)</t>
  </si>
  <si>
    <t xml:space="preserve">Reads OCB1, OCB2, GCB and TSCB calibration coefficients of one ADC block and stores them in storedCoeffSets[selectedCoeffSet] (linker section .coeffSection).</t>
  </si>
  <si>
    <t xml:space="preserve">Storage: 4 sets x 4 tiles x 4 blocks x 4 types x (written flag + 8 x u32). CLI command 'adcSaveCalCoeff' (table line 113). CLI command handler registered via a cli_*_init() table; main.c in this tree does not call cli_init/cmdParseAndRun, so it is reachable only if the CLI loop is wired in. Related: adcCoeffSet (select set 0-3), adcCoeffClr (zero a set), adcCoeffSetDump (print a stored set).</t>
  </si>
  <si>
    <t xml:space="preserve">01_Source/adcSaveCalCoefficients.c</t>
  </si>
  <si>
    <t xml:space="preserve">FW-009</t>
  </si>
  <si>
    <t xml:space="preserve">adcSetFreezeCal</t>
  </si>
  <si>
    <t xml:space="preserve">void adcSetFreezeCal (u32 *cmdVals)</t>
  </si>
  <si>
    <t xml:space="preserve">Freezes background calibration on one ADC block (DisableFreezePin=1, FreezeCalibration=1) and reports status before/after a 1 s wait.</t>
  </si>
  <si>
    <t xml:space="preserve">Enable check also requires DACTileStatus[tile].IsEnabled. CLI command 'adcSetFreezeCal' (table line 51). CLI command handler registered via a cli_*_init() table; main.c in this tree does not call cli_init/cmdParseAndRun, so it is reachable only if the CLI loop is wired in. Siblings: adcSetUnFreezeCal (FreezeCalibration=0), adcFreezeCalStatus (print freeze status of all ADC blocks).</t>
  </si>
  <si>
    <t xml:space="preserve">01_Source/adc_FreezeCal.c</t>
  </si>
  <si>
    <t xml:space="preserve">FW-010</t>
  </si>
  <si>
    <t xml:space="preserve">Save_Gain_State</t>
  </si>
  <si>
    <t xml:space="preserve">void Save_Gain_State(XRFdc *RFdcInstPtr, int is_adc)</t>
  </si>
  <si>
    <t xml:space="preserve">Captures QMC gain correction factor and enable flag of every block into saved_gain[4][4] before a PLL reprogram.</t>
  </si>
  <si>
    <t xml:space="preserve">RFdcInstPtr; is_adc</t>
  </si>
  <si>
    <t xml:space="preserve">menu 13; pcie_apply PCIE_EVT_SAMPLING_RATE and PCIE_EVT_DEFAULTS</t>
  </si>
  <si>
    <t xml:space="preserve">FW-011</t>
  </si>
  <si>
    <t xml:space="preserve">Restore_Gain_State</t>
  </si>
  <si>
    <t xml:space="preserve">void Restore_Gain_State(XRFdc *RFdcInstPtr, int is_adc)</t>
  </si>
  <si>
    <t xml:space="preserve">Re-applies the QMC gain captured by Save_Gain_State and issues a tile update event per block.</t>
  </si>
  <si>
    <t xml:space="preserve">menu 13 (after successful rate change); pcie_apply PCIE_EVT_SAMPLING_RATE and PCIE_EVT_DEFAULTS</t>
  </si>
  <si>
    <t xml:space="preserve">FW-012</t>
  </si>
  <si>
    <t xml:space="preserve">lmk4828_registers</t>
  </si>
  <si>
    <t xml:space="preserve">u32 lmk4828_registers[LMK4828_REG_CONFIG_NUM_COMMANDS] =</t>
  </si>
  <si>
    <t xml:space="preserve">Active LMK04828 clock-distribution register table (136 entries of 24-bit addr&lt;&lt;8|data) streamed by QSpiLMK4828Program.</t>
  </si>
  <si>
    <t xml:space="preserve">QSpiLMK4828Program</t>
  </si>
  <si>
    <t xml:space="preserve">Active (non-commented) block is labelled '/// below is for 2.4 gsps' at line 883; the file also keeps several commented-out alternative tables. Ends with 0x1FFD00, 0x1FFE00, 0x1FFF53.</t>
  </si>
  <si>
    <t xml:space="preserve">01_Source/ig60m_rfdc_clk.h</t>
  </si>
  <si>
    <t xml:space="preserve">FW-013</t>
  </si>
  <si>
    <t xml:space="preserve">lmx2594_registers_adc</t>
  </si>
  <si>
    <t xml:space="preserve">u32 lmx2594_registers_adc[LMX2594_REG_CONFIG_NUM_COMMANDS] =</t>
  </si>
  <si>
    <t xml:space="preserve">Active LMX2594 register table for the ADC RF PLL (113 entries, addr&lt;&lt;16|data, from R112 down to R0) streamed by QSpiLMX2594Program.</t>
  </si>
  <si>
    <t xml:space="preserve">QSpiLMX2594Program</t>
  </si>
  <si>
    <t xml:space="preserve">ADC and DAC tables are identical in the active block; last entry R0 = 0x249C. lmx2594_registers_dac (same file, just above) is identical in the active block.</t>
  </si>
  <si>
    <t xml:space="preserve">FW-014</t>
  </si>
  <si>
    <t xml:space="preserve">Program_Clock_Wizard</t>
  </si>
  <si>
    <t xml:space="preserve">void Program_Clock_Wizard(u32 BaseAddr, double target_freq_mhz)</t>
  </si>
  <si>
    <t xml:space="preserve">Reprograms the CLKOUT0 output divider of a Clocking Wizard (VCO fixed at 1200 MHz), triggers a reload and waits for lock.</t>
  </si>
  <si>
    <t xml:space="preserve">BaseAddr: Clocking Wizard AXI-Lite base; target_freq_mhz: desired output (returns if &lt; 1.0)</t>
  </si>
  <si>
    <t xml:space="preserve">none (prints lock / timeout)</t>
  </si>
  <si>
    <t xml:space="preserve">int_div = (u32)(1200.0/target); frac_div = (u32)(1200.0*1000/target) % 1000; reg = (frac_div&lt;&lt;8) | (int_div &amp; 0xFF)</t>
  </si>
  <si>
    <t xml:space="preserve">Update_Stream_Clock_Architectural</t>
  </si>
  <si>
    <t xml:space="preserve">Writes 0x208 (CLKOUT0 divider) then 0x25C=0x03 (load); polls SR 0x04 bit0 up to 100000 x 10 us. Rejects int_div 0 or &gt; 255.</t>
  </si>
  <si>
    <t xml:space="preserve">FW-015</t>
  </si>
  <si>
    <t xml:space="preserve">void Update_Stream_Clock_Architectural(XRFdc *RFdcInstPtr, int is_adc)</t>
  </si>
  <si>
    <t xml:space="preserve">Computes the AXI-Stream clock from the current sample rate and decimation/interpolation factor of the first enabled block and reprograms the ADC or DAC Clocking Wizard; for DAC also recomputes the DDS phase increment.</t>
  </si>
  <si>
    <t xml:space="preserve">RFdcInstPtr; is_adc (1=ADC, 0=DAC)</t>
  </si>
  <si>
    <t xml:space="preserve">none; updates current_dac_stream_clk_mhz for DAC</t>
  </si>
  <si>
    <t xml:space="preserve">ADC: target = global_adc_gsps*1000/factor; DAC: target = global_dac_gsps*1000/(factor*2); if target &lt; 10 then target = 100</t>
  </si>
  <si>
    <t xml:space="preserve">Change_Sampling_Rate_All_Tiles, Update_Datapath_Rate</t>
  </si>
  <si>
    <t xml:space="preserve">Factor 0 from driver is clamped to 1. Targets HW_CLK_WIZ_ADC_BASE or HW_CLK_WIZ_DAC_BASE.</t>
  </si>
  <si>
    <t xml:space="preserve">FW-016</t>
  </si>
  <si>
    <t xml:space="preserve">Init_Clk_Counter_Gpio</t>
  </si>
  <si>
    <t xml:space="preserve">int Init_Clk_Counter_Gpio()</t>
  </si>
  <si>
    <t xml:space="preserve">Initialises the PL input-clock counter AXI GPIO with channel 1 as all inputs.</t>
  </si>
  <si>
    <t xml:space="preserve">main init step 9/9</t>
  </si>
  <si>
    <t xml:space="preserve">FW-017</t>
  </si>
  <si>
    <t xml:space="preserve">Init_Dyn_Clk_Gpio</t>
  </si>
  <si>
    <t xml:space="preserve">int Init_Dyn_Clk_Gpio()</t>
  </si>
  <si>
    <t xml:space="preserve">Initialises the ADC/DAC stream-clock counter AXI GPIO with both channels as inputs.</t>
  </si>
  <si>
    <t xml:space="preserve">FW-018</t>
  </si>
  <si>
    <t xml:space="preserve">Measure_Stream_Clocks</t>
  </si>
  <si>
    <t xml:space="preserve">void Measure_Stream_Clocks()</t>
  </si>
  <si>
    <t xml:space="preserve">Measures the PL input clock and ADC/DAC stream clocks by sampling free-running counters over a 100 ms usleep and prints the results.</t>
  </si>
  <si>
    <t xml:space="preserve">prints Hz and MHz for PL input, ADC stream, DAC stream clocks</t>
  </si>
  <si>
    <t xml:space="preserve">freq_Hz = (count_after - count_before) * 10; MHz = Hz/1000000</t>
  </si>
  <si>
    <t xml:space="preserve">menu 11</t>
  </si>
  <si>
    <t xml:space="preserve">Code warns measurements may be inaccurate due to bare-metal sleep timer calibration.</t>
  </si>
  <si>
    <t xml:space="preserve">FW-019</t>
  </si>
  <si>
    <t xml:space="preserve">QSpiInit</t>
  </si>
  <si>
    <t xml:space="preserve">int QSpiInit()</t>
  </si>
  <si>
    <t xml:space="preserve">Looks up and initialises the three AXI SPI instances (LMK04828, ADC LMX2594, DAC LMX2594) as master with manual slave select.</t>
  </si>
  <si>
    <t xml:space="preserve">main Step 1</t>
  </si>
  <si>
    <t xml:space="preserve">FW-020</t>
  </si>
  <si>
    <t xml:space="preserve">int QSpiLMK4828Program()</t>
  </si>
  <si>
    <t xml:space="preserve">Writes every entry of lmk4828_registers[] to the LMK04828 as 3-byte SPI frames with 10 ms delay between writes.</t>
  </si>
  <si>
    <t xml:space="preserve">none (table from ig60m_rfdc_clk.h)</t>
  </si>
  <si>
    <t xml:space="preserve">byte0 = (reg &amp; 0x1F0000)&gt;&gt;16; byte1 = (reg &amp; 0x00FF00)&gt;&gt;8; byte2 = reg &amp; 0xFF</t>
  </si>
  <si>
    <t xml:space="preserve">FW-021</t>
  </si>
  <si>
    <t xml:space="preserve">int QSpiLMX2594Program()</t>
  </si>
  <si>
    <t xml:space="preserve">For the ADC and DAC LMX2594: issues a soft reset (R0=0x0002 then 0x0000), writes every table entry, then re-writes the last entry twice.</t>
  </si>
  <si>
    <t xml:space="preserve">none (lmx2594_registers_adc / _dac)</t>
  </si>
  <si>
    <t xml:space="preserve">byte0 = (reg &amp; 0x7F0000)&gt;&gt;16; byte1 = (reg &amp; 0xFF00)&gt;&gt;8; byte2 = reg &amp; 0xFF</t>
  </si>
  <si>
    <t xml:space="preserve">10 ms delay after each write.</t>
  </si>
  <si>
    <t xml:space="preserve">FW-022</t>
  </si>
  <si>
    <t xml:space="preserve">QSpiLMX2594Status</t>
  </si>
  <si>
    <t xml:space="preserve">int QSpiLMX2594Status()</t>
  </si>
  <si>
    <t xml:space="preserve">Reads lock status of both LMX2594s (register 0x6E read with 0x80 flag) and LMK04828 PLL1/PLL2 (registers 0x182/0x183) and prints which are locked.</t>
  </si>
  <si>
    <t xml:space="preserve">XST_SUCCESS (always); prints lock messages</t>
  </si>
  <si>
    <t xml:space="preserve">LMX locked when (rx[1] &amp; 0x6) == 0x4; LMK PLLn locked when (rx[2] &amp; 2) == 2.</t>
  </si>
  <si>
    <t xml:space="preserve">FW-023</t>
  </si>
  <si>
    <t xml:space="preserve">Verify_Actual_Sampling_Rate</t>
  </si>
  <si>
    <t xml:space="preserve">void Verify_Actual_Sampling_Rate(XRFdc *RFdcInstPtr, int is_adc, int tile)</t>
  </si>
  <si>
    <t xml:space="preserve">Reads the tile PLL configuration and prints the reference clock, FBDIV, OUTDIV and calculated sampling rate.</t>
  </si>
  <si>
    <t xml:space="preserve">RFdcInstPtr; is_adc; tile</t>
  </si>
  <si>
    <t xml:space="preserve">console output</t>
  </si>
  <si>
    <t xml:space="preserve">actual_fs = RefClkFreq * FeedbackDivider / OutputDivider</t>
  </si>
  <si>
    <t xml:space="preserve">menu 13</t>
  </si>
  <si>
    <t xml:space="preserve">FW-024</t>
  </si>
  <si>
    <t xml:space="preserve">Dac_Source_To_Si</t>
  </si>
  <si>
    <t xml:space="preserve">static u8 Dac_Source_To_Si(int source)</t>
  </si>
  <si>
    <t xml:space="preserve">Maps a logical PCIE_DAC_SRC_* value to the physical DDS/H2C AXIS switch slave port.</t>
  </si>
  <si>
    <t xml:space="preserve">source: PCIE_DAC_SRC_DDS or PCIE_DAC_SRC_HOST</t>
  </si>
  <si>
    <t xml:space="preserve">u8 SI port: HW_DAC_SW_SI_HOST if HOST, else HW_DAC_SW_SI_DDS</t>
  </si>
  <si>
    <t xml:space="preserve">Set_Dds_H2c_Routing</t>
  </si>
  <si>
    <t xml:space="preserve">Only place the logical-to-physical mapping is resolved (fix for pre-1.2.1 DDS/host swap).</t>
  </si>
  <si>
    <t xml:space="preserve">FW-025</t>
  </si>
  <si>
    <t xml:space="preserve">Dac_Source_Name</t>
  </si>
  <si>
    <t xml:space="preserve">const char *Dac_Source_Name(int source)</t>
  </si>
  <si>
    <t xml:space="preserve">Returns a human-readable name for a logical DAC source value.</t>
  </si>
  <si>
    <t xml:space="preserve">source: logical PCIE_DAC_SRC_* value</t>
  </si>
  <si>
    <t xml:space="preserve">"DDS compiler", "Host / GNU Radio stream", or "none (no switch input routed)"</t>
  </si>
  <si>
    <t xml:space="preserve">main (boot print, menu 16), PcieCfg_Diagnostics</t>
  </si>
  <si>
    <t xml:space="preserve">FW-026</t>
  </si>
  <si>
    <t xml:space="preserve">Init_Dds_H2c_Switch</t>
  </si>
  <si>
    <t xml:space="preserve">int Init_Dds_H2c_Switch()</t>
  </si>
  <si>
    <t xml:space="preserve">Looks up and initialises the 2-to-1 DDS/host-stream AXIS switch, then routes the boot default source (PCIE_DEF_DAC_SOURCE).</t>
  </si>
  <si>
    <t xml:space="preserve">XST_SUCCESS / XST_FAILURE</t>
  </si>
  <si>
    <t xml:space="preserve">main init step 8/9</t>
  </si>
  <si>
    <t xml:space="preserve">Uses XAxisScr_LookupConfig(HW_DDS_H2C_SWITCH_ID) and XAxisScr_CfgInitialize; sets dds_h2c_switch_ready=1.</t>
  </si>
  <si>
    <t xml:space="preserve">FW-027</t>
  </si>
  <si>
    <t xml:space="preserve">int Set_Dds_H2c_Routing(int source)</t>
  </si>
  <si>
    <t xml:space="preserve">Routes a logical DAC source onto switch MI0 and verifies it by reading the switch back.</t>
  </si>
  <si>
    <t xml:space="preserve">source: PCIE_DAC_SRC_DDS (0) or PCIE_DAC_SRC_HOST (1)</t>
  </si>
  <si>
    <t xml:space="preserve">XST_SUCCESS if readback matches; XST_INVALID_PARAM on bad source; XST_DEVICE_NOT_FOUND if switch not initialised; XST_FAILURE on readback mismatch</t>
  </si>
  <si>
    <t xml:space="preserve">Init_Dds_H2c_Switch, menu 16; pcie_apply PCIE_EVT_DAC_SOURCE and PCIE_EVT_DEFAULTS</t>
  </si>
  <si>
    <t xml:space="preserve">Sequence: RegUpdateDisable, MiPortDisableAll, MiPortEnable(MI0, SI), RegUpdateEnable.</t>
  </si>
  <si>
    <t xml:space="preserve">FW-028</t>
  </si>
  <si>
    <t xml:space="preserve">Get_Dds_H2c_Routing</t>
  </si>
  <si>
    <t xml:space="preserve">int Get_Dds_H2c_Routing(void)</t>
  </si>
  <si>
    <t xml:space="preserve">Returns the logical DAC source currently routed, read from the switch MI0 mux register (not cached).</t>
  </si>
  <si>
    <t xml:space="preserve">PCIE_DAC_SRC_DDS, PCIE_DAC_SRC_HOST, or PCIE_DAC_SRC_NONE</t>
  </si>
  <si>
    <t xml:space="preserve">Set_Dds_H2c_Routing, menu 16, boot print; pcie_readback PCIE_RB_DAC_SOURCE, PcieCfg_Diagnostics</t>
  </si>
  <si>
    <t xml:space="preserve">FW-029</t>
  </si>
  <si>
    <t xml:space="preserve">waveSin</t>
  </si>
  <si>
    <t xml:space="preserve">void waveSin(u32 *cmdVals)</t>
  </si>
  <si>
    <t xml:space="preserve">Fills the buffer with a real 16-bit sine whose frequency is adjusted to an integer number of cycles, using DAC tile 0 block 0 Fs / interpolation as the AXIS sample rate.</t>
  </si>
  <si>
    <t xml:space="preserve">cmdVals[0]=numKB, [1]=freq Hz, [2]=dBFS</t>
  </si>
  <si>
    <t xml:space="preserve">amplitude = 0x7ffe*10^(dBFS/20); Fs_axis = SamplingFreq*1e9/Interp; numCycles = Nsamples/(Fs_axis/freq); step = 360/(Nsamples/numCycles); sample[i] = amplitude*sin(step*i*pi/180)</t>
  </si>
  <si>
    <t xml:space="preserve">CLI command 'waveSin' (table line 61). CLI command handler registered via a cli_*_init() table; main.c in this tree does not call cli_init/cmdParseAndRun, so it is reachable only if the CLI loop is wired in. Requires waveSetBuf &lt;addr_h&gt; &lt;addr_l&gt; &lt;size KB&gt; first (bufAddr = addr_h&lt;&lt;32|addr_lo, maxBufSize = KB*1024). Sibling waveSawtooth writes a sawtooth.</t>
  </si>
  <si>
    <t xml:space="preserve">01_Source/dac_waves.c</t>
  </si>
  <si>
    <t xml:space="preserve">FW-030</t>
  </si>
  <si>
    <t xml:space="preserve">Init_Dds_Gpio</t>
  </si>
  <si>
    <t xml:space="preserve">int Init_Dds_Gpio()</t>
  </si>
  <si>
    <t xml:space="preserve">Initialises the DDS control AXI GPIO (both channels output) and writes 0 to both, holding the DDS in reset during RFdc init.</t>
  </si>
  <si>
    <t xml:space="preserve">main init step 4/9</t>
  </si>
  <si>
    <t xml:space="preserve">FW-031</t>
  </si>
  <si>
    <t xml:space="preserve">Reset_Dds</t>
  </si>
  <si>
    <t xml:space="preserve">void Reset_Dds()</t>
  </si>
  <si>
    <t xml:space="preserve">Pulses DDS GPIO channel 1 low for 10 us then high, releasing the DDS from reset.</t>
  </si>
  <si>
    <t xml:space="preserve">main (after DSA/VOP, and at Step 4)</t>
  </si>
  <si>
    <t xml:space="preserve">FW-032</t>
  </si>
  <si>
    <t xml:space="preserve">Set_Dds_Frequency</t>
  </si>
  <si>
    <t xml:space="preserve">void Set_Dds_Frequency(double target_freq_mhz)</t>
  </si>
  <si>
    <t xml:space="preserve">Computes the 32-bit DDS phase increment for the requested tone at the current DAC stream clock and writes it to DDS GPIO channel 2.</t>
  </si>
  <si>
    <t xml:space="preserve">target_freq_mhz</t>
  </si>
  <si>
    <t xml:space="preserve">none; updates current_dds_freq_mhz</t>
  </si>
  <si>
    <t xml:space="preserve">phase_inc = (u32)(target_freq_mhz * 4294967296.0 / current_dac_stream_clk_mhz)</t>
  </si>
  <si>
    <t xml:space="preserve">main (10 MHz at boot), menu 6, Update_Stream_Clock_Architectural (DAC); pcie_apply PCIE_EVT_DDS_PHASE_INC and PCIE_EVT_DEFAULTS</t>
  </si>
  <si>
    <t xml:space="preserve">FW-033</t>
  </si>
  <si>
    <t xml:space="preserve">dacSetVOP</t>
  </si>
  <si>
    <t xml:space="preserve">void dacSetVOP(u32 *cmdVals)</t>
  </si>
  <si>
    <t xml:space="preserve">Gen3 only: sets DAC VOP output current of one block and prints the value read back with XRFdc_GetOutputCurr.</t>
  </si>
  <si>
    <t xml:space="preserve">cmdVals[0]=tile, [1]=block, [2]=current (uA)</t>
  </si>
  <si>
    <t xml:space="preserve">CLI command 'dacSetVOP' (table line 51). CLI command handler registered via a cli_*_init() table; main.c in this tree does not call cli_init/cmdParseAndRun, so it is reachable only if the CLI loop is wired in.</t>
  </si>
  <si>
    <t xml:space="preserve">01_Source/rfdc_dsa_vop.c</t>
  </si>
  <si>
    <t xml:space="preserve">FW-034</t>
  </si>
  <si>
    <t xml:space="preserve">adcSetDSA</t>
  </si>
  <si>
    <t xml:space="preserve">void adcSetDSA(u32 *cmdVals)</t>
  </si>
  <si>
    <t xml:space="preserve">Gen3 only: prompts for attenuation (mygetlinef), sets one ADC block's DSA and prints the read-back value.</t>
  </si>
  <si>
    <t xml:space="preserve">cmdVals[0]=tile, [1]=block; attenuation from console</t>
  </si>
  <si>
    <t xml:space="preserve">Writes a fresh XRFdc_DSA_Settings with only Attenuation set (no prior Get). CLI command 'adcSetDSA' (table line 53). CLI command handler registered via a cli_*_init() table; main.c in this tree does not call cli_init/cmdParseAndRun, so it is reachable only if the CLI loop is wired in.</t>
  </si>
  <si>
    <t xml:space="preserve">FW-035</t>
  </si>
  <si>
    <t xml:space="preserve">IntrHandler</t>
  </si>
  <si>
    <t xml:space="preserve">static void IntrHandler(void *CallBackRef, u32 Bank, u32 Status)</t>
  </si>
  <si>
    <t xml:space="preserve">LMK lock GPIO interrupt callback; only increments intr_cnt.</t>
  </si>
  <si>
    <t xml:space="preserve">CallBackRef, Bank, Status (unused)</t>
  </si>
  <si>
    <t xml:space="preserve">XGpioPs_SetCallbackHandler (only when ENABLE_LMK_LOCK_IRQ=1)</t>
  </si>
  <si>
    <t xml:space="preserve">Vestigial: counter is never read.</t>
  </si>
  <si>
    <t xml:space="preserve">FW-036</t>
  </si>
  <si>
    <t xml:space="preserve">Init_Sysref_Gpio</t>
  </si>
  <si>
    <t xml:space="preserve">int Init_Sysref_Gpio()</t>
  </si>
  <si>
    <t xml:space="preserve">Initialises the SYSREF control AXI GPIO with channels 1 and 2 as outputs.</t>
  </si>
  <si>
    <t xml:space="preserve">main init step 5/9</t>
  </si>
  <si>
    <t xml:space="preserve">FW-037</t>
  </si>
  <si>
    <t xml:space="preserve">int main(void)</t>
  </si>
  <si>
    <t xml:space="preserve">Entry point: programs the LMK04828/LMX2594 clock tree, initialises PS GPIO, libmetal and PL peripherals, brings up RFdc (startup, reset, wait for state 0xF), sets 0 dB DSA / 32 mA VOP, releases DDS, waits 15 s for TSCB, runs MTS, sets both NCOs to 3100 MHz, starts the PCIe transport, sets DDS to 10 MHz, then loops on the 18-option UART menu.</t>
  </si>
  <si>
    <t xml:space="preserve">XST_FAILURE on fatal init error (never returns otherwise)</t>
  </si>
  <si>
    <t xml:space="preserve">program entry point</t>
  </si>
  <si>
    <t xml:space="preserve">Init order (from code): QSpiInit, QSpiLMK4828Program, QSpiLMX2594Program, QSpiLMX2594Status; XGpioPs lookup; optional GIC (ENABLE_LMK_LOCK_IRQ, default 0); metal_init; Init_Dds_Gpio, Init_Sysref_Gpio, Init_Adc_Select_Gpio, Init_Axis_Switch, Init_Dds_H2c_Switch, Init_Dyn_Clk_Gpio, Init_Clk_Counter_Gpio; Set_PL_Gpio_Routing(3); Set_Adc_Channel_Routing(7,3,2,1); XRFdc_LookupConfig/CfgInitialize; rfdcStartup, dacResetAll, adcResetAll; rfdcWaitAllTilesReady(10000); rfdcReady; DSA 0 dB / VOP 32000 uA; Reset_Dds; sleep(15); Run_MTS_Procedure; Set_NCO_Freq_MTS_Safe(ADC,DAC 3100); PcieCfg_Init; Print_Current_Rates; Reset_Dds; Set_Dds_Frequency(10).</t>
  </si>
  <si>
    <t xml:space="preserve">FW-038</t>
  </si>
  <si>
    <t xml:space="preserve">my_metal_default_log_handler</t>
  </si>
  <si>
    <t xml:space="preserve">void my_metal_default_log_handler(enum metal_log_level level, const char *format, ...)</t>
  </si>
  <si>
    <t xml:space="preserve">libmetal log handler that normalises line endings and prefixes the log level before printing via xil_printf.</t>
  </si>
  <si>
    <t xml:space="preserve">level; printf-style format and args</t>
  </si>
  <si>
    <t xml:space="preserve">metal_init (only when ENABLE_METAL_PRINTS defined)</t>
  </si>
  <si>
    <t xml:space="preserve">FW-039</t>
  </si>
  <si>
    <t xml:space="preserve">dacResetAll</t>
  </si>
  <si>
    <t xml:space="preserve">void dacResetAll(u32 *cmdVals)</t>
  </si>
  <si>
    <t xml:space="preserve">Resets every enabled DAC tile via XRFdc_Reset.</t>
  </si>
  <si>
    <t xml:space="preserve">cmdVals (unused; main passes NULL)</t>
  </si>
  <si>
    <t xml:space="preserve">main Step 2 (after rfdcStartup); CLI 'dacResetAll'</t>
  </si>
  <si>
    <t xml:space="preserve">01_Source/rfdc_cmd.c</t>
  </si>
  <si>
    <t xml:space="preserve">FW-040</t>
  </si>
  <si>
    <t xml:space="preserve">adcResetAll</t>
  </si>
  <si>
    <t xml:space="preserve">void adcResetAll(u32 *cmdVals)</t>
  </si>
  <si>
    <t xml:space="preserve">Resets every enabled ADC tile via XRFdc_Reset.</t>
  </si>
  <si>
    <t xml:space="preserve">main Step 2 (after dacResetAll); CLI 'adcResetAll'</t>
  </si>
  <si>
    <t xml:space="preserve">FW-041</t>
  </si>
  <si>
    <t xml:space="preserve">rfdcWaitAllTilesReady</t>
  </si>
  <si>
    <t xml:space="preserve">int rfdcWaitAllTilesReady(u32 TimeoutMs)</t>
  </si>
  <si>
    <t xml:space="preserve">Blocks until every enabled DAC and ADC tile reports power-on sequence state 0xF, polling every 1 ms, or times out; reports stuck tiles.</t>
  </si>
  <si>
    <t xml:space="preserve">TimeoutMs</t>
  </si>
  <si>
    <t xml:space="preserve">XST_SUCCESS / XST_FAILURE on timeout</t>
  </si>
  <si>
    <t xml:space="preserve">state reg = RFDC_BASE + 0x0C + 0x04000 (DAC) / 0x14000 (ADC) + tile*0x4000; ready when (reg &amp; 0xF) == 0xF</t>
  </si>
  <si>
    <t xml:space="preserve">main Step 2 with RFDC_STARTUP_TIMEOUT_MS = 10000</t>
  </si>
  <si>
    <t xml:space="preserve">FW-042</t>
  </si>
  <si>
    <t xml:space="preserve">rfdcReady</t>
  </si>
  <si>
    <t xml:space="preserve">void rfdcReady (u32 *cmdVals)</t>
  </si>
  <si>
    <t xml:space="preserve">Prints a ready / NOT ready snapshot per enabled tile from the debug-reset calibration bit (non-blocking).</t>
  </si>
  <si>
    <t xml:space="preserve">cmdVals (unused)</t>
  </si>
  <si>
    <t xml:space="preserve">main Step 2; CLI 'rfdcReady'</t>
  </si>
  <si>
    <t xml:space="preserve">FW-043</t>
  </si>
  <si>
    <t xml:space="preserve">rfdcStartup</t>
  </si>
  <si>
    <t xml:space="preserve">void rfdcStartup (u32 *cmdVals)</t>
  </si>
  <si>
    <t xml:space="preserve">Writes 1 to RFDC_BASE+0x0004 (power up), waits 1 s, then XRFdc_StartUp on each ready enabled DAC and ADC tile with 200 ms gaps, and prints power-on state.</t>
  </si>
  <si>
    <t xml:space="preserve">main Step 2 (first RFdc call after CfgInitialize); CLI 'rfdcStartup'</t>
  </si>
  <si>
    <t xml:space="preserve">Siblings in rfdc_cmd.c: rfdcShutdown (XRFdc_Shutdown all tiles), dacReset/adcReset (single tile).</t>
  </si>
  <si>
    <t xml:space="preserve">FW-044</t>
  </si>
  <si>
    <t xml:space="preserve">Gate_SYSREF</t>
  </si>
  <si>
    <t xml:space="preserve">void Gate_SYSREF()</t>
  </si>
  <si>
    <t xml:space="preserve">Gates SYSREF by writing 1 to SYSREF GPIO channel 1.</t>
  </si>
  <si>
    <t xml:space="preserve">Set_NCO_Freq_MTS_Safe</t>
  </si>
  <si>
    <t xml:space="preserve">FW-045</t>
  </si>
  <si>
    <t xml:space="preserve">Reenable_SYSREF</t>
  </si>
  <si>
    <t xml:space="preserve">void Reenable_SYSREF()</t>
  </si>
  <si>
    <t xml:space="preserve">Ungates SYSREF (ch1=0) and pulses SYSREF GPIO channel 2 high then low with 10 us delays.</t>
  </si>
  <si>
    <t xml:space="preserve">FW-046</t>
  </si>
  <si>
    <t xml:space="preserve">Run_MTS_Procedure</t>
  </si>
  <si>
    <t xml:space="preserve">int Run_MTS_Procedure(XRFdc *RFdcInstPtr)</t>
  </si>
  <si>
    <t xml:space="preserve">Runs multi-tile sync on all four ADC tiles then all four DAC tiles and prints the resulting latency.</t>
  </si>
  <si>
    <t xml:space="preserve">RFdcInstPtr</t>
  </si>
  <si>
    <t xml:space="preserve">XST_SUCCESS (always)</t>
  </si>
  <si>
    <t xml:space="preserve">main Step 2.5; pcie_apply PCIE_EVT_SAMPLING_RATE, MTS_REALIGN, RESET, DEFAULTS</t>
  </si>
  <si>
    <t xml:space="preserve">Tile masks ADC_TILES_SYNCC_MASK = DAC_TILES_SYNCC_MASK = 0xF.</t>
  </si>
  <si>
    <t xml:space="preserve">FW-047</t>
  </si>
  <si>
    <t xml:space="preserve">adcMTS</t>
  </si>
  <si>
    <t xml:space="preserve">void adcMTS(u32 *cmdVals)</t>
  </si>
  <si>
    <t xml:space="preserve">Runs ADC multi-tile sync on the tiles in a mask and prints per-tile results.</t>
  </si>
  <si>
    <t xml:space="preserve">cmdVals[0] = tile mask</t>
  </si>
  <si>
    <t xml:space="preserve">CLI command 'adcMTS' (table line 55). CLI command handler registered via a cli_*_init() table; main.c in this tree does not call cli_init/cmdParseAndRun, so it is reachable only if the CLI loop is wired in. Siblings: dacMTS (DAC), adcMTSwl/dacMTSwl (fixed target latency read from console), dacAdcMTSStatus (prints latency/offset).</t>
  </si>
  <si>
    <t xml:space="preserve">01_Source/rfdc_mts.c</t>
  </si>
  <si>
    <t xml:space="preserve">FW-048</t>
  </si>
  <si>
    <t xml:space="preserve">void Set_NCO_Freq_MTS_Safe(XRFdc *RFdcInstPtr, int is_adc, double freq_mhz)</t>
  </si>
  <si>
    <t xml:space="preserve">MTS-safe NCO update for all enabled blocks of one domain: freezes ADC calibration, gates SYSREF, sets mixer Freq with SYSREF event source and resets NCO phase per block, re-enables SYSREF, unfreezes calibration.</t>
  </si>
  <si>
    <t xml:space="preserve">RFdcInstPtr; is_adc; freq_mhz</t>
  </si>
  <si>
    <t xml:space="preserve">main boot (3100 MHz), menu 1-4/7/8/13; pcie_apply PCIE_EVT_NCO_FREQ (all tiles + both channels only), SAMPLING_RATE, MTS_REALIGN, RESET, DEFAULTS</t>
  </si>
  <si>
    <t xml:space="preserve">CalFreeze uses DisableFreezePin=1, FreezeCalibration=1 then 0 (ADC only).</t>
  </si>
  <si>
    <t xml:space="preserve">FW-049</t>
  </si>
  <si>
    <t xml:space="preserve">Update_Nyquist_Zone</t>
  </si>
  <si>
    <t xml:space="preserve">void Update_Nyquist_Zone(XRFdc *RFdcInstPtr, int is_adc, double sampling_rate_mhz, double nco_freq_mhz)</t>
  </si>
  <si>
    <t xml:space="preserve">Selects the Nyquist zone (forced via force_nyquist_zone or auto from NCO and Fs) and applies it to every enabled ADC or DAC block.</t>
  </si>
  <si>
    <t xml:space="preserve">RFdcInstPtr; is_adc; sampling_rate_mhz; nco_freq_mhz</t>
  </si>
  <si>
    <t xml:space="preserve">math_zone = (int)(nco/(fs/2)) + 1; physical_zone = (math_zone even) ? 2 : 1</t>
  </si>
  <si>
    <t xml:space="preserve">Change_Sampling_Rate_All_Tiles (when no per-domain override)</t>
  </si>
  <si>
    <t xml:space="preserve">FW-050</t>
  </si>
  <si>
    <t xml:space="preserve">Set_Nyquist_Zone_Manual</t>
  </si>
  <si>
    <t xml:space="preserve">void Set_Nyquist_Zone_Manual(XRFdc *RFdcInstPtr, int is_adc, int zone)</t>
  </si>
  <si>
    <t xml:space="preserve">Forces the Nyquist zone on every enabled block of a domain and issues a tile update event per block.</t>
  </si>
  <si>
    <t xml:space="preserve">RFdcInstPtr; is_adc; zone (1 or 2)</t>
  </si>
  <si>
    <t xml:space="preserve">menu 14; pcie_apply PCIE_EVT_NYQUIST_ZONE</t>
  </si>
  <si>
    <t xml:space="preserve">FW-051</t>
  </si>
  <si>
    <t xml:space="preserve">rfdcNyquistZone</t>
  </si>
  <si>
    <t xml:space="preserve">void rfdcNyquistZone(u32 *cmdVals)</t>
  </si>
  <si>
    <t xml:space="preserve">Prints the Nyquist zone of every enabled DAC and ADC block.</t>
  </si>
  <si>
    <t xml:space="preserve">CLI command 'rfdcNyquistZone' (table line 3). CLI command handler registered via a cli_*_init() table; main.c in this tree does not call cli_init/cmdParseAndRun, so it is reachable only if the CLI loop is wired in.</t>
  </si>
  <si>
    <t xml:space="preserve">01_Source/rfdc_nyquistzone.c</t>
  </si>
  <si>
    <t xml:space="preserve">FW-052</t>
  </si>
  <si>
    <t xml:space="preserve">dacSetNyquistZone</t>
  </si>
  <si>
    <t xml:space="preserve">void dacSetNyquistZone(u32 *cmdVals)</t>
  </si>
  <si>
    <t xml:space="preserve">Sets the Nyquist zone of one DAC block, reads it back and prints it with the block sampling frequency.</t>
  </si>
  <si>
    <t xml:space="preserve">cmdVals[0]=tile, [1]=block, [2]=zone</t>
  </si>
  <si>
    <t xml:space="preserve">GHz (printed Fs)</t>
  </si>
  <si>
    <t xml:space="preserve">CLI command 'dacSetNyquistZone' (table line 46). CLI command handler registered via a cli_*_init() table; main.c in this tree does not call cli_init/cmdParseAndRun, so it is reachable only if the CLI loop is wired in. Sibling adcSetNyquistZone does the same for an ADC block.</t>
  </si>
  <si>
    <t xml:space="preserve">FW-053</t>
  </si>
  <si>
    <t xml:space="preserve">HW_DDS_H2C_SWITCH_ID</t>
  </si>
  <si>
    <t xml:space="preserve">#define HW_DDS_H2C_SWITCH_ID XPAR_DDS_H2C_SWITCH_BASEADDR</t>
  </si>
  <si>
    <t xml:space="preserve">Lookup handle for the DDS/host 2-to-1 AXIS switch: XPAR_DDS_H2C_SWITCH_BASEADDR under SDT, XPAR_DDS_H2C_SWITCH_DEVICE_ID in the classic flow.</t>
  </si>
  <si>
    <t xml:space="preserve">main.c init functions</t>
  </si>
  <si>
    <t xml:space="preserve">Other PL handles resolved the same way: HW_AXIS_SWITCH_ID (ADC_CHANNEL_SWITCH_ADC_SWITCH), HW_ADC_SELECT_GPIO_ID (ADC_CHANNEL_SELECT), HW_DYN_CLK_GPIO_ID (AXI_GPIO_DYNAMIC_CLK), HW_CLK_COUNTER_GPIO_ID (CLOCK_COUNTER), HW_DDS_GPIO_ID (AXI_GPIO_DDS1DDS2), HW_SYSREF_GPIO_ID (SYSREF_CONTROLL); PS: HW_GPIOPS_ID, HW_SCUGIC_ID.</t>
  </si>
  <si>
    <t xml:space="preserve">01_Source/platform_ids.h</t>
  </si>
  <si>
    <t xml:space="preserve">FW-054</t>
  </si>
  <si>
    <t xml:space="preserve">HW_QSPI_LMK_ID</t>
  </si>
  <si>
    <t xml:space="preserve">#define HW_QSPI_LMK_ID XPAR_QUAD_SPI_LMK_BASEADDR</t>
  </si>
  <si>
    <t xml:space="preserve">Lookup handle for the AXI SPI to LMK04828: XPAR_QUAD_SPI_LMK_BASEADDR under SDT, XPAR_QUAD_SPI_LMK_DEVICE_ID in the classic flow.</t>
  </si>
  <si>
    <t xml:space="preserve">HW_QSPI_ADC_LMX_ID / HW_QSPI_DAC_LMX_ID resolve the same way for the two LMX2594 SPI instances.</t>
  </si>
  <si>
    <t xml:space="preserve">FW-055</t>
  </si>
  <si>
    <t xml:space="preserve">HW_DAC_SW_SI_HOST</t>
  </si>
  <si>
    <t xml:space="preserve">#define HW_DAC_SW_SI_HOST 0U</t>
  </si>
  <si>
    <t xml:space="preserve">DDS_H2C switch slave port carrying the host / GNU Radio H2C stream (S00_AXIS).</t>
  </si>
  <si>
    <t xml:space="preserve">Dac_Source_To_Si, Get_Dds_H2c_Routing, menu 16</t>
  </si>
  <si>
    <t xml:space="preserve">From design_1.hwh per header comment; only place to change if rewired.</t>
  </si>
  <si>
    <t xml:space="preserve">FW-056</t>
  </si>
  <si>
    <t xml:space="preserve">HW_DAC_SW_SI_DDS</t>
  </si>
  <si>
    <t xml:space="preserve">#define HW_DAC_SW_SI_DDS 1U</t>
  </si>
  <si>
    <t xml:space="preserve">DDS_H2C switch slave port carrying the DDS compiler (S01_AXIS).</t>
  </si>
  <si>
    <t xml:space="preserve">M00_AXIS -&gt; axis_broadcaster_1 -&gt; DAC tiles.</t>
  </si>
  <si>
    <t xml:space="preserve">FW-057</t>
  </si>
  <si>
    <t xml:space="preserve">HW_CLK_WIZ_ADC_BASE</t>
  </si>
  <si>
    <t xml:space="preserve">#define HW_CLK_WIZ_ADC_BASE XPAR_CLK_WIZ_ADC_BASEADDR</t>
  </si>
  <si>
    <t xml:space="preserve">Raw AXI-Lite base of the ADC stream Clocking Wizard (XPAR_CLK_WIZ_ADC_BASEADDR, both flows).</t>
  </si>
  <si>
    <t xml:space="preserve">FW-058</t>
  </si>
  <si>
    <t xml:space="preserve">HW_CLK_WIZ_DAC_BASE</t>
  </si>
  <si>
    <t xml:space="preserve">#define HW_CLK_WIZ_DAC_BASE XPAR_CLK_WIZ_DAC_BASEADDR</t>
  </si>
  <si>
    <t xml:space="preserve">Raw AXI-Lite base of the DAC stream Clocking Wizard (XPAR_CLK_WIZ_DAC_BASEADDR).</t>
  </si>
  <si>
    <t xml:space="preserve">FW-059</t>
  </si>
  <si>
    <t xml:space="preserve">HW_RFDC_ID</t>
  </si>
  <si>
    <t xml:space="preserve">#define HW_RFDC_ID XPAR_XRFDC_0_BASEADDR</t>
  </si>
  <si>
    <t xml:space="preserve">RFdc lookup handle: XPAR_XRFDC_0_BASEADDR or XPAR_USP_RF_DATA_CONVERTER_0_BASEADDR under SDT (#error if neither), XPAR_XRFDC_0_DEVICE_ID classic.</t>
  </si>
  <si>
    <t xml:space="preserve">XRFdc_LookupConfig in main</t>
  </si>
  <si>
    <t xml:space="preserve">FW-060</t>
  </si>
  <si>
    <t xml:space="preserve">HW_RFDC_BASE</t>
  </si>
  <si>
    <t xml:space="preserve">#define HW_RFDC_BASE XPAR_XRFDC_0_BASEADDR</t>
  </si>
  <si>
    <t xml:space="preserve">Real RFdc aperture base for raw register access, in both flows.</t>
  </si>
  <si>
    <t xml:space="preserve">RFDC_BASE (main.h), rfdc_cmd.c, cmd_func_mem.c, main (IP version read)</t>
  </si>
  <si>
    <t xml:space="preserve">FW-061</t>
  </si>
  <si>
    <t xml:space="preserve">adcGetLinkCoupling</t>
  </si>
  <si>
    <t xml:space="preserve">void adcGetLinkCoupling (u32 *cmdVals)</t>
  </si>
  <si>
    <t xml:space="preserve">Prints link coupling (1 = AC, 0 = DC) of every enabled ADC block.</t>
  </si>
  <si>
    <t xml:space="preserve">CLI command 'adcGetLinkCoupling' (table line 50). CLI command handler registered via a cli_*_init() table; main.c in this tree does not call cli_init/cmdParseAndRun, so it is reachable only if the CLI loop is wired in.</t>
  </si>
  <si>
    <t xml:space="preserve">01_Source/adc_LinkCoupling.c</t>
  </si>
  <si>
    <t xml:space="preserve">FW-062</t>
  </si>
  <si>
    <t xml:space="preserve">dacwrite</t>
  </si>
  <si>
    <t xml:space="preserve">void dacwrite(u32 *cmdVals)</t>
  </si>
  <si>
    <t xml:space="preserve">Writes a 32-bit value at RFDC_BASE + offset (offset &lt;= 0x23FFF).</t>
  </si>
  <si>
    <t xml:space="preserve">cmdVals[0]=offset, [1]=value</t>
  </si>
  <si>
    <t xml:space="preserve">addr = RFDC_BASE + offset</t>
  </si>
  <si>
    <t xml:space="preserve">CLI command 'rfwrite' (table line 47). CLI command handler registered via a cli_*_init() table; main.c in this tree does not call cli_init/cmdParseAndRun, so it is reachable only if the CLI loop is wired in. Siblings: rfread (dacread) reads RFDC_BASE+offset; memwrite/memread access absolute addresses.</t>
  </si>
  <si>
    <t xml:space="preserve">01_Source/cmd_func_mem.c</t>
  </si>
  <si>
    <t xml:space="preserve">FW-063</t>
  </si>
  <si>
    <t xml:space="preserve">Change_Sampling_Rate_All_Tiles</t>
  </si>
  <si>
    <t xml:space="preserve">int Change_Sampling_Rate_All_Tiles(XRFdc *RFdcInstPtr, int is_adc, double new_sampling_rate_mhz)</t>
  </si>
  <si>
    <t xml:space="preserve">Changes the ADC or DAC sample rate: stops FIFOs (and ADC AXIS switch), programs the master tile internal PLL from a 300 MHz reference, sets slave tiles to external clock, reads back the achieved rate, updates stream clock and Nyquist zone, waits 500 ms, restores FIFOs and routing.</t>
  </si>
  <si>
    <t xml:space="preserve">RFdcInstPtr; is_adc; new_sampling_rate_mhz</t>
  </si>
  <si>
    <t xml:space="preserve">XST_SUCCESS / XST_FAILURE (master PLL failure; datapath restored before return)</t>
  </si>
  <si>
    <t xml:space="preserve">achieved_mhz = RefClkFreq*FeedbackDivider/OutputDivider; global_*_gsps = achieved_mhz/1000</t>
  </si>
  <si>
    <t xml:space="preserve">Master tile: ADC 1, DAC 2. Uses force_adc_zone/force_dac_zone override if non-zero, else Update_Nyquist_Zone.</t>
  </si>
  <si>
    <t xml:space="preserve">FW-064</t>
  </si>
  <si>
    <t xml:space="preserve">Update_Datapath_Rate</t>
  </si>
  <si>
    <t xml:space="preserve">int Update_Datapath_Rate(XRFdc *RFdcInstPtr, int is_adc, int target_tile, int target_block, u32 New_Factor)</t>
  </si>
  <si>
    <t xml:space="preserve">Sets the decimation (ADC) or interpolation (DAC) factor of one block with FIFO stop/start, issues a tile update event and refreshes the stream clock.</t>
  </si>
  <si>
    <t xml:space="preserve">RFdcInstPtr; is_adc; target_tile; target_block; New_Factor</t>
  </si>
  <si>
    <t xml:space="preserve">menu 1-4; pcie_apply PCIE_EVT_DECIMATION / PCIE_EVT_INTERPOLATION (rate_set_block) and PCIE_EVT_DEFAULTS</t>
  </si>
  <si>
    <t xml:space="preserve">FW-065</t>
  </si>
  <si>
    <t xml:space="preserve">is_valid_adc_factor</t>
  </si>
  <si>
    <t xml:space="preserve">int is_valid_adc_factor(u32 factor)</t>
  </si>
  <si>
    <t xml:space="preserve">Validates an ADC decimation factor.</t>
  </si>
  <si>
    <t xml:space="preserve">1 if factor in {4,5,6,8,10,12,16,20,24,40}, else 0</t>
  </si>
  <si>
    <t xml:space="preserve">menu 1, 2</t>
  </si>
  <si>
    <t xml:space="preserve">FW-066</t>
  </si>
  <si>
    <t xml:space="preserve">is_valid_dac_factor</t>
  </si>
  <si>
    <t xml:space="preserve">int is_valid_dac_factor(u32 factor)</t>
  </si>
  <si>
    <t xml:space="preserve">Validates a DAC interpolation factor.</t>
  </si>
  <si>
    <t xml:space="preserve">1 if factor in {2,3,4,5,6,8,10,12,16,20,24,40}, else 0</t>
  </si>
  <si>
    <t xml:space="preserve">menu 3, 4</t>
  </si>
  <si>
    <t xml:space="preserve">FW-067</t>
  </si>
  <si>
    <t xml:space="preserve">Print_Current_Rates</t>
  </si>
  <si>
    <t xml:space="preserve">void Print_Current_Rates(XRFdc *RFdcInstPtr)</t>
  </si>
  <si>
    <t xml:space="preserve">Prints the decimation factor of every enabled ADC block and the interpolation factor of every enabled DAC block.</t>
  </si>
  <si>
    <t xml:space="preserve">main Step 3, menu 5</t>
  </si>
  <si>
    <t xml:space="preserve">FW-068</t>
  </si>
  <si>
    <t xml:space="preserve">adcDumpStatus</t>
  </si>
  <si>
    <t xml:space="preserve">void adcDumpStatus(u32 *cmdVals)</t>
  </si>
  <si>
    <t xml:space="preserve">Prints per-block ADC status: block status, Nyquist zone, mixer, QMC, coarse delay and decimation.</t>
  </si>
  <si>
    <t xml:space="preserve">CLI command 'adcDumpStatus' (table line 61). CLI command handler registered via a cli_*_init() table; main.c in this tree does not call cli_init/cmdParseAndRun, so it is reachable only if the CLI loop is wired in. Sibling dacDumpStatus prints the DAC equivalent (adds interpolation, fabric words, decoder mode); adcDumpRegs/dacDumpRegs call XRFdc_DumpRegs; dacCurrent reports DAC output current.</t>
  </si>
  <si>
    <t xml:space="preserve">FW-069</t>
  </si>
  <si>
    <t xml:space="preserve">adcGetDecimation</t>
  </si>
  <si>
    <t xml:space="preserve">void adcGetDecimation(u32 *cmdVals)</t>
  </si>
  <si>
    <t xml:space="preserve">Prints the decimation factor of every enabled ADC block.</t>
  </si>
  <si>
    <t xml:space="preserve">CLI command 'adcDecimation' (table line 48). CLI command handler registered via a cli_*_init() table; main.c in this tree does not call cli_init/cmdParseAndRun, so it is reachable only if the CLI loop is wired in. Sibling dacGetInterpolation ('dacInterpolation') prints DAC interpolation factors.</t>
  </si>
  <si>
    <t xml:space="preserve">01_Source/rfdc_interpolation_decimation.c</t>
  </si>
  <si>
    <t xml:space="preserve">FW-070</t>
  </si>
  <si>
    <t xml:space="preserve">rfdcPoweronStatus</t>
  </si>
  <si>
    <t xml:space="preserve">void rfdcPoweronStatus (u32 *cmdVals)</t>
  </si>
  <si>
    <t xml:space="preserve">Prints the power-on sequence step register of every enabled, ready DAC and ADC tile.</t>
  </si>
  <si>
    <t xml:space="preserve">reg = RFDC_BASE + 0x0C + 0x04000 (DAC) / 0x14000 (ADC) + tile*0x4000</t>
  </si>
  <si>
    <t xml:space="preserve">CLI command 'rfdcPoweronStatus' (table line 48). CLI command handler registered via a cli_*_init() table; main.c in this tree does not call cli_init/cmdParseAndRun, so it is reachable only if the CLI loop is wired in.</t>
  </si>
  <si>
    <t xml:space="preserve">01_Source/rfdc_poweron_status.c</t>
  </si>
  <si>
    <t xml:space="preserve">FW-071</t>
  </si>
  <si>
    <t xml:space="preserve">cmdParseAndRun</t>
  </si>
  <si>
    <t xml:space="preserve">int cmdParseAndRun( void )</t>
  </si>
  <si>
    <t xml:space="preserve">Reads a command line, looks up the command and invokes its handler with parsed u32 arguments.</t>
  </si>
  <si>
    <t xml:space="preserve">XST_SUCCESS; XST_FAILURE on wrong argument count or unknown command; XST_NO_DATA if no line</t>
  </si>
  <si>
    <t xml:space="preserve">not called from main.c (main uses its own numbered menu)</t>
  </si>
  <si>
    <t xml:space="preserve">Framework: cli_init registers built-ins (#, exit, ?); cli_addCmds appends tables; getAndParseInput reads the line.</t>
  </si>
  <si>
    <t xml:space="preserve">01_Source/cli.c</t>
  </si>
  <si>
    <t xml:space="preserve">FW-072</t>
  </si>
  <si>
    <t xml:space="preserve">MenuReadLine</t>
  </si>
  <si>
    <t xml:space="preserve">static int MenuReadLine(char *buf, int len)</t>
  </si>
  <si>
    <t xml:space="preserve">Reads one console line character-by-character from the PS UART while calling PcieCfg_Poll() between keystrokes, so PCIe commands are serviced while the menu waits.</t>
  </si>
  <si>
    <t xml:space="preserve">buf; len (incl. NUL)</t>
  </si>
  <si>
    <t xml:space="preserve">number of characters stored; buf NUL-terminated</t>
  </si>
  <si>
    <t xml:space="preserve">every menu prompt in main</t>
  </si>
  <si>
    <t xml:space="preserve">Handles CR/LF (swallows empty line terminator), backspace/DEL, echoes printable chars; redraws the line after a handled PCIe command.</t>
  </si>
  <si>
    <t xml:space="preserve">FW-073</t>
  </si>
  <si>
    <t xml:space="preserve">Menu option 1</t>
  </si>
  <si>
    <t xml:space="preserve">1. Change ADC Decimation (ALL active blocks)</t>
  </si>
  <si>
    <t xml:space="preserve">Change ADC decimation for all enabled blocks (re-prompts until valid), then re-runs ADC MTS and re-applies the ADC NCO.</t>
  </si>
  <si>
    <t xml:space="preserve">operator via PS UART0 115200 8N1</t>
  </si>
  <si>
    <t xml:space="preserve">Calls: Update_Datapath_Rate(ADC) per block, XRFdc_MultiConverter_Init/Sync(ADC), Set_NCO_Freq_MTS_Safe(ADC). Menu text at line 1360.</t>
  </si>
  <si>
    <t xml:space="preserve">FW-074</t>
  </si>
  <si>
    <t xml:space="preserve">Menu option 2</t>
  </si>
  <si>
    <t xml:space="preserve">2. Change ADC Decimation (Individual block)</t>
  </si>
  <si>
    <t xml:space="preserve">Change ADC decimation for one tile/block, then re-runs ADC MTS and re-applies the ADC NCO.</t>
  </si>
  <si>
    <t xml:space="preserve">Calls: Update_Datapath_Rate, XRFdc_MultiConverter_Sync, Set_NCO_Freq_MTS_Safe. Menu text at line 1361.</t>
  </si>
  <si>
    <t xml:space="preserve">FW-075</t>
  </si>
  <si>
    <t xml:space="preserve">Menu option 3</t>
  </si>
  <si>
    <t xml:space="preserve">3. Change DAC Interpolation (ALL active blocks)</t>
  </si>
  <si>
    <t xml:space="preserve">Change DAC interpolation for all enabled blocks, then re-runs DAC MTS and re-applies the DAC NCO.</t>
  </si>
  <si>
    <t xml:space="preserve">Calls: Update_Datapath_Rate(DAC), XRFdc_MultiConverter_Sync(DAC), Set_NCO_Freq_MTS_Safe(DAC). Menu text at line 1362.</t>
  </si>
  <si>
    <t xml:space="preserve">FW-076</t>
  </si>
  <si>
    <t xml:space="preserve">Menu option 4</t>
  </si>
  <si>
    <t xml:space="preserve">4. Change DAC Interpolation (Individual block)</t>
  </si>
  <si>
    <t xml:space="preserve">Change DAC interpolation for one tile/block, then re-runs DAC MTS and re-applies the DAC NCO.</t>
  </si>
  <si>
    <t xml:space="preserve">Calls: Update_Datapath_Rate, XRFdc_MultiConverter_Sync, Set_NCO_Freq_MTS_Safe. Menu text at line 1363.</t>
  </si>
  <si>
    <t xml:space="preserve">FW-077</t>
  </si>
  <si>
    <t xml:space="preserve">Menu option 5</t>
  </si>
  <si>
    <t xml:space="preserve">5. Print Current Decimation/Interpolation Rates</t>
  </si>
  <si>
    <t xml:space="preserve">Print current decimation/interpolation rates.</t>
  </si>
  <si>
    <t xml:space="preserve">Calls: Print_Current_Rates. Menu text at line 1364.</t>
  </si>
  <si>
    <t xml:space="preserve">FW-078</t>
  </si>
  <si>
    <t xml:space="preserve">Menu option 6</t>
  </si>
  <si>
    <t xml:space="preserve">6. Set DDS Sine Wave Frequency</t>
  </si>
  <si>
    <t xml:space="preserve">Set DDS sine-wave frequency (MHz).</t>
  </si>
  <si>
    <t xml:space="preserve">Calls: Set_Dds_Frequency. Menu text at line 1365.</t>
  </si>
  <si>
    <t xml:space="preserve">FW-079</t>
  </si>
  <si>
    <t xml:space="preserve">Menu option 7</t>
  </si>
  <si>
    <t xml:space="preserve">7. Change ADC NCO Frequency (MTS SAFE - ALL channels)</t>
  </si>
  <si>
    <t xml:space="preserve">Set ADC NCO frequency for all channels (MTS safe); stored in current_adc_nco.</t>
  </si>
  <si>
    <t xml:space="preserve">Calls: Set_NCO_Freq_MTS_Safe(ADC). Menu text at line 1366.</t>
  </si>
  <si>
    <t xml:space="preserve">FW-080</t>
  </si>
  <si>
    <t xml:space="preserve">Menu option 8</t>
  </si>
  <si>
    <t xml:space="preserve">8. Change DAC NCO Frequency (MTS SAFE - ALL channels)</t>
  </si>
  <si>
    <t xml:space="preserve">Set DAC NCO frequency for all channels (MTS safe); stored in current_dac_nco.</t>
  </si>
  <si>
    <t xml:space="preserve">Calls: Set_NCO_Freq_MTS_Safe(DAC). Menu text at line 1367.</t>
  </si>
  <si>
    <t xml:space="preserve">FW-081</t>
  </si>
  <si>
    <t xml:space="preserve">Menu option 9</t>
  </si>
  <si>
    <t xml:space="preserve">9. Select ADC Channel Output Routing (AXIS Switch)</t>
  </si>
  <si>
    <t xml:space="preserve">Select ADC AXIS switch routing: input channel 0-7 for each of outputs 0-3.</t>
  </si>
  <si>
    <t xml:space="preserve">Calls: Set_Adc_Channel_Routing. Menu text at line 1368.</t>
  </si>
  <si>
    <t xml:space="preserve">FW-082</t>
  </si>
  <si>
    <t xml:space="preserve">Menu option 10</t>
  </si>
  <si>
    <t xml:space="preserve">10. Select ADC Channel Output Routing (PL GPIO Logic)</t>
  </si>
  <si>
    <t xml:space="preserve">Select PL GPIO channel routing mode 1-3.</t>
  </si>
  <si>
    <t xml:space="preserve">Calls: Set_PL_Gpio_Routing. Menu text at line 1369.</t>
  </si>
  <si>
    <t xml:space="preserve">FW-083</t>
  </si>
  <si>
    <t xml:space="preserve">Menu option 11</t>
  </si>
  <si>
    <t xml:space="preserve">11. Measure Stream Clocks &amp; Input PL Clock</t>
  </si>
  <si>
    <t xml:space="preserve">Measure stream clocks and PL input clock.</t>
  </si>
  <si>
    <t xml:space="preserve">Calls: Measure_Stream_Clocks. Menu text at line 1370.</t>
  </si>
  <si>
    <t xml:space="preserve">FW-084</t>
  </si>
  <si>
    <t xml:space="preserve">Menu option 12</t>
  </si>
  <si>
    <t xml:space="preserve">12. Set QMC Gain for ALL active ADC &amp; DAC blocks (Max 1.9999)</t>
  </si>
  <si>
    <t xml:space="preserve">Set QMC gain (clamped 0.0-1.9999) with EnableGain=1 on all enabled ADC and DAC blocks, with tile update event.</t>
  </si>
  <si>
    <t xml:space="preserve">Calls: XRFdc_GetQMCSettings, XRFdc_SetQMCSettings, XRFdc_UpdateEvent. Menu text at line 1371.</t>
  </si>
  <si>
    <t xml:space="preserve">FW-085</t>
  </si>
  <si>
    <t xml:space="preserve">Menu option 13</t>
  </si>
  <si>
    <t xml:space="preserve">13. Change Sampling Rate (Internal PLL)</t>
  </si>
  <si>
    <t xml:space="preserve">Change ADC or DAC sampling rate via internal PLL (MHz); saves/restores QMC gain, verifies PLL, restores ADC routing, re-runs MTS and NCO for the domain.</t>
  </si>
  <si>
    <t xml:space="preserve">Calls: Save_Gain_State, Change_Sampling_Rate_All_Tiles, Restore_Gain_State, Verify_Actual_Sampling_Rate, Set_Adc_Channel_Routing, XRFdc_MultiConverter_Sync, Set_NCO_Freq_MTS_Safe. Menu text at line 1372.</t>
  </si>
  <si>
    <t xml:space="preserve">FW-086</t>
  </si>
  <si>
    <t xml:space="preserve">Menu option 14</t>
  </si>
  <si>
    <t xml:space="preserve">14. Set Nyquist Zone Manually (1 or 2)</t>
  </si>
  <si>
    <t xml:space="preserve">Force Nyquist zone 1 or 2 for ADC or DAC; recorded in force_adc_zone / force_dac_zone for later rate changes.</t>
  </si>
  <si>
    <t xml:space="preserve">Calls: Set_Nyquist_Zone_Manual. Menu text at line 1373.</t>
  </si>
  <si>
    <t xml:space="preserve">FW-087</t>
  </si>
  <si>
    <t xml:space="preserve">Menu option 15</t>
  </si>
  <si>
    <t xml:space="preserve">15. Set ADC DSA Attenuation</t>
  </si>
  <si>
    <t xml:space="preserve">Set ADC DSA attenuation for one tile/block (clamped 0.0-27.0 dB).</t>
  </si>
  <si>
    <t xml:space="preserve">Calls: XRFdc_GetDSA, XRFdc_SetDSA. Menu text at line 1374.</t>
  </si>
  <si>
    <t xml:space="preserve">FW-088</t>
  </si>
  <si>
    <t xml:space="preserve">Menu option 16</t>
  </si>
  <si>
    <t xml:space="preserve">16. Select DAC Input Source (0 = DDS, 1 = Host/GNU Radio stream)</t>
  </si>
  <si>
    <t xml:space="preserve">Select DAC input source 0 = DDS, 1 = Host/GNU Radio stream; reports the routing read back from the switch.</t>
  </si>
  <si>
    <t xml:space="preserve">Calls: Set_Dds_H2c_Routing, Get_Dds_H2c_Routing, Dac_Source_Name. Menu text at line 1375.</t>
  </si>
  <si>
    <t xml:space="preserve">FW-089</t>
  </si>
  <si>
    <t xml:space="preserve">Menu option 17</t>
  </si>
  <si>
    <t xml:space="preserve">17. PCIe interface diagnostics</t>
  </si>
  <si>
    <t xml:space="preserve">PCIe interface diagnostics.</t>
  </si>
  <si>
    <t xml:space="preserve">Calls: PcieCfg_Diagnostics. Menu text at line 1376.</t>
  </si>
  <si>
    <t xml:space="preserve">FW-090</t>
  </si>
  <si>
    <t xml:space="preserve">Menu option 18</t>
  </si>
  <si>
    <t xml:space="preserve">18. Set PCIe control base address (debug)</t>
  </si>
  <si>
    <t xml:space="preserve">Set PCIe control base address (debug, hex; 0 cancels) then run diagnostics.</t>
  </si>
  <si>
    <t xml:space="preserve">Calls: PcieCfg_GetBase, PcieCfg_SetBase, PcieCfg_Diagnostics. Menu text at line 1377.</t>
  </si>
  <si>
    <t xml:space="preserve">PCIe Control - API reference</t>
  </si>
  <si>
    <t xml:space="preserve">103 entries. Source: iW-ASCEJ-01-SF-R1.0-REL1.0/iW-ASCEJ-01-SC-R1.0-REL1.0 and iW-ASCEJ-01-FF-R1.0-REL1.0 of release REL1.0 (1.2.5).</t>
  </si>
  <si>
    <t xml:space="preserve">PCIE-001</t>
  </si>
  <si>
    <t xml:space="preserve">PCIe control interface</t>
  </si>
  <si>
    <t xml:space="preserve">PCIE_CFG_ABI</t>
  </si>
  <si>
    <t xml:space="preserve">#define PCIE_CFG_ABI 4</t>
  </si>
  <si>
    <t xml:space="preserve">PCIe command ABI version of pcie_cfg.c (4: readback + defaults implemented). History in comment: 1 base, 2 +extended, 3 +readback/defaults.</t>
  </si>
  <si>
    <t xml:space="preserve">pcie_readback (PCIE_RB_ABI), PcieCfg_Init banner</t>
  </si>
  <si>
    <t xml:space="preserve">01_Source/pcie_cfg.h</t>
  </si>
  <si>
    <t xml:space="preserve">PCIE-002</t>
  </si>
  <si>
    <t xml:space="preserve">PCIE_CAP_BASIC</t>
  </si>
  <si>
    <t xml:space="preserve">#define PCIE_CAP_BASIC (1U &lt;&lt; 0)</t>
  </si>
  <si>
    <t xml:space="preserve">Events 0x001-0x005.</t>
  </si>
  <si>
    <t xml:space="preserve">PCIE_CFG_CAPABILITIES; reported via PCIE_RB_CAPS</t>
  </si>
  <si>
    <t xml:space="preserve">PCIE-003</t>
  </si>
  <si>
    <t xml:space="preserve">PCIE_CAP_EXTENDED</t>
  </si>
  <si>
    <t xml:space="preserve">#define PCIE_CAP_EXTENDED (1U &lt;&lt; 1)</t>
  </si>
  <si>
    <t xml:space="preserve">Extended events 0x010-0x018.</t>
  </si>
  <si>
    <t xml:space="preserve">PCIE-004</t>
  </si>
  <si>
    <t xml:space="preserve">PCIE_CAP_STARTSTOP</t>
  </si>
  <si>
    <t xml:space="preserve">#define PCIE_CAP_STARTSTOP (1U &lt;&lt; 2)</t>
  </si>
  <si>
    <t xml:space="preserve">Events 0x020-0x022.</t>
  </si>
  <si>
    <t xml:space="preserve">PCIE-005</t>
  </si>
  <si>
    <t xml:space="preserve">PCIE_CAP_READBACK</t>
  </si>
  <si>
    <t xml:space="preserve">#define PCIE_CAP_READBACK (1U &lt;&lt; 3)</t>
  </si>
  <si>
    <t xml:space="preserve">READBACK event 0x0F1.</t>
  </si>
  <si>
    <t xml:space="preserve">PCIE-006</t>
  </si>
  <si>
    <t xml:space="preserve">PCIE_CAP_DEFAULTS</t>
  </si>
  <si>
    <t xml:space="preserve">#define PCIE_CAP_DEFAULTS (1U &lt;&lt; 4)</t>
  </si>
  <si>
    <t xml:space="preserve">DEFAULTS event 0x023.</t>
  </si>
  <si>
    <t xml:space="preserve">PCIE-007</t>
  </si>
  <si>
    <t xml:space="preserve">PCIE_CAP_STATUS_IN_ACK</t>
  </si>
  <si>
    <t xml:space="preserve">#define PCIE_CAP_STATUS_IN_ACK (1U &lt;&lt; 5)</t>
  </si>
  <si>
    <t xml:space="preserve">Result code carried in the ACK word.</t>
  </si>
  <si>
    <t xml:space="preserve">PCIE-008</t>
  </si>
  <si>
    <t xml:space="preserve">PCIE_CFG_CAPABILITIES</t>
  </si>
  <si>
    <t xml:space="preserve">#define PCIE_CFG_CAPABILITIES (PCIE_CAP_BASIC | PCIE_CAP_EXTENDED | ...</t>
  </si>
  <si>
    <t xml:space="preserve">Capability bitmask this firmware reports: BASIC|EXTENDED|STARTSTOP|READBACK|DEFAULTS|STATUS_IN_ACK|DAC_SOURCE_MAPPED.</t>
  </si>
  <si>
    <t xml:space="preserve">bits 0..6 all set</t>
  </si>
  <si>
    <t xml:space="preserve">pcie_readback (PCIE_RB_CAPS), PcieCfg_Init, PcieCfg_Diagnostics</t>
  </si>
  <si>
    <t xml:space="preserve">PCIE-009</t>
  </si>
  <si>
    <t xml:space="preserve">PCIE_ABI_REQUIRED</t>
  </si>
  <si>
    <t xml:space="preserve">#define PCIE_ABI_REQUIRED 4U</t>
  </si>
  <si>
    <t xml:space="preserve">ABI a host must find to use readback and defaults.</t>
  </si>
  <si>
    <t xml:space="preserve">host tools / GUI</t>
  </si>
  <si>
    <t xml:space="preserve">01_Source/pcie_regs.h</t>
  </si>
  <si>
    <t xml:space="preserve">PCIE-010</t>
  </si>
  <si>
    <t xml:space="preserve">PCIE_CAP_DAC_SOURCE_MAPPED</t>
  </si>
  <si>
    <t xml:space="preserve">#define PCIE_CAP_DAC_SOURCE_MAPPED (1U &lt;&lt; 6)</t>
  </si>
  <si>
    <t xml:space="preserve">Bit 6: DAC_SOURCE payload/readback are logical PCIE_DAC_SRC_* values read from the switch (firmware 1.2.1+); a host seeing it clear must invert the value.</t>
  </si>
  <si>
    <t xml:space="preserve">PCIE_CFG_CAPABILITIES; host/GUI capability check</t>
  </si>
  <si>
    <t xml:space="preserve">PCIE-011</t>
  </si>
  <si>
    <t xml:space="preserve">PCIE_DAC_SRC_DDS</t>
  </si>
  <si>
    <t xml:space="preserve">#define PCIE_DAC_SRC_DDS 0U</t>
  </si>
  <si>
    <t xml:space="preserve">Logical DAC source 0: internal DDS tone (switch S01_AXIS per header).</t>
  </si>
  <si>
    <t xml:space="preserve">Set/Get_Dds_H2c_Routing, Dac_Source_Name, PCIE_EVT_DAC_SOURCE, PCIE_RB_DAC_SOURCE</t>
  </si>
  <si>
    <t xml:space="preserve">PCIE-012</t>
  </si>
  <si>
    <t xml:space="preserve">PCIE_DAC_SRC_HOST</t>
  </si>
  <si>
    <t xml:space="preserve">#define PCIE_DAC_SRC_HOST 1U</t>
  </si>
  <si>
    <t xml:space="preserve">Logical DAC source 1: host/GNU Radio H2C stream (switch S00_AXIS per header).</t>
  </si>
  <si>
    <t xml:space="preserve">PCIE-013</t>
  </si>
  <si>
    <t xml:space="preserve">PCIE_DAC_SRC_NONE</t>
  </si>
  <si>
    <t xml:space="preserve">#define PCIE_DAC_SRC_NONE 0xFFU</t>
  </si>
  <si>
    <t xml:space="preserve">Readback-only 0xFF: no switch input routed.</t>
  </si>
  <si>
    <t xml:space="preserve">PCIE-014</t>
  </si>
  <si>
    <t xml:space="preserve">PCIE_DEF_ADC_FS_MHZ</t>
  </si>
  <si>
    <t xml:space="preserve">#define PCIE_DEF_ADC_FS_MHZ 4800U</t>
  </si>
  <si>
    <t xml:space="preserve">Boot ADC sampling rate.</t>
  </si>
  <si>
    <t xml:space="preserve">pcie_apply PCIE_EVT_DEFAULTS</t>
  </si>
  <si>
    <t xml:space="preserve">PCIE-015</t>
  </si>
  <si>
    <t xml:space="preserve">PCIE_DEF_DAC_FS_MHZ</t>
  </si>
  <si>
    <t xml:space="preserve">#define PCIE_DEF_DAC_FS_MHZ 9600U</t>
  </si>
  <si>
    <t xml:space="preserve">Boot DAC sampling rate.</t>
  </si>
  <si>
    <t xml:space="preserve">PCIE-016</t>
  </si>
  <si>
    <t xml:space="preserve">PCIE_DEF_DECIMATION</t>
  </si>
  <si>
    <t xml:space="preserve">#define PCIE_DEF_DECIMATION 24U</t>
  </si>
  <si>
    <t xml:space="preserve">Boot ADC decimation factor.</t>
  </si>
  <si>
    <t xml:space="preserve">PCIE-017</t>
  </si>
  <si>
    <t xml:space="preserve">PCIE_DEF_INTERPOLATION</t>
  </si>
  <si>
    <t xml:space="preserve">#define PCIE_DEF_INTERPOLATION 24U</t>
  </si>
  <si>
    <t xml:space="preserve">Boot DAC interpolation factor.</t>
  </si>
  <si>
    <t xml:space="preserve">PCIE-018</t>
  </si>
  <si>
    <t xml:space="preserve">PCIE_DEF_NCO_MHZ</t>
  </si>
  <si>
    <t xml:space="preserve">#define PCIE_DEF_NCO_MHZ 3100</t>
  </si>
  <si>
    <t xml:space="preserve">Boot ADC and DAC NCO frequency.</t>
  </si>
  <si>
    <t xml:space="preserve">PCIE-019</t>
  </si>
  <si>
    <t xml:space="preserve">PCIE_DEF_DDS_MHZ</t>
  </si>
  <si>
    <t xml:space="preserve">#define PCIE_DEF_DDS_MHZ 10</t>
  </si>
  <si>
    <t xml:space="preserve">Boot DDS frequency.</t>
  </si>
  <si>
    <t xml:space="preserve">PCIE-020</t>
  </si>
  <si>
    <t xml:space="preserve">PCIE_DEF_ADC_DSA_DB10</t>
  </si>
  <si>
    <t xml:space="preserve">#define PCIE_DEF_ADC_DSA_DB10 0U</t>
  </si>
  <si>
    <t xml:space="preserve">Boot ADC DSA attenuation.</t>
  </si>
  <si>
    <t xml:space="preserve">dB x10</t>
  </si>
  <si>
    <t xml:space="preserve">PCIE-021</t>
  </si>
  <si>
    <t xml:space="preserve">PCIE_DEF_DAC_VOP_UA</t>
  </si>
  <si>
    <t xml:space="preserve">#define PCIE_DEF_DAC_VOP_UA 32000U</t>
  </si>
  <si>
    <t xml:space="preserve">Boot DAC VOP.</t>
  </si>
  <si>
    <t xml:space="preserve">pcie_apply PCIE_EVT_DEFAULTS, shadow seeds in pcie_cfg.c</t>
  </si>
  <si>
    <t xml:space="preserve">PCIE-022</t>
  </si>
  <si>
    <t xml:space="preserve">PCIE_DEF_DAC_SOURCE</t>
  </si>
  <si>
    <t xml:space="preserve">#define PCIE_DEF_DAC_SOURCE PCIE_DAC_SRC_DDS</t>
  </si>
  <si>
    <t xml:space="preserve">Boot DAC input source (PCIE_DAC_SRC_DDS).</t>
  </si>
  <si>
    <t xml:space="preserve">pcie_apply PCIE_EVT_DEFAULTS, Init_Dds_H2c_Switch</t>
  </si>
  <si>
    <t xml:space="preserve">PCIE-023</t>
  </si>
  <si>
    <t xml:space="preserve">PCIE_DEF_PL_GPIO_MODE</t>
  </si>
  <si>
    <t xml:space="preserve">#define PCIE_DEF_PL_GPIO_MODE 3U</t>
  </si>
  <si>
    <t xml:space="preserve">Boot PL GPIO channel-select mode.</t>
  </si>
  <si>
    <t xml:space="preserve">PCIE-024</t>
  </si>
  <si>
    <t xml:space="preserve">PCIE_DEF_AXIS_ROUTING</t>
  </si>
  <si>
    <t xml:space="preserve">#define PCIE_DEF_AXIS_ROUTING 0x1237U</t>
  </si>
  <si>
    <t xml:space="preserve">Boot ADC AXIS routing ch0=7 ch1=3 ch2=2 ch3=1.</t>
  </si>
  <si>
    <t xml:space="preserve">PCIE-025</t>
  </si>
  <si>
    <t xml:space="preserve">PCIE_ERR_NONE</t>
  </si>
  <si>
    <t xml:space="preserve">PCIE_ERR_NONE = 0x00</t>
  </si>
  <si>
    <t xml:space="preserve">Success.</t>
  </si>
  <si>
    <t xml:space="preserve">reported in ACK ring[23:20] (RING_ACK_ERR)</t>
  </si>
  <si>
    <t xml:space="preserve">pcie_validate / pcie_apply / pcie_report</t>
  </si>
  <si>
    <t xml:space="preserve">Enum PcieCfgError; must stay &lt;= 0x0F.</t>
  </si>
  <si>
    <t xml:space="preserve">PCIE-026</t>
  </si>
  <si>
    <t xml:space="preserve">PCIE_ERR_BAD_TARGET</t>
  </si>
  <si>
    <t xml:space="preserve">PCIE_ERR_BAD_TARGET = 0x01</t>
  </si>
  <si>
    <t xml:space="preserve">Invalid TARGET field.</t>
  </si>
  <si>
    <t xml:space="preserve">PCIE-027</t>
  </si>
  <si>
    <t xml:space="preserve">PCIE_ERR_BAD_TILE</t>
  </si>
  <si>
    <t xml:space="preserve">PCIE_ERR_BAD_TILE = 0x02</t>
  </si>
  <si>
    <t xml:space="preserve">Invalid TILE field.</t>
  </si>
  <si>
    <t xml:space="preserve">PCIE-028</t>
  </si>
  <si>
    <t xml:space="preserve">PCIE_ERR_BAD_CHANNEL</t>
  </si>
  <si>
    <t xml:space="preserve">PCIE_ERR_BAD_CHANNEL = 0x03</t>
  </si>
  <si>
    <t xml:space="preserve">Invalid CHANNEL field.</t>
  </si>
  <si>
    <t xml:space="preserve">PCIE-029</t>
  </si>
  <si>
    <t xml:space="preserve">PCIE_ERR_BAD_EVENT</t>
  </si>
  <si>
    <t xml:space="preserve">PCIE_ERR_BAD_EVENT = 0x04</t>
  </si>
  <si>
    <t xml:space="preserve">Unknown EVENT code (also how ABI&lt;4 firmware answers RB_ABI/RB_CAPS).</t>
  </si>
  <si>
    <t xml:space="preserve">PCIE-030</t>
  </si>
  <si>
    <t xml:space="preserve">PCIE_ERR_BAD_PAYLOAD</t>
  </si>
  <si>
    <t xml:space="preserve">PCIE_ERR_BAD_PAYLOAD = 0x05</t>
  </si>
  <si>
    <t xml:space="preserve">Payload out of range.</t>
  </si>
  <si>
    <t xml:space="preserve">PCIE-031</t>
  </si>
  <si>
    <t xml:space="preserve">PCIE_ERR_TARGET_EVENT_MIX</t>
  </si>
  <si>
    <t xml:space="preserve">PCIE_ERR_TARGET_EVENT_MIX = 0x06</t>
  </si>
  <si>
    <t xml:space="preserve">EVENT not valid for this TARGET (e.g. decimation aimed at a DAC).</t>
  </si>
  <si>
    <t xml:space="preserve">PCIE-032</t>
  </si>
  <si>
    <t xml:space="preserve">PCIE_ERR_BLOCK_DISABLED</t>
  </si>
  <si>
    <t xml:space="preserve">PCIE_ERR_BLOCK_DISABLED = 0x07</t>
  </si>
  <si>
    <t xml:space="preserve">No enabled tile/block matched the selection.</t>
  </si>
  <si>
    <t xml:space="preserve">PCIE-033</t>
  </si>
  <si>
    <t xml:space="preserve">PCIE_ERR_APPLY_FAILED</t>
  </si>
  <si>
    <t xml:space="preserve">PCIE_ERR_APPLY_FAILED = 0x08</t>
  </si>
  <si>
    <t xml:space="preserve">Driver/application rejected the setting.</t>
  </si>
  <si>
    <t xml:space="preserve">PCIE-034</t>
  </si>
  <si>
    <t xml:space="preserve">PCIE_ERR_TILE_B2B_UNSUPP</t>
  </si>
  <si>
    <t xml:space="preserve">PCIE_ERR_TILE_B2B_UNSUPP = 0x09</t>
  </si>
  <si>
    <t xml:space="preserve">Back-to-back tile encoding (0100) unsupported.</t>
  </si>
  <si>
    <t xml:space="preserve">PCIE-035</t>
  </si>
  <si>
    <t xml:space="preserve">PCIE_ERR_NOT_INITIALISED</t>
  </si>
  <si>
    <t xml:space="preserve">PCIE_ERR_NOT_INITIALISED = 0x0A</t>
  </si>
  <si>
    <t xml:space="preserve">Manager not initialised.</t>
  </si>
  <si>
    <t xml:space="preserve">PCIE-036</t>
  </si>
  <si>
    <t xml:space="preserve">PCIE_ERR_UNSUPPORTED</t>
  </si>
  <si>
    <t xml:space="preserve">PCIE_ERR_UNSUPPORTED = 0x0B</t>
  </si>
  <si>
    <t xml:space="preserve">Known code, not wired up.</t>
  </si>
  <si>
    <t xml:space="preserve">PcieCfg_ErrorString has no case for this code (returns 'unknown error').</t>
  </si>
  <si>
    <t xml:space="preserve">PCIE-037</t>
  </si>
  <si>
    <t xml:space="preserve">PCIE_EVT_NCO_FREQ</t>
  </si>
  <si>
    <t xml:space="preserve">#define PCIE_EVT_NCO_FREQ 0x00001U</t>
  </si>
  <si>
    <t xml:space="preserve">NCO frequency for the selected domain/tile/channel. All tiles + both channels reuses Set_NCO_Freq_MTS_Safe and updates current_*_nco; otherwise per-block nco_set_block.</t>
  </si>
  <si>
    <t xml:space="preserve">ring EVENT=0x00001; payload: magnitude in kHz, bit31 sign</t>
  </si>
  <si>
    <t xml:space="preserve">ACK in ring: RING_ACK_BUILD(err, event); NEW_CMD cleared</t>
  </si>
  <si>
    <t xml:space="preserve">mhz = magnitude/1000; negated if sign bit</t>
  </si>
  <si>
    <t xml:space="preserve">pcie_apply case at firmware/pcie_cfg.c:577</t>
  </si>
  <si>
    <t xml:space="preserve">RFdc/app calls: Set_NCO_Freq_MTS_Safe or (XRFdc_GetMixerSettings, XRFdc_SetCalFreeze, XRFdc_SetMixerSettings, XRFdc_UpdateEvent(XRFDC_EVENT_MIXER)). Validation: Targets ADC, DAC, ADC+DAC. Any magnitude accepted (0 legal).</t>
  </si>
  <si>
    <t xml:space="preserve">PCIE-038</t>
  </si>
  <si>
    <t xml:space="preserve">PCIE_EVT_NCO_PHASE</t>
  </si>
  <si>
    <t xml:space="preserve">#define PCIE_EVT_NCO_PHASE 0x00002U</t>
  </si>
  <si>
    <t xml:space="preserve">NCO phase offset per selected block (nco_set_phase_block).</t>
  </si>
  <si>
    <t xml:space="preserve">ring EVENT=0x00002; payload: integer degrees 0..180, bit31 sign</t>
  </si>
  <si>
    <t xml:space="preserve">deg = magnitude; negated if sign bit</t>
  </si>
  <si>
    <t xml:space="preserve">pcie_apply case at firmware/pcie_cfg.c:603</t>
  </si>
  <si>
    <t xml:space="preserve">RFdc/app calls: XRFdc_GetMixerSettings, XRFdc_SetMixerSettings (PhaseOffset), XRFdc_UpdateEvent. Validation: Magnitude &gt; 180 -&gt; PCIE_ERR_BAD_PAYLOAD. Max magnitude PCIE_PHASE_MAX_DEG = 180.</t>
  </si>
  <si>
    <t xml:space="preserve">PCIE-039</t>
  </si>
  <si>
    <t xml:space="preserve">PCIE_EVT_INTERPOLATION</t>
  </si>
  <si>
    <t xml:space="preserve">#define PCIE_EVT_INTERPOLATION 0x00003U</t>
  </si>
  <si>
    <t xml:space="preserve">DAC interpolation factor per selected block via Update_Datapath_Rate.</t>
  </si>
  <si>
    <t xml:space="preserve">ring EVENT=0x00003; payload: factor value (PCIE_FACTOR_*)</t>
  </si>
  <si>
    <t xml:space="preserve">pcie_apply case at firmware/pcie_cfg.c:623</t>
  </si>
  <si>
    <t xml:space="preserve">RFdc/app calls: Update_Datapath_Rate -&gt; XRFdc_SetInterpolationFactor. Validation: Target must be DAC or ADC+DAC.</t>
  </si>
  <si>
    <t xml:space="preserve">PCIE-040</t>
  </si>
  <si>
    <t xml:space="preserve">PCIE_EVT_DECIMATION</t>
  </si>
  <si>
    <t xml:space="preserve">#define PCIE_EVT_DECIMATION 0x00004U</t>
  </si>
  <si>
    <t xml:space="preserve">ADC decimation factor per selected block via Update_Datapath_Rate.</t>
  </si>
  <si>
    <t xml:space="preserve">ring EVENT=0x00004; payload: factor value (PCIE_FACTOR_*)</t>
  </si>
  <si>
    <t xml:space="preserve">pcie_apply case at firmware/pcie_cfg.c:618</t>
  </si>
  <si>
    <t xml:space="preserve">RFdc/app calls: Update_Datapath_Rate -&gt; XRFdc_SetDecimationFactor. Validation: Target must be ADC or ADC+DAC.</t>
  </si>
  <si>
    <t xml:space="preserve">PCIE-041</t>
  </si>
  <si>
    <t xml:space="preserve">PCIE_EVT_DDS_PHASE_INC</t>
  </si>
  <si>
    <t xml:space="preserve">#define PCIE_EVT_DDS_PHASE_INC 0x00005U</t>
  </si>
  <si>
    <t xml:space="preserve">Sets the PL DDS output frequency.</t>
  </si>
  <si>
    <t xml:space="preserve">ring EVENT=0x00005; payload: frequency in Hz (raw 32-bit)</t>
  </si>
  <si>
    <t xml:space="preserve">MHz = Hz/1000000 (PCIE_DDS_HZ_TO_MHZ)</t>
  </si>
  <si>
    <t xml:space="preserve">pcie_apply case at firmware/pcie_cfg.c:628</t>
  </si>
  <si>
    <t xml:space="preserve">RFdc/app calls: Set_Dds_Frequency. Validation: Target must be DDS; 0 or &gt; 75000000 rejected.</t>
  </si>
  <si>
    <t xml:space="preserve">PCIE-042</t>
  </si>
  <si>
    <t xml:space="preserve">PCIE_EVT_SAMPLING_RATE</t>
  </si>
  <si>
    <t xml:space="preserve">#define PCIE_EVT_SAMPLING_RATE 0x00010U</t>
  </si>
  <si>
    <t xml:space="preserve">Changes the ADC or DAC sample rate with the menu-13 sequence: Save_Gain_State, Change_Sampling_Rate_All_Tiles, Restore_Gain_State, ADC routing 7,3,2,1, Run_MTS_Procedure, Set_NCO_Freq_MTS_Safe.</t>
  </si>
  <si>
    <t xml:space="preserve">ring EVENT=0x00010; payload: MHz</t>
  </si>
  <si>
    <t xml:space="preserve">pcie_apply case at firmware/pcie_cfg.c:635</t>
  </si>
  <si>
    <t xml:space="preserve">RFdc/app calls: Change_Sampling_Rate_All_Tiles (XRFdc_DynamicPLLConfig, XRFdc_GetPLLConfig), Run_MTS_Procedure. Validation: Range 500..5000 (ADC) or 500..10000 (DAC); target must be ADC or DAC; global event.</t>
  </si>
  <si>
    <t xml:space="preserve">PCIE-043</t>
  </si>
  <si>
    <t xml:space="preserve">PCIE_EVT_NYQUIST_ZONE</t>
  </si>
  <si>
    <t xml:space="preserve">#define PCIE_EVT_NYQUIST_ZONE 0x00011U</t>
  </si>
  <si>
    <t xml:space="preserve">Forces the Nyquist zone on all enabled blocks of one domain and records force_adc_zone/force_dac_zone.</t>
  </si>
  <si>
    <t xml:space="preserve">ring EVENT=0x00011; payload: 1 or 2</t>
  </si>
  <si>
    <t xml:space="preserve">pcie_apply case at firmware/pcie_cfg.c:652</t>
  </si>
  <si>
    <t xml:space="preserve">RFdc/app calls: Set_Nyquist_Zone_Manual -&gt; XRFdc_SetNyquistZone, XRFdc_UpdateEvent. Validation: Target must be ADC or DAC; global event.</t>
  </si>
  <si>
    <t xml:space="preserve">PCIE-044</t>
  </si>
  <si>
    <t xml:space="preserve">PCIE_EVT_ADC_DSA</t>
  </si>
  <si>
    <t xml:space="preserve">#define PCIE_EVT_ADC_DSA 0x00012U</t>
  </si>
  <si>
    <t xml:space="preserve">ADC DSA attenuation per selected block (dsa_set_block).</t>
  </si>
  <si>
    <t xml:space="preserve">ring EVENT=0x00012; payload: dB x 10 (0..270)</t>
  </si>
  <si>
    <t xml:space="preserve">dB = magnitude/10</t>
  </si>
  <si>
    <t xml:space="preserve">pcie_apply case at firmware/pcie_cfg.c:660</t>
  </si>
  <si>
    <t xml:space="preserve">RFdc/app calls: XRFdc_GetDSA, XRFdc_SetDSA. Validation: Target must be ADC.</t>
  </si>
  <si>
    <t xml:space="preserve">PCIE-045</t>
  </si>
  <si>
    <t xml:space="preserve">PCIE_EVT_QMC_GAIN</t>
  </si>
  <si>
    <t xml:space="preserve">#define PCIE_EVT_QMC_GAIN 0x00013U</t>
  </si>
  <si>
    <t xml:space="preserve">QMC gain with EnableGain=1 per selected ADC and/or DAC block (qmc_set_block).</t>
  </si>
  <si>
    <t xml:space="preserve">ring EVENT=0x00013; payload: gain x 10000 (0..19999)</t>
  </si>
  <si>
    <t xml:space="preserve">gain = magnitude/10000</t>
  </si>
  <si>
    <t xml:space="preserve">gain x10000</t>
  </si>
  <si>
    <t xml:space="preserve">pcie_apply case at firmware/pcie_cfg.c:665</t>
  </si>
  <si>
    <t xml:space="preserve">RFdc/app calls: XRFdc_GetQMCSettings, XRFdc_SetQMCSettings, XRFdc_UpdateEvent. Validation:</t>
  </si>
  <si>
    <t xml:space="preserve">PCIE-046</t>
  </si>
  <si>
    <t xml:space="preserve">PCIE_EVT_AXIS_ROUTING</t>
  </si>
  <si>
    <t xml:space="preserve">#define PCIE_EVT_AXIS_ROUTING 0x00014U</t>
  </si>
  <si>
    <t xml:space="preserve">Programs the ADC AXIS switch and shadows the value for readback.</t>
  </si>
  <si>
    <t xml:space="preserve">ring EVENT=0x00014; payload: ch0 | ch1&lt;&lt;4 | ch2&lt;&lt;8 | ch3&lt;&lt;12 (each 0..7)</t>
  </si>
  <si>
    <t xml:space="preserve">chN = (raw &gt;&gt; 4N) &amp; 0xF</t>
  </si>
  <si>
    <t xml:space="preserve">pcie_apply case at firmware/pcie_cfg.c:684</t>
  </si>
  <si>
    <t xml:space="preserve">RFdc/app calls: Set_Adc_Channel_Routing -&gt; XAxisScr_*. Validation: Any nibble &gt; 7 rejected; global event.</t>
  </si>
  <si>
    <t xml:space="preserve">PCIE-047</t>
  </si>
  <si>
    <t xml:space="preserve">PCIE_EVT_PL_GPIO_ROUTING</t>
  </si>
  <si>
    <t xml:space="preserve">#define PCIE_EVT_PL_GPIO_ROUTING 0x00015U</t>
  </si>
  <si>
    <t xml:space="preserve">Sets the PL GPIO channel-select mode and shadows it.</t>
  </si>
  <si>
    <t xml:space="preserve">ring EVENT=0x00015; payload: 1..3</t>
  </si>
  <si>
    <t xml:space="preserve">pcie_apply case at firmware/pcie_cfg.c:692</t>
  </si>
  <si>
    <t xml:space="preserve">RFdc/app calls: Set_PL_Gpio_Routing -&gt; XGpio_DiscreteWrite. Validation: Global event.</t>
  </si>
  <si>
    <t xml:space="preserve">PCIE-048</t>
  </si>
  <si>
    <t xml:space="preserve">PCIE_EVT_DAC_SOURCE</t>
  </si>
  <si>
    <t xml:space="preserve">#define PCIE_EVT_DAC_SOURCE 0x00016U</t>
  </si>
  <si>
    <t xml:space="preserve">Routes the DAC input (logical source) and confirms via switch readback; failure -&gt; PCIE_ERR_APPLY_FAILED.</t>
  </si>
  <si>
    <t xml:space="preserve">ring EVENT=0x00016; payload: PCIE_DAC_SRC_* (0 DDS, 1 host)</t>
  </si>
  <si>
    <t xml:space="preserve">pcie_apply case at firmware/pcie_cfg.c:697</t>
  </si>
  <si>
    <t xml:space="preserve">RFdc/app calls: Set_Dds_H2c_Routing -&gt; XAxisScr_*. Validation: Payload &gt; 1 rejected; global event.</t>
  </si>
  <si>
    <t xml:space="preserve">PCIE-049</t>
  </si>
  <si>
    <t xml:space="preserve">PCIE_EVT_MTS_REALIGN</t>
  </si>
  <si>
    <t xml:space="preserve">#define PCIE_EVT_MTS_REALIGN 0x00017U</t>
  </si>
  <si>
    <t xml:space="preserve">Re-runs MTS on ADC and DAC and restores both NCOs.</t>
  </si>
  <si>
    <t xml:space="preserve">ring EVENT=0x00017; payload: ignored</t>
  </si>
  <si>
    <t xml:space="preserve">pcie_apply case at firmware/pcie_cfg.c:705</t>
  </si>
  <si>
    <t xml:space="preserve">RFdc/app calls: Run_MTS_Procedure, Set_NCO_Freq_MTS_Safe x2. Validation: Global event.</t>
  </si>
  <si>
    <t xml:space="preserve">PCIE-050</t>
  </si>
  <si>
    <t xml:space="preserve">PCIE_EVT_DAC_VOP</t>
  </si>
  <si>
    <t xml:space="preserve">#define PCIE_EVT_DAC_VOP 0x00018U</t>
  </si>
  <si>
    <t xml:space="preserve">DAC output power (VOP) per selected block; shadows value for readback.</t>
  </si>
  <si>
    <t xml:space="preserve">ring EVENT=0x00018; payload: microamps (2250..40500)</t>
  </si>
  <si>
    <t xml:space="preserve">pcie_apply case at firmware/pcie_cfg.c:678</t>
  </si>
  <si>
    <t xml:space="preserve">RFdc/app calls: XRFdc_SetDACVOP. Validation: Target must be DAC.</t>
  </si>
  <si>
    <t xml:space="preserve">PCIE-051</t>
  </si>
  <si>
    <t xml:space="preserve">PCIE_EVT_START</t>
  </si>
  <si>
    <t xml:space="preserve">#define PCIE_EVT_START 0x00020U</t>
  </si>
  <si>
    <t xml:space="preserve">Enables the RFdc FIFOs on every tile whose block 0 is enabled (ADC and DAC).</t>
  </si>
  <si>
    <t xml:space="preserve">ring EVENT=0x00020; payload: ignored</t>
  </si>
  <si>
    <t xml:space="preserve">pcie_apply case at firmware/pcie_cfg.c:719</t>
  </si>
  <si>
    <t xml:space="preserve">RFdc/app calls: XRFdc_SetupFIFO(...,1). Validation: Global event.</t>
  </si>
  <si>
    <t xml:space="preserve">PCIE-052</t>
  </si>
  <si>
    <t xml:space="preserve">PCIE_EVT_STOP</t>
  </si>
  <si>
    <t xml:space="preserve">#define PCIE_EVT_STOP 0x00021U</t>
  </si>
  <si>
    <t xml:space="preserve">Disables the RFdc FIFOs on every tile whose block 0 is enabled (ADC and DAC).</t>
  </si>
  <si>
    <t xml:space="preserve">ring EVENT=0x00021; payload: ignored</t>
  </si>
  <si>
    <t xml:space="preserve">pcie_apply case at firmware/pcie_cfg.c:720</t>
  </si>
  <si>
    <t xml:space="preserve">RFdc/app calls: XRFdc_SetupFIFO(...,0). Validation: Global event.</t>
  </si>
  <si>
    <t xml:space="preserve">PCIE-053</t>
  </si>
  <si>
    <t xml:space="preserve">PCIE_EVT_RESET</t>
  </si>
  <si>
    <t xml:space="preserve">#define PCIE_EVT_RESET 0x00022U</t>
  </si>
  <si>
    <t xml:space="preserve">Soft reset: MTS re-align, restore both NCOs, restore default ADC routing 7,3,2,1 (not a converter power cycle).</t>
  </si>
  <si>
    <t xml:space="preserve">ring EVENT=0x00022; payload: ignored</t>
  </si>
  <si>
    <t xml:space="preserve">pcie_apply case at firmware/pcie_cfg.c:706</t>
  </si>
  <si>
    <t xml:space="preserve">RFdc/app calls: Run_MTS_Procedure, Set_NCO_Freq_MTS_Safe, Set_Adc_Channel_Routing. Validation: Global event.</t>
  </si>
  <si>
    <t xml:space="preserve">PCIE-054</t>
  </si>
  <si>
    <t xml:space="preserve">PCIE_EVT_PING</t>
  </si>
  <si>
    <t xml:space="preserve">#define PCIE_EVT_PING 0x000F0U</t>
  </si>
  <si>
    <t xml:space="preserve">No-op handshake test; prints '[pcie] ping'.</t>
  </si>
  <si>
    <t xml:space="preserve">ring EVENT=0x000F0; payload: ignored</t>
  </si>
  <si>
    <t xml:space="preserve">pcie_apply case at firmware/pcie_cfg.c:732</t>
  </si>
  <si>
    <t xml:space="preserve">RFdc/app calls: none. Validation: Allowed for any target including DDS.</t>
  </si>
  <si>
    <t xml:space="preserve">PCIE-055</t>
  </si>
  <si>
    <t xml:space="preserve">PCIE_EVT_READBACK</t>
  </si>
  <si>
    <t xml:space="preserve">#define PCIE_EVT_READBACK 0x000F1U</t>
  </si>
  <si>
    <t xml:space="preserve">Answers a readback request in place: PS overwrites RFDC_configuration with pcie_readback(id) before acknowledging. Tile = ring tile (ALL-&gt;0); channel 1 selects ADC block 1 / DAC block 2, else block 0.</t>
  </si>
  <si>
    <t xml:space="preserve">ring EVENT=0x000F1; payload: PCIE_RB_REQUEST(id) = 0x5242&lt;&lt;16 | id</t>
  </si>
  <si>
    <t xml:space="preserve">id = raw_cfg &amp; 0xFFFF</t>
  </si>
  <si>
    <t xml:space="preserve">pcie_apply case at firmware/pcie_cfg.c:736</t>
  </si>
  <si>
    <t xml:space="preserve">RFdc/app calls: see PCIE_RB_* rows. Validation: If host reads its tag back, readback is unsupported.</t>
  </si>
  <si>
    <t xml:space="preserve">PCIE-056</t>
  </si>
  <si>
    <t xml:space="preserve">PCIE_EVT_DEFAULTS</t>
  </si>
  <si>
    <t xml:space="preserve">#define PCIE_EVT_DEFAULTS 0x00023U</t>
  </si>
  <si>
    <t xml:space="preserve">Restores boot configuration: rates (only if drifted), decimation/interpolation 24, DSA 0, VOP 32000 uA, AXIS routing 0x1237, PL GPIO 3, DAC source DDS, auto Nyquist, MTS, NCOs 3100 MHz, DDS 10 MHz.</t>
  </si>
  <si>
    <t xml:space="preserve">ring EVENT=0x00023; payload: ignored</t>
  </si>
  <si>
    <t xml:space="preserve">pcie_apply case at firmware/pcie_cfg.c:749</t>
  </si>
  <si>
    <t xml:space="preserve">RFdc/app calls: Change_Sampling_Rate_All_Tiles, Update_Datapath_Rate, XRFdc_SetDSA, XRFdc_SetDACVOP, Set_Adc_Channel_Routing, Set_PL_Gpio_Routing, Set_Dds_H2c_Routing, Run_MTS_Procedure, Set_NCO_Freq_MTS_Safe, Set_Dds_Frequency. Validation: Global event.</t>
  </si>
  <si>
    <t xml:space="preserve">PCIE-057</t>
  </si>
  <si>
    <t xml:space="preserve">pcie_validate</t>
  </si>
  <si>
    <t xml:space="preserve">static PcieCfgError pcie_validate(const PcieCfgCmd *c)</t>
  </si>
  <si>
    <t xml:space="preserve">Validates TARGET, EVENT, TARGET/EVENT consistency, TILE/CHANNEL (non-global events) and payload ranges; rejects rather than clamps.</t>
  </si>
  <si>
    <t xml:space="preserve">PcieCfgCmd</t>
  </si>
  <si>
    <t xml:space="preserve">PcieCfgError</t>
  </si>
  <si>
    <t xml:space="preserve">PcieCfg_Poll</t>
  </si>
  <si>
    <t xml:space="preserve">01_Source/pcie_cfg.c</t>
  </si>
  <si>
    <t xml:space="preserve">PCIE-058</t>
  </si>
  <si>
    <t xml:space="preserve">pcie_readback</t>
  </si>
  <si>
    <t xml:space="preserve">static u32 pcie_readback(u32 id, int tile, int blk_adc, int blk_dac)</t>
  </si>
  <si>
    <t xml:space="preserve">Resolves a PCIE_RB_* id to a live 32-bit value (driver getters, globals or shadows).</t>
  </si>
  <si>
    <t xml:space="preserve">id, tile, blk_adc, blk_dac</t>
  </si>
  <si>
    <t xml:space="preserve">u32 value (0 for unknown id / driver error)</t>
  </si>
  <si>
    <t xml:space="preserve">PCIE-059</t>
  </si>
  <si>
    <t xml:space="preserve">pcie_apply</t>
  </si>
  <si>
    <t xml:space="preserve">static PcieCfgError pcie_apply(const PcieCfgCmd *c)</t>
  </si>
  <si>
    <t xml:space="preserve">Dispatches a validated command to the handler for its EVENT.</t>
  </si>
  <si>
    <t xml:space="preserve">Per-block helpers via for_each_selected(): nco_set_block (freeze cal for ADC, XRFDC_EVENT_MIXER update), nco_set_phase_block, rate_set_block (Update_Datapath_Rate), dsa_set_block, qmc_set_block, vop_set_block; returns PCIE_ERR_BLOCK_DISABLED if no enabled block matched.</t>
  </si>
  <si>
    <t xml:space="preserve">PCIE-060</t>
  </si>
  <si>
    <t xml:space="preserve">PcieCfg_Init</t>
  </si>
  <si>
    <t xml:space="preserve">int PcieCfg_Init(XRFdc *RFdcInstPtr)</t>
  </si>
  <si>
    <t xml:space="preserve">Binds the manager to the RFdc instance, zeroes stats, clears a stale NEW_CMD, marks ready and prints ABI/capabilities.</t>
  </si>
  <si>
    <t xml:space="preserve">XST_SUCCESS / XST_FAILURE (NULL)</t>
  </si>
  <si>
    <t xml:space="preserve">main Step 2.7</t>
  </si>
  <si>
    <t xml:space="preserve">Other public API: PcieCfg_GetStats (counters), PcieCfg_ErrorString (error text), PcieCfg_GetBase/PcieCfg_SetBase (runtime base, menu 18), PcieCfg_Diagnostics (menu 17).</t>
  </si>
  <si>
    <t xml:space="preserve">PCIE-061</t>
  </si>
  <si>
    <t xml:space="preserve">int PcieCfg_Poll(void)</t>
  </si>
  <si>
    <t xml:space="preserve">Non-blocking: if NEW_CMD set, reads payload first, decodes, validates, applies, reports, then writes the acknowledge to ring_register.</t>
  </si>
  <si>
    <t xml:space="preserve">1 if a command was processed, 0 if idle/not ready</t>
  </si>
  <si>
    <t xml:space="preserve">MenuReadLine (between keystrokes)</t>
  </si>
  <si>
    <t xml:space="preserve">ACK = RING_ACK_BUILD(err, event) when PCIE_CFG_STATUS_IN_RING=1, else ring &amp; ~NEW_CMD. Module compiled out to stubs if ENABLE_PCIE_CONFIG=0; PCIE_CFG_VERBOSE (default 1) prints each command.</t>
  </si>
  <si>
    <t xml:space="preserve">PCIE-062</t>
  </si>
  <si>
    <t xml:space="preserve">PCIE_RB_TAG</t>
  </si>
  <si>
    <t xml:space="preserve">#define PCIE_RB_TAG 0x5242U</t>
  </si>
  <si>
    <t xml:space="preserve">Tag 0x5242 ('RB') carried in [31:16] of a readback request; if it reads back unchanged the PS could not write the register (readback unsupported).</t>
  </si>
  <si>
    <t xml:space="preserve">PCIE-063</t>
  </si>
  <si>
    <t xml:space="preserve">PCIE_RB_ADC_FS_MHZ</t>
  </si>
  <si>
    <t xml:space="preserve">#define PCIE_RB_ADC_FS_MHZ 0x01U</t>
  </si>
  <si>
    <t xml:space="preserve">Readback id 0x01: ADC sampling rate.</t>
  </si>
  <si>
    <t xml:space="preserve">cfg = PCIE_RB_REQUEST(0x01); ring EVENT=0x0F1 with tile/channel selecting the block</t>
  </si>
  <si>
    <t xml:space="preserve">32-bit value written into RFDC_configuration</t>
  </si>
  <si>
    <t xml:space="preserve">(u32)(global_adc_gsps*1000 + 0.5)</t>
  </si>
  <si>
    <t xml:space="preserve">pcie_readback case at firmware/pcie_cfg.c:504</t>
  </si>
  <si>
    <t xml:space="preserve">Unknown id returns 0.</t>
  </si>
  <si>
    <t xml:space="preserve">PCIE-064</t>
  </si>
  <si>
    <t xml:space="preserve">PCIE_RB_DAC_FS_MHZ</t>
  </si>
  <si>
    <t xml:space="preserve">#define PCIE_RB_DAC_FS_MHZ 0x02U</t>
  </si>
  <si>
    <t xml:space="preserve">Readback id 0x02: DAC sampling rate.</t>
  </si>
  <si>
    <t xml:space="preserve">cfg = PCIE_RB_REQUEST(0x02); ring EVENT=0x0F1 with tile/channel selecting the block</t>
  </si>
  <si>
    <t xml:space="preserve">(u32)(global_dac_gsps*1000 + 0.5)</t>
  </si>
  <si>
    <t xml:space="preserve">pcie_readback case at firmware/pcie_cfg.c:505</t>
  </si>
  <si>
    <t xml:space="preserve">PCIE-065</t>
  </si>
  <si>
    <t xml:space="preserve">PCIE_RB_DECIMATION</t>
  </si>
  <si>
    <t xml:space="preserve">#define PCIE_RB_DECIMATION 0x03U</t>
  </si>
  <si>
    <t xml:space="preserve">Readback id 0x03: Decimation factor of the selected ADC block (XRFdc_GetDecimationFactor; 0 on error).</t>
  </si>
  <si>
    <t xml:space="preserve">cfg = PCIE_RB_REQUEST(0x03); ring EVENT=0x0F1 with tile/channel selecting the block</t>
  </si>
  <si>
    <t xml:space="preserve">pcie_readback case at firmware/pcie_cfg.c:507</t>
  </si>
  <si>
    <t xml:space="preserve">PCIE-066</t>
  </si>
  <si>
    <t xml:space="preserve">PCIE_RB_INTERPOLATION</t>
  </si>
  <si>
    <t xml:space="preserve">#define PCIE_RB_INTERPOLATION 0x04U</t>
  </si>
  <si>
    <t xml:space="preserve">Readback id 0x04: Interpolation factor of the selected DAC block (XRFdc_GetInterpolationFactor; 0 on error).</t>
  </si>
  <si>
    <t xml:space="preserve">cfg = PCIE_RB_REQUEST(0x04); ring EVENT=0x0F1 with tile/channel selecting the block</t>
  </si>
  <si>
    <t xml:space="preserve">pcie_readback case at firmware/pcie_cfg.c:511</t>
  </si>
  <si>
    <t xml:space="preserve">PCIE-067</t>
  </si>
  <si>
    <t xml:space="preserve">PCIE_RB_ADC_NCO_KHZ</t>
  </si>
  <si>
    <t xml:space="preserve">#define PCIE_RB_ADC_NCO_KHZ 0x05U</t>
  </si>
  <si>
    <t xml:space="preserve">Readback id 0x05: ADC mixer frequency of the selected block (XRFdc_GetMixerSettings), signed two's complement.</t>
  </si>
  <si>
    <t xml:space="preserve">cfg = PCIE_RB_REQUEST(0x05); ring EVENT=0x0F1 with tile/channel selecting the block</t>
  </si>
  <si>
    <t xml:space="preserve">(u32)(s32)(mix.Freq*1000)</t>
  </si>
  <si>
    <t xml:space="preserve">pcie_readback case at firmware/pcie_cfg.c:515</t>
  </si>
  <si>
    <t xml:space="preserve">PCIE-068</t>
  </si>
  <si>
    <t xml:space="preserve">PCIE_RB_DAC_NCO_KHZ</t>
  </si>
  <si>
    <t xml:space="preserve">#define PCIE_RB_DAC_NCO_KHZ 0x06U</t>
  </si>
  <si>
    <t xml:space="preserve">Readback id 0x06: DAC mixer frequency of the selected block (XRFdc_GetMixerSettings), signed two's complement.</t>
  </si>
  <si>
    <t xml:space="preserve">cfg = PCIE_RB_REQUEST(0x06); ring EVENT=0x0F1 with tile/channel selecting the block</t>
  </si>
  <si>
    <t xml:space="preserve">pcie_readback case at firmware/pcie_cfg.c:520</t>
  </si>
  <si>
    <t xml:space="preserve">PCIE-069</t>
  </si>
  <si>
    <t xml:space="preserve">PCIE_RB_DDS_HZ</t>
  </si>
  <si>
    <t xml:space="preserve">#define PCIE_RB_DDS_HZ 0x07U</t>
  </si>
  <si>
    <t xml:space="preserve">Readback id 0x07: Current DDS frequency.</t>
  </si>
  <si>
    <t xml:space="preserve">cfg = PCIE_RB_REQUEST(0x07); ring EVENT=0x0F1 with tile/channel selecting the block</t>
  </si>
  <si>
    <t xml:space="preserve">(u32)(current_dds_freq_mhz*1000000 + 0.5)</t>
  </si>
  <si>
    <t xml:space="preserve">pcie_readback case at firmware/pcie_cfg.c:525</t>
  </si>
  <si>
    <t xml:space="preserve">PCIE-070</t>
  </si>
  <si>
    <t xml:space="preserve">PCIE_RB_ADC_DSA_DB10</t>
  </si>
  <si>
    <t xml:space="preserve">#define PCIE_RB_ADC_DSA_DB10 0x08U</t>
  </si>
  <si>
    <t xml:space="preserve">Readback id 0x08: ADC DSA attenuation of the selected block (XRFdc_GetDSA).</t>
  </si>
  <si>
    <t xml:space="preserve">cfg = PCIE_RB_REQUEST(0x08); ring EVENT=0x0F1 with tile/channel selecting the block</t>
  </si>
  <si>
    <t xml:space="preserve">(u32)(Attenuation*10 + 0.5)</t>
  </si>
  <si>
    <t xml:space="preserve">pcie_readback case at firmware/pcie_cfg.c:527</t>
  </si>
  <si>
    <t xml:space="preserve">PCIE-071</t>
  </si>
  <si>
    <t xml:space="preserve">PCIE_RB_DAC_VOP_UA</t>
  </si>
  <si>
    <t xml:space="preserve">#define PCIE_RB_DAC_VOP_UA 0x09U</t>
  </si>
  <si>
    <t xml:space="preserve">Readback id 0x09: Last applied DAC VOP (shadow g_last_vop_ua, seeded 32000).</t>
  </si>
  <si>
    <t xml:space="preserve">cfg = PCIE_RB_REQUEST(0x09); ring EVENT=0x0F1 with tile/channel selecting the block</t>
  </si>
  <si>
    <t xml:space="preserve">pcie_readback case at firmware/pcie_cfg.c:547</t>
  </si>
  <si>
    <t xml:space="preserve">PCIE-072</t>
  </si>
  <si>
    <t xml:space="preserve">PCIE_RB_NYQUIST_ADC</t>
  </si>
  <si>
    <t xml:space="preserve">#define PCIE_RB_NYQUIST_ADC 0x0AU</t>
  </si>
  <si>
    <t xml:space="preserve">Readback id 0x0A: ADC Nyquist override (force_adc_zone; 0 = auto).</t>
  </si>
  <si>
    <t xml:space="preserve">cfg = PCIE_RB_REQUEST(0x0A); ring EVENT=0x0F1 with tile/channel selecting the block</t>
  </si>
  <si>
    <t xml:space="preserve">pcie_readback case at firmware/pcie_cfg.c:536</t>
  </si>
  <si>
    <t xml:space="preserve">PCIE-073</t>
  </si>
  <si>
    <t xml:space="preserve">PCIE_RB_NYQUIST_DAC</t>
  </si>
  <si>
    <t xml:space="preserve">#define PCIE_RB_NYQUIST_DAC 0x0BU</t>
  </si>
  <si>
    <t xml:space="preserve">Readback id 0x0B: DAC Nyquist override (force_dac_zone; 0 = auto).</t>
  </si>
  <si>
    <t xml:space="preserve">cfg = PCIE_RB_REQUEST(0x0B); ring EVENT=0x0F1 with tile/channel selecting the block</t>
  </si>
  <si>
    <t xml:space="preserve">pcie_readback case at firmware/pcie_cfg.c:537</t>
  </si>
  <si>
    <t xml:space="preserve">PCIE-074</t>
  </si>
  <si>
    <t xml:space="preserve">PCIE_RB_DAC_SOURCE</t>
  </si>
  <si>
    <t xml:space="preserve">#define PCIE_RB_DAC_SOURCE 0x0CU</t>
  </si>
  <si>
    <t xml:space="preserve">Readback id 0x0C: DAC input source read from the switch (Get_Dds_H2c_Routing): 0 DDS, 1 host, 0xFF none.</t>
  </si>
  <si>
    <t xml:space="preserve">cfg = PCIE_RB_REQUEST(0x0C); ring EVENT=0x0F1 with tile/channel selecting the block</t>
  </si>
  <si>
    <t xml:space="preserve">pcie_readback case at firmware/pcie_cfg.c:548</t>
  </si>
  <si>
    <t xml:space="preserve">PCIE-075</t>
  </si>
  <si>
    <t xml:space="preserve">PCIE_RB_QMC_GAIN_10000</t>
  </si>
  <si>
    <t xml:space="preserve">#define PCIE_RB_QMC_GAIN_10000 0x0DU</t>
  </si>
  <si>
    <t xml:space="preserve">Readback id 0x0D: ADC QMC gain of the selected block (XRFdc_GetQMCSettings, ADC tile).</t>
  </si>
  <si>
    <t xml:space="preserve">cfg = PCIE_RB_REQUEST(0x0D); ring EVENT=0x0F1 with tile/channel selecting the block</t>
  </si>
  <si>
    <t xml:space="preserve">(u32)(GainCorrectionFactor*10000 + 0.5)</t>
  </si>
  <si>
    <t xml:space="preserve">pcie_readback case at firmware/pcie_cfg.c:531</t>
  </si>
  <si>
    <t xml:space="preserve">PCIE-076</t>
  </si>
  <si>
    <t xml:space="preserve">PCIE_RB_ADC_STREAM_KHZ</t>
  </si>
  <si>
    <t xml:space="preserve">#define PCIE_RB_ADC_STREAM_KHZ 0x0EU</t>
  </si>
  <si>
    <t xml:space="preserve">Readback id 0x0E: ADC stream clock computed from Fs and the selected block's decimation (0 if factor unavailable).</t>
  </si>
  <si>
    <t xml:space="preserve">cfg = PCIE_RB_REQUEST(0x0E); ring EVENT=0x0F1 with tile/channel selecting the block</t>
  </si>
  <si>
    <t xml:space="preserve">(u32)(global_adc_gsps*1000000/factor + 0.5)</t>
  </si>
  <si>
    <t xml:space="preserve">pcie_readback case at firmware/pcie_cfg.c:539</t>
  </si>
  <si>
    <t xml:space="preserve">PCIE-077</t>
  </si>
  <si>
    <t xml:space="preserve">PCIE_RB_DAC_STREAM_KHZ</t>
  </si>
  <si>
    <t xml:space="preserve">#define PCIE_RB_DAC_STREAM_KHZ 0x0FU</t>
  </si>
  <si>
    <t xml:space="preserve">Readback id 0x0F: DAC stream clock.</t>
  </si>
  <si>
    <t xml:space="preserve">cfg = PCIE_RB_REQUEST(0x0F); ring EVENT=0x0F1 with tile/channel selecting the block</t>
  </si>
  <si>
    <t xml:space="preserve">(u32)(current_dac_stream_clk_mhz*1000 + 0.5)</t>
  </si>
  <si>
    <t xml:space="preserve">pcie_readback case at firmware/pcie_cfg.c:544</t>
  </si>
  <si>
    <t xml:space="preserve">PCIE-078</t>
  </si>
  <si>
    <t xml:space="preserve">PCIE_RB_PL_GPIO_MODE</t>
  </si>
  <si>
    <t xml:space="preserve">#define PCIE_RB_PL_GPIO_MODE 0x10U</t>
  </si>
  <si>
    <t xml:space="preserve">Readback id 0x10: Last applied PL GPIO mode (shadow, seeded 3).</t>
  </si>
  <si>
    <t xml:space="preserve">cfg = PCIE_RB_REQUEST(0x10); ring EVENT=0x0F1 with tile/channel selecting the block</t>
  </si>
  <si>
    <t xml:space="preserve">pcie_readback case at firmware/pcie_cfg.c:549</t>
  </si>
  <si>
    <t xml:space="preserve">PCIE-079</t>
  </si>
  <si>
    <t xml:space="preserve">PCIE_RB_AXIS_ROUTING</t>
  </si>
  <si>
    <t xml:space="preserve">#define PCIE_RB_AXIS_ROUTING 0x11U</t>
  </si>
  <si>
    <t xml:space="preserve">Readback id 0x11: Last applied ADC AXIS routing (shadow, seeded 0x1237): ch0|ch1&lt;&lt;4|ch2&lt;&lt;8|ch3&lt;&lt;12.</t>
  </si>
  <si>
    <t xml:space="preserve">cfg = PCIE_RB_REQUEST(0x11); ring EVENT=0x0F1 with tile/channel selecting the block</t>
  </si>
  <si>
    <t xml:space="preserve">pcie_readback case at firmware/pcie_cfg.c:550</t>
  </si>
  <si>
    <t xml:space="preserve">PCIE-080</t>
  </si>
  <si>
    <t xml:space="preserve">PCIE_RB_ABI</t>
  </si>
  <si>
    <t xml:space="preserve">#define PCIE_RB_ABI 0x12U</t>
  </si>
  <si>
    <t xml:space="preserve">Readback id 0x12: Firmware PCIe ABI (PCIE_CFG_ABI = 4).</t>
  </si>
  <si>
    <t xml:space="preserve">cfg = PCIE_RB_REQUEST(0x12); ring EVENT=0x0F1 with tile/channel selecting the block</t>
  </si>
  <si>
    <t xml:space="preserve">pcie_readback case at firmware/pcie_cfg.c:554</t>
  </si>
  <si>
    <t xml:space="preserve">PCIE-081</t>
  </si>
  <si>
    <t xml:space="preserve">PCIE_RB_CAPS</t>
  </si>
  <si>
    <t xml:space="preserve">#define PCIE_RB_CAPS 0x13U</t>
  </si>
  <si>
    <t xml:space="preserve">Readback id 0x13: Capability bitmask (PCIE_CFG_CAPABILITIES).</t>
  </si>
  <si>
    <t xml:space="preserve">cfg = PCIE_RB_REQUEST(0x13); ring EVENT=0x0F1 with tile/channel selecting the block</t>
  </si>
  <si>
    <t xml:space="preserve">pcie_readback case at firmware/pcie_cfg.c:555</t>
  </si>
  <si>
    <t xml:space="preserve">PCIE-082</t>
  </si>
  <si>
    <t xml:space="preserve">PCIE_CTRL_BASEADDR</t>
  </si>
  <si>
    <t xml:space="preserve">#define PCIE_CTRL_BASEADDR 0xA00A0000UL</t>
  </si>
  <si>
    <t xml:space="preserve">Compile-time default PS-side AXI base of the PCIe control aperture (M00_PCIe_control); overridable with -DPCIE_CTRL_BASEADDR and at runtime via PcieCfg_SetBase.</t>
  </si>
  <si>
    <t xml:space="preserve">address</t>
  </si>
  <si>
    <t xml:space="preserve">pcie_cfg.c g_base</t>
  </si>
  <si>
    <t xml:space="preserve">Header warns the address is a pass-through to logic outside the block design and must be verified.</t>
  </si>
  <si>
    <t xml:space="preserve">PCIE-083</t>
  </si>
  <si>
    <t xml:space="preserve">PCIE_REG_RING</t>
  </si>
  <si>
    <t xml:space="preserve">#define PCIE_REG_RING 0x00A8U</t>
  </si>
  <si>
    <t xml:space="preserve">Offset of ring_register: command word (NEW_CMD, TARGET, LAST_TILE, TILE, CHANNEL, EVENT); PS clears NEW_CMD as acknowledge.</t>
  </si>
  <si>
    <t xml:space="preserve">byte offset</t>
  </si>
  <si>
    <t xml:space="preserve">PcieCfg_Poll, PcieCfg_Init, PcieCfg_Diagnostics; host pcie_access</t>
  </si>
  <si>
    <t xml:space="preserve">Optional STATUS 0xB0 / ERRCODE 0xB4 registers are written only if PCIE_CFG_HAVE_STATUS_REGS=1 (default 0).</t>
  </si>
  <si>
    <t xml:space="preserve">PCIE-084</t>
  </si>
  <si>
    <t xml:space="preserve">PCIE_REG_CFG</t>
  </si>
  <si>
    <t xml:space="preserve">#define PCIE_REG_CFG 0x00ACU</t>
  </si>
  <si>
    <t xml:space="preserve">Offset of RFDC_configuration: 32-bit command payload; overwritten by the PS with the result for READBACK.</t>
  </si>
  <si>
    <t xml:space="preserve">PcieCfg_Poll, pcie_apply (READBACK)</t>
  </si>
  <si>
    <t xml:space="preserve">PCIE-085</t>
  </si>
  <si>
    <t xml:space="preserve">RING_NEWCMD_MASK</t>
  </si>
  <si>
    <t xml:space="preserve">#define RING_NEWCMD_MASK (1U &lt;&lt; RING_NEWCMD_SHIFT)</t>
  </si>
  <si>
    <t xml:space="preserve">ring_register [31] mask. NEW_CMD: host sets 1 for a new command; PS clears to 0 after reading (the acknowledge).</t>
  </si>
  <si>
    <t xml:space="preserve">Shift macro RING_NEWCMD_SHIFT.</t>
  </si>
  <si>
    <t xml:space="preserve">PCIE-086</t>
  </si>
  <si>
    <t xml:space="preserve">RING_TARGET_MASK</t>
  </si>
  <si>
    <t xml:space="preserve">#define RING_TARGET_MASK (0x7U &lt;&lt; RING_TARGET_SHIFT)</t>
  </si>
  <si>
    <t xml:space="preserve">ring_register [30:28] mask. TARGET: 000 ADC, 001 DAC, 010 PL DDS compiler, 100 ADC+DAC.</t>
  </si>
  <si>
    <t xml:space="preserve">Shift macro RING_TARGET_SHIFT. Values PCIE_TARGET_ADC=0, PCIE_TARGET_DAC=1, PCIE_TARGET_DDS=2, PCIE_TARGET_ADC_AND_DAC=4 (pcie_regs.h).</t>
  </si>
  <si>
    <t xml:space="preserve">PCIE-087</t>
  </si>
  <si>
    <t xml:space="preserve">RING_LASTTILE_MASK</t>
  </si>
  <si>
    <t xml:space="preserve">#define RING_LASTTILE_MASK (1U &lt;&lt; RING_LASTTILE_SHIFT)</t>
  </si>
  <si>
    <t xml:space="preserve">ring_register [27] mask. LAST_TILE marker bit over the 3-bit tile index (decoded into PcieCfgCmd.last_tile; not acted on by apply).</t>
  </si>
  <si>
    <t xml:space="preserve">Shift macro RING_LASTTILE_SHIFT.</t>
  </si>
  <si>
    <t xml:space="preserve">PCIE-088</t>
  </si>
  <si>
    <t xml:space="preserve">RING_TILE_MASK</t>
  </si>
  <si>
    <t xml:space="preserve">#define RING_TILE_MASK (0x7U &lt;&lt; RING_TILE_SHIFT)</t>
  </si>
  <si>
    <t xml:space="preserve">ring_register [26:24] mask. TILE: 0-3 = tile 0-3, 7 = all tiles, 4 = back-to-back (rejected).</t>
  </si>
  <si>
    <t xml:space="preserve">Shift macro RING_TILE_SHIFT. Values PCIE_TILE_0..3 = 0..3, PCIE_TILE_BACK_TO_BACK = 4 (rejected, PCIE_ERR_TILE_B2B_UNSUPP), PCIE_TILE_ALL = 7. RING_TILEFIELD_MASK views [27:24] as one 4-bit field.</t>
  </si>
  <si>
    <t xml:space="preserve">PCIE-089</t>
  </si>
  <si>
    <t xml:space="preserve">RING_CHANNEL_MASK</t>
  </si>
  <si>
    <t xml:space="preserve">#define RING_CHANNEL_MASK (0xFU &lt;&lt; RING_CHANNEL_SHIFT)</t>
  </si>
  <si>
    <t xml:space="preserve">ring_register [23:20] mask. CHANNEL: 0 = Ch0, 1 = Ch1, 2 = both.</t>
  </si>
  <si>
    <t xml:space="preserve">Shift macro RING_CHANNEL_SHIFT. Values PCIE_CHAN_0=0, PCIE_CHAN_1=1, PCIE_CHAN_BOTH=2. chan_to_block(): ADC ch0/1 -&gt; block 0/1; DAC ch0/1 -&gt; block 0/2 (design only builds DAC blocks 0 and 2).</t>
  </si>
  <si>
    <t xml:space="preserve">PCIE-090</t>
  </si>
  <si>
    <t xml:space="preserve">RING_EVENT_MASK</t>
  </si>
  <si>
    <t xml:space="preserve">#define RING_EVENT_MASK (0xFFFFFU &lt;&lt; RING_EVENT_SHIFT)</t>
  </si>
  <si>
    <t xml:space="preserve">ring_register [19:0] mask. EVENT code (PCIE_EVT_*).</t>
  </si>
  <si>
    <t xml:space="preserve">Shift macro RING_EVENT_SHIFT.</t>
  </si>
  <si>
    <t xml:space="preserve">PCIE-091</t>
  </si>
  <si>
    <t xml:space="preserve">PCIE_PAYLOAD_SIGN_MASK</t>
  </si>
  <si>
    <t xml:space="preserve">#define PCIE_PAYLOAD_SIGN_MASK 0x80000000U</t>
  </si>
  <si>
    <t xml:space="preserve">RFDC_configuration bit 31 = sign (1 = negative) for NCO frequency and phase payloads.</t>
  </si>
  <si>
    <t xml:space="preserve">pcie_decode</t>
  </si>
  <si>
    <t xml:space="preserve">PCIE-092</t>
  </si>
  <si>
    <t xml:space="preserve">PCIE_PAYLOAD_MAG_MASK</t>
  </si>
  <si>
    <t xml:space="preserve">#define PCIE_PAYLOAD_MAG_MASK 0x7FFFFFFFU</t>
  </si>
  <si>
    <t xml:space="preserve">RFDC_configuration bits [30:0] = magnitude.</t>
  </si>
  <si>
    <t xml:space="preserve">PCIE-093</t>
  </si>
  <si>
    <t xml:space="preserve">PCIE_FACTOR_X1</t>
  </si>
  <si>
    <t xml:space="preserve">#define PCIE_FACTOR_X1 0x01U</t>
  </si>
  <si>
    <t xml:space="preserve">First of the exact factor list accepted for interpolation/decimation payloads: X1,X2,X3,X4,X5,X6,X8,X10,X12,X16,X20,X24,X40 (0x01..0x28).</t>
  </si>
  <si>
    <t xml:space="preserve">factor_supported</t>
  </si>
  <si>
    <t xml:space="preserve">Values are the factor itself; PCIE_FACTOR_X40 = 0x28.</t>
  </si>
  <si>
    <t xml:space="preserve">PCIE-094</t>
  </si>
  <si>
    <t xml:space="preserve">RING_ACKERR_MASK</t>
  </si>
  <si>
    <t xml:space="preserve">#define RING_ACKERR_MASK (0xFU &lt;&lt; RING_ACKERR_SHIFT)</t>
  </si>
  <si>
    <t xml:space="preserve">ACK word ring[23:20] error-code field (PcieCfgError, 0 = success).</t>
  </si>
  <si>
    <t xml:space="preserve">ACK word layout: [31]=0, [30:24]=marker RING_ACK_MARKER 0x2A (RING_ACKMARK_MASK), [23:20]=error, [19:0]=event echo. Enabled by PCIE_CFG_STATUS_IN_RING (default 1, pcie_cfg.h).</t>
  </si>
  <si>
    <t xml:space="preserve">PCIE-095</t>
  </si>
  <si>
    <t xml:space="preserve">RING_GET</t>
  </si>
  <si>
    <t xml:space="preserve">#define RING_GET(reg, name) ((uint32_t)(((reg) &amp; RING_##name##_MASK) &gt;&gt; RING_##name##_SHIFT))</t>
  </si>
  <si>
    <t xml:space="preserve">Extracts a named ring_register field.</t>
  </si>
  <si>
    <t xml:space="preserve">reg, field name</t>
  </si>
  <si>
    <t xml:space="preserve">(reg &amp; RING_&lt;name&gt;_MASK) &gt;&gt; RING_&lt;name&gt;_SHIFT</t>
  </si>
  <si>
    <t xml:space="preserve">pcie_decode, PcieCfg_Diagnostics</t>
  </si>
  <si>
    <t xml:space="preserve">PCIE-096</t>
  </si>
  <si>
    <t xml:space="preserve">RING_SET</t>
  </si>
  <si>
    <t xml:space="preserve">#define RING_SET(name, val) ((uint32_t)((((uint32_t)(val)) &lt;&lt; RING_##name##_SHIFT) &amp; RING_##name##_MASK))</t>
  </si>
  <si>
    <t xml:space="preserve">Places a value into a named ring_register field.</t>
  </si>
  <si>
    <t xml:space="preserve">field name, val</t>
  </si>
  <si>
    <t xml:space="preserve">(val &lt;&lt; RING_&lt;name&gt;_SHIFT) &amp; RING_&lt;name&gt;_MASK</t>
  </si>
  <si>
    <t xml:space="preserve">PCIE-097</t>
  </si>
  <si>
    <t xml:space="preserve">PCIE_NCO_KHZ_TO_MHZ</t>
  </si>
  <si>
    <t xml:space="preserve">#define PCIE_NCO_KHZ_TO_MHZ(mag) (((double)(mag)) / 1000.0)</t>
  </si>
  <si>
    <t xml:space="preserve">Converts an NCO payload magnitude in kHz to MHz.</t>
  </si>
  <si>
    <t xml:space="preserve">mag (kHz)</t>
  </si>
  <si>
    <t xml:space="preserve">double MHz</t>
  </si>
  <si>
    <t xml:space="preserve">mag / 1000.0</t>
  </si>
  <si>
    <t xml:space="preserve">kHz -&gt; MHz</t>
  </si>
  <si>
    <t xml:space="preserve">pcie_apply PCIE_EVT_NCO_FREQ</t>
  </si>
  <si>
    <t xml:space="preserve">PCIE-098</t>
  </si>
  <si>
    <t xml:space="preserve">PCIE_DDS_HZ_TO_MHZ</t>
  </si>
  <si>
    <t xml:space="preserve">#define PCIE_DDS_HZ_TO_MHZ(hz) (((double)(hz)) / 1000000.0)</t>
  </si>
  <si>
    <t xml:space="preserve">Converts a DDS payload in Hz to MHz.</t>
  </si>
  <si>
    <t xml:space="preserve">hz</t>
  </si>
  <si>
    <t xml:space="preserve">hz / 1000000.0</t>
  </si>
  <si>
    <t xml:space="preserve">Hz -&gt; MHz</t>
  </si>
  <si>
    <t xml:space="preserve">pcie_apply PCIE_EVT_DDS_PHASE_INC</t>
  </si>
  <si>
    <t xml:space="preserve">PCIE-099</t>
  </si>
  <si>
    <t xml:space="preserve">PCIE_RB_REQUEST</t>
  </si>
  <si>
    <t xml:space="preserve">#define PCIE_RB_REQUEST(id) ((uint32_t)((PCIE_RB_TAG &lt;&lt; 16) | ((id) &amp; 0xFFFFU)))</t>
  </si>
  <si>
    <t xml:space="preserve">Builds a tagged readback request word.</t>
  </si>
  <si>
    <t xml:space="preserve">(0x5242 &lt;&lt; 16) | (id &amp; 0xFFFF)</t>
  </si>
  <si>
    <t xml:space="preserve">PCIE-100</t>
  </si>
  <si>
    <t xml:space="preserve">PCIE_RB_IS_UNANSWERED</t>
  </si>
  <si>
    <t xml:space="preserve">#define PCIE_RB_IS_UNANSWERED(v) ((((uint32_t)(v)) &gt;&gt; 16) == PCIE_RB_TAG)</t>
  </si>
  <si>
    <t xml:space="preserve">True if a readback value still carries the request tag (PS did not answer).</t>
  </si>
  <si>
    <t xml:space="preserve">v</t>
  </si>
  <si>
    <t xml:space="preserve">(v &gt;&gt; 16) == 0x5242</t>
  </si>
  <si>
    <t xml:space="preserve">PCIE-101</t>
  </si>
  <si>
    <t xml:space="preserve">RING_ACK_BUILD</t>
  </si>
  <si>
    <t xml:space="preserve">#define RING_ACK_BUILD(err, evt) ...</t>
  </si>
  <si>
    <t xml:space="preserve">Builds the status-in-ring acknowledge word.</t>
  </si>
  <si>
    <t xml:space="preserve">err, evt</t>
  </si>
  <si>
    <t xml:space="preserve">(0x2A &lt;&lt; 24) | ((err &amp; 0xF) &lt;&lt; 20) | (evt &amp; 0xFFFFF)</t>
  </si>
  <si>
    <t xml:space="preserve">PcieCfg_Poll (PCIE_CFG_STATUS_IN_RING=1)</t>
  </si>
  <si>
    <t xml:space="preserve">PCIE-102</t>
  </si>
  <si>
    <t xml:space="preserve">RING_ACK_VALID</t>
  </si>
  <si>
    <t xml:space="preserve">#define RING_ACK_VALID(r) ...</t>
  </si>
  <si>
    <t xml:space="preserve">True if a ring value is an ACK word (marker 0x2A in [30:24]).</t>
  </si>
  <si>
    <t xml:space="preserve">((r &amp; RING_ACKMARK_MASK) &gt;&gt; 24) == 0x2A</t>
  </si>
  <si>
    <t xml:space="preserve">PcieCfg_Diagnostics, host</t>
  </si>
  <si>
    <t xml:space="preserve">PCIE-103</t>
  </si>
  <si>
    <t xml:space="preserve">RING_ACK_ERR</t>
  </si>
  <si>
    <t xml:space="preserve">#define RING_ACK_ERR(r) ...</t>
  </si>
  <si>
    <t xml:space="preserve">Extracts the error code from an ACK word.</t>
  </si>
  <si>
    <t xml:space="preserve">(r &amp; RING_ACKERR_MASK) &gt;&gt; 20</t>
  </si>
  <si>
    <t xml:space="preserve">Xilinx BSP - API reference</t>
  </si>
  <si>
    <t xml:space="preserve">59 entries. Source: iW-ASCEJ-01-SF-R1.0-REL1.0/iW-ASCEJ-01-SC-R1.0-REL1.0 and iW-ASCEJ-01-FF-R1.0-REL1.0 of release REL1.0 (1.2.5).</t>
  </si>
  <si>
    <t xml:space="preserve">BSP-001</t>
  </si>
  <si>
    <t xml:space="preserve">Xilinx BSP API</t>
  </si>
  <si>
    <t xml:space="preserve">XGpio_Initialize</t>
  </si>
  <si>
    <t xml:space="preserve">XGpio_Initialize(&amp;ClkCounterGpio, CLK_COUNTER_DEVICE_ID);</t>
  </si>
  <si>
    <t xml:space="preserve">Initialises an AXI GPIO instance (DDS, SYSREF, ADC select, clock counters).</t>
  </si>
  <si>
    <t xml:space="preserve">Init_*_Gpio</t>
  </si>
  <si>
    <t xml:space="preserve">5 call site(s); also in: -</t>
  </si>
  <si>
    <t xml:space="preserve">BSP-002</t>
  </si>
  <si>
    <t xml:space="preserve">XGpio_SetDataDirection</t>
  </si>
  <si>
    <t xml:space="preserve">XGpio_SetDataDirection(&amp;ClkCounterGpio, 1, 0xFFFFFFFF);</t>
  </si>
  <si>
    <t xml:space="preserve">Sets channel direction mask (0 = output, 1 = input).</t>
  </si>
  <si>
    <t xml:space="preserve">8 call site(s); also in: -</t>
  </si>
  <si>
    <t xml:space="preserve">BSP-003</t>
  </si>
  <si>
    <t xml:space="preserve">XGpio_DiscreteRead</t>
  </si>
  <si>
    <t xml:space="preserve">u32 adc_start = XGpio_DiscreteRead(&amp;DynClkGpio, 1);</t>
  </si>
  <si>
    <t xml:space="preserve">Reads free-running clock counters.</t>
  </si>
  <si>
    <t xml:space="preserve">6 call site(s); also in: -</t>
  </si>
  <si>
    <t xml:space="preserve">BSP-004</t>
  </si>
  <si>
    <t xml:space="preserve">XGpio_DiscreteWrite</t>
  </si>
  <si>
    <t xml:space="preserve">XGpio_DiscreteWrite(&amp;DdsGpio, 2, 0);</t>
  </si>
  <si>
    <t xml:space="preserve">Writes a GPIO channel: DDS reset (ch1) / phase increment (ch2), SYSREF gate/pulse, ADC select mode.</t>
  </si>
  <si>
    <t xml:space="preserve">Set_Dds_Frequency, Reset_Dds, Gate/Reenable_SYSREF, Set_PL_Gpio_Routing</t>
  </si>
  <si>
    <t xml:space="preserve">10 call site(s); also in: -</t>
  </si>
  <si>
    <t xml:space="preserve">BSP-005</t>
  </si>
  <si>
    <t xml:space="preserve">XAxisScr_LookupConfig</t>
  </si>
  <si>
    <t xml:space="preserve">XAxis_Switch_Config *Config = XAxisScr_LookupConfig(DDS_H2C_SWITCH_DEVICE_ID);</t>
  </si>
  <si>
    <t xml:space="preserve">Looks up an AXI4-Stream switch config (ADC switch, DDS/H2C switch).</t>
  </si>
  <si>
    <t xml:space="preserve">Init_Axis_Switch, Init_Dds_H2c_Switch</t>
  </si>
  <si>
    <t xml:space="preserve">2 call site(s); also in: -</t>
  </si>
  <si>
    <t xml:space="preserve">BSP-006</t>
  </si>
  <si>
    <t xml:space="preserve">XAxisScr_CfgInitialize</t>
  </si>
  <si>
    <t xml:space="preserve">XAxisScr_CfgInitialize(&amp;DdsH2cSwitchInst, Config, Config-&gt;BaseAddress);</t>
  </si>
  <si>
    <t xml:space="preserve">Initialises an AXI4-Stream switch instance.</t>
  </si>
  <si>
    <t xml:space="preserve">BSP-007</t>
  </si>
  <si>
    <t xml:space="preserve">XAxisScr_RegUpdateDisable</t>
  </si>
  <si>
    <t xml:space="preserve">XAxisScr_RegUpdateDisable(&amp;DdsH2cSwitchInst);</t>
  </si>
  <si>
    <t xml:space="preserve">Stops register updates so routing can be changed atomically.</t>
  </si>
  <si>
    <t xml:space="preserve">Set_Adc_Channel_Routing, Set_Dds_H2c_Routing, Change_Sampling_Rate_All_Tiles</t>
  </si>
  <si>
    <t xml:space="preserve">4 call site(s); also in: -</t>
  </si>
  <si>
    <t xml:space="preserve">BSP-008</t>
  </si>
  <si>
    <t xml:space="preserve">XAxisScr_MiPortDisableAll</t>
  </si>
  <si>
    <t xml:space="preserve">XAxisScr_MiPortDisableAll(&amp;DdsH2cSwitchInst);</t>
  </si>
  <si>
    <t xml:space="preserve">Disables all master ports.</t>
  </si>
  <si>
    <t xml:space="preserve">Set_Adc_Channel_Routing, Set_Dds_H2c_Routing, Init_Axis_Switch</t>
  </si>
  <si>
    <t xml:space="preserve">BSP-009</t>
  </si>
  <si>
    <t xml:space="preserve">XAxisScr_MiPortEnable</t>
  </si>
  <si>
    <t xml:space="preserve">XAxisScr_MiPortEnable(&amp;DdsH2cSwitchInst, 0, Dac_Source_To_Si(source));</t>
  </si>
  <si>
    <t xml:space="preserve">Connects master port MIx to slave port SIy.</t>
  </si>
  <si>
    <t xml:space="preserve">Set_Adc_Channel_Routing, Set_Dds_H2c_Routing</t>
  </si>
  <si>
    <t xml:space="preserve">BSP-010</t>
  </si>
  <si>
    <t xml:space="preserve">XAxisScr_RegUpdateEnable</t>
  </si>
  <si>
    <t xml:space="preserve">XAxisScr_RegUpdateEnable(&amp;DdsH2cSwitchInst);</t>
  </si>
  <si>
    <t xml:space="preserve">Commits the new switch routing.</t>
  </si>
  <si>
    <t xml:space="preserve">BSP-011</t>
  </si>
  <si>
    <t xml:space="preserve">XAxisScr_IsMiPortEnabled</t>
  </si>
  <si>
    <t xml:space="preserve">if (XAxisScr_IsMiPortEnabled(&amp;DdsH2cSwitchInst, 0, (u8)HW_DAC_SW_SI_DDS))</t>
  </si>
  <si>
    <t xml:space="preserve">Tests whether MIx is connected to SIy (used to read the DAC source back from hardware).</t>
  </si>
  <si>
    <t xml:space="preserve">BSP-012</t>
  </si>
  <si>
    <t xml:space="preserve">XRFdc_DisableCoefficientsOverride</t>
  </si>
  <si>
    <t xml:space="preserve">Status = XRFdc_DisableCoefficientsOverride(RFdcInstPtr, Tile_Id, Block_Id,XRFDC_CAL_BLOCK_OCB1);</t>
  </si>
  <si>
    <t xml:space="preserve">Disables the coefficient override for a cal block.</t>
  </si>
  <si>
    <t xml:space="preserve">BSP-013</t>
  </si>
  <si>
    <t xml:space="preserve">XRFdc_GetCalCoefficients</t>
  </si>
  <si>
    <t xml:space="preserve">XRFdc_GetCalCoefficients(RFdcInstPtr, Tile_Id, Block_Id,XRFDC_CAL_BLOCK_OCB1, &amp;calCoefficients);</t>
  </si>
  <si>
    <t xml:space="preserve">Reads ADC calibration coefficients for a cal block (OCB1/OCB2/GCB/TSCB).</t>
  </si>
  <si>
    <t xml:space="preserve">adcGetCalCoeff, adcSaveCalCoeff, adcLoad*CalCoeff (verify)</t>
  </si>
  <si>
    <t xml:space="preserve">12 call site(s); also in: adcLoadCalCoefficients.c, adcSaveCalCoefficients.c</t>
  </si>
  <si>
    <t xml:space="preserve">BSP-014</t>
  </si>
  <si>
    <t xml:space="preserve">XRFdc_SetCalCoefficients</t>
  </si>
  <si>
    <t xml:space="preserve">XRFdc_SetCalCoefficients(RFdcInstPtr, Tile_Id, Block_Id, XRFDC_CAL_BLOCK_GCB, &amp;calCoeff);</t>
  </si>
  <si>
    <t xml:space="preserve">Writes ADC calibration coefficients for a cal block.</t>
  </si>
  <si>
    <t xml:space="preserve">adcLoadBGCalCoeff, adcLoadFGCalCoeff</t>
  </si>
  <si>
    <t xml:space="preserve">BSP-015</t>
  </si>
  <si>
    <t xml:space="preserve">XRFdc_GetCalFreeze</t>
  </si>
  <si>
    <t xml:space="preserve">XRFdc_GetCalFreeze(RFdcInstPtr, Tile_Id, Block_Id, &amp;calFreezeSettings);</t>
  </si>
  <si>
    <t xml:space="preserve">Reads ADC calibration freeze status.</t>
  </si>
  <si>
    <t xml:space="preserve">adc_FreezeCal.c helpers</t>
  </si>
  <si>
    <t xml:space="preserve">7 call site(s); also in: -</t>
  </si>
  <si>
    <t xml:space="preserve">BSP-016</t>
  </si>
  <si>
    <t xml:space="preserve">XRFdc_SetCalFreeze</t>
  </si>
  <si>
    <t xml:space="preserve">XRFdc_SetCalFreeze(RFdcInstPtr, t, b, &amp;CalFreeze);</t>
  </si>
  <si>
    <t xml:space="preserve">Freezes/unfreezes ADC background calibration (FreezeCalibration, DisableFreezePin).</t>
  </si>
  <si>
    <t xml:space="preserve">Set_NCO_Freq_MTS_Safe, nco_set_block, adcSetFreezeCal</t>
  </si>
  <si>
    <t xml:space="preserve">7 call site(s); also in: adc_FreezeCal.c, pcie_cfg.c</t>
  </si>
  <si>
    <t xml:space="preserve">BSP-017</t>
  </si>
  <si>
    <t xml:space="preserve">XRFdc_GetQMCSettings</t>
  </si>
  <si>
    <t xml:space="preserve">if (XRFdc_GetQMCSettings(RFdcInstPtr, Type, t, b, &amp;Q) == XST_SUCCESS) {</t>
  </si>
  <si>
    <t xml:space="preserve">Reads QMC (gain/phase correction) settings.</t>
  </si>
  <si>
    <t xml:space="preserve">Save/Restore_Gain_State, menu 12, qmc_set_block, pcie_readback</t>
  </si>
  <si>
    <t xml:space="preserve">7 call site(s); also in: pcie_cfg.c, rfdc_cmd.c</t>
  </si>
  <si>
    <t xml:space="preserve">BSP-018</t>
  </si>
  <si>
    <t xml:space="preserve">XRFdc_SetQMCSettings</t>
  </si>
  <si>
    <t xml:space="preserve">XRFdc_SetQMCSettings(RFdcInstPtr, Type, t, b, &amp;Q);</t>
  </si>
  <si>
    <t xml:space="preserve">Writes QMC settings (EnableGain, GainCorrectionFactor).</t>
  </si>
  <si>
    <t xml:space="preserve">Restore_Gain_State, menu 12, qmc_set_block</t>
  </si>
  <si>
    <t xml:space="preserve">3 call site(s); also in: pcie_cfg.c</t>
  </si>
  <si>
    <t xml:space="preserve">BSP-019</t>
  </si>
  <si>
    <t xml:space="preserve">XRFdc_DynamicPLLConfig</t>
  </si>
  <si>
    <t xml:space="preserve">int status = XRFdc_DynamicPLLConfig(RFdcInstPtr, Type, master_tile,</t>
  </si>
  <si>
    <t xml:space="preserve">Reprograms a tile clock: internal PLL from 300 MHz ref on the master tile, external clock on slave tiles.</t>
  </si>
  <si>
    <t xml:space="preserve">Change_Sampling_Rate_All_Tiles (menu 13, PCIE_EVT_SAMPLING_RATE, DEFAULTS)</t>
  </si>
  <si>
    <t xml:space="preserve">BSP-020</t>
  </si>
  <si>
    <t xml:space="preserve">XRFdc_GetPLLConfig</t>
  </si>
  <si>
    <t xml:space="preserve">if (XRFdc_GetPLLConfig(RFdcInstPtr, Type, master_tile, &amp;pll) == XST_SUCCESS</t>
  </si>
  <si>
    <t xml:space="preserve">Reads RefClkFreq, FeedbackDivider, OutputDivider to compute the achieved sample rate.</t>
  </si>
  <si>
    <t xml:space="preserve">Change_Sampling_Rate_All_Tiles, Verify_Actual_Sampling_Rate</t>
  </si>
  <si>
    <t xml:space="preserve">BSP-021</t>
  </si>
  <si>
    <t xml:space="preserve">XRFdc_GetDSA</t>
  </si>
  <si>
    <t xml:space="preserve">if (XRFdc_GetDSA(RFdcInstPtr, t, b, &amp;DSA_Settings) == XST_SUCCESS) {</t>
  </si>
  <si>
    <t xml:space="preserve">Reads ADC step attenuator settings.</t>
  </si>
  <si>
    <t xml:space="preserve">main boot (0 dB), menu 15, dsa_set_block, pcie_readback</t>
  </si>
  <si>
    <t xml:space="preserve">6 call site(s); also in: pcie_cfg.c, rfdc_dsa_vop.c</t>
  </si>
  <si>
    <t xml:space="preserve">BSP-022</t>
  </si>
  <si>
    <t xml:space="preserve">XRFdc_SetDSA</t>
  </si>
  <si>
    <t xml:space="preserve">XRFdc_SetDSA(RFdcInstPtr, t, b, &amp;DSA_Settings);</t>
  </si>
  <si>
    <t xml:space="preserve">Sets ADC step attenuation (dB).</t>
  </si>
  <si>
    <t xml:space="preserve">main boot (0 dB), menu 15, dsa_set_block</t>
  </si>
  <si>
    <t xml:space="preserve">4 call site(s); also in: pcie_cfg.c, rfdc_dsa_vop.c</t>
  </si>
  <si>
    <t xml:space="preserve">BSP-023</t>
  </si>
  <si>
    <t xml:space="preserve">XRFdc_SetDACVOP</t>
  </si>
  <si>
    <t xml:space="preserve">XRFdc_SetDACVOP(RFdcInstPtr, t, b, 32000); // 32mA Max for Gen 3</t>
  </si>
  <si>
    <t xml:space="preserve">Sets Gen3 DAC output current (uA).</t>
  </si>
  <si>
    <t xml:space="preserve">main boot (32000 uA), vop_set_block, dacSetVOP</t>
  </si>
  <si>
    <t xml:space="preserve">3 call site(s); also in: pcie_cfg.c, rfdc_dsa_vop.c</t>
  </si>
  <si>
    <t xml:space="preserve">BSP-024</t>
  </si>
  <si>
    <t xml:space="preserve">XRFdc_GetOutputCurr</t>
  </si>
  <si>
    <t xml:space="preserve">Status = XRFdc_GetOutputCurr(RFdcInstPtr, Tile_Id, Block_Id, &amp;OutputCurr);</t>
  </si>
  <si>
    <t xml:space="preserve">Reads DAC output current.</t>
  </si>
  <si>
    <t xml:space="preserve">dacCurrent, dacSetVOP</t>
  </si>
  <si>
    <t xml:space="preserve">2 call site(s); also in: rfdc_dsa_vop.c</t>
  </si>
  <si>
    <t xml:space="preserve">BSP-025</t>
  </si>
  <si>
    <t xml:space="preserve">XRFdc_GetDACCompMode</t>
  </si>
  <si>
    <t xml:space="preserve">Status = XRFdc_GetDACCompMode(RFdcInstPtr, Tile_Id, Block_Id, &amp;OutputCurr2);</t>
  </si>
  <si>
    <t xml:space="preserve">Reads DAC Gen1/2 vs Gen3 current-mode compatibility setting.</t>
  </si>
  <si>
    <t xml:space="preserve">dacCurrent</t>
  </si>
  <si>
    <t xml:space="preserve">1 call site(s); also in: -</t>
  </si>
  <si>
    <t xml:space="preserve">BSP-026</t>
  </si>
  <si>
    <t xml:space="preserve">XRFdc_MultiConverter_Init</t>
  </si>
  <si>
    <t xml:space="preserve">XRFdc_MultiConverter_Init(&amp;ADC_Sync_Config, 0, 0, XRFDC_ADC_TILE);</t>
  </si>
  <si>
    <t xml:space="preserve">Initialises an MTS config structure (ADC_Sync_Config / DAC_Sync_Config).</t>
  </si>
  <si>
    <t xml:space="preserve">Run_MTS_Procedure, menu 1-4/13, MTS CLI</t>
  </si>
  <si>
    <t xml:space="preserve">14 call site(s); also in: rfdc_cmd.c, rfdc_mts.c</t>
  </si>
  <si>
    <t xml:space="preserve">BSP-027</t>
  </si>
  <si>
    <t xml:space="preserve">XRFdc_MultiConverter_Sync</t>
  </si>
  <si>
    <t xml:space="preserve">if (XRFdc_MultiConverter_Sync(RFdcInstPtr, XRFDC_ADC_TILE, &amp;ADC_Sync_Config) == XST_SUCCESS) {</t>
  </si>
  <si>
    <t xml:space="preserve">Runs multi-tile synchronisation for the tiles in Config.Tiles and returns latency/offsets.</t>
  </si>
  <si>
    <t xml:space="preserve">12 call site(s); also in: rfdc_mts.c</t>
  </si>
  <si>
    <t xml:space="preserve">BSP-028</t>
  </si>
  <si>
    <t xml:space="preserve">XRFdc_ClrSetReg</t>
  </si>
  <si>
    <t xml:space="preserve">XRFdc_ClrSetReg(RFdcInstPtr, XRFDC_ADC_TILE_DRP_ADDR(1) + XRFDC_HSCOM_ADDR, 0xB0, 0x0F, 0x01);</t>
  </si>
  <si>
    <t xml:space="preserve">Raw read-modify-write of an RFdc register (HSCOM 0xB0 on ADC tiles 1 and 3).</t>
  </si>
  <si>
    <t xml:space="preserve">dacAdcSyncStart (unreferenced)</t>
  </si>
  <si>
    <t xml:space="preserve">BSP-029</t>
  </si>
  <si>
    <t xml:space="preserve">XRFdc_GetMixerSettings</t>
  </si>
  <si>
    <t xml:space="preserve">XRFdc_GetMixerSettings(RFdcInstPtr, Type, t, b, &amp;Mixer_Settings);</t>
  </si>
  <si>
    <t xml:space="preserve">Reads a block's mixer settings (Freq, PhaseOffset, EventSource ...).</t>
  </si>
  <si>
    <t xml:space="preserve">Set_NCO_Freq_MTS_Safe, nco_set_block, pcie_readback</t>
  </si>
  <si>
    <t xml:space="preserve">9 call site(s); also in: pcie_cfg.c, rfdc_cmd.c</t>
  </si>
  <si>
    <t xml:space="preserve">BSP-030</t>
  </si>
  <si>
    <t xml:space="preserve">XRFdc_SetMixerSettings</t>
  </si>
  <si>
    <t xml:space="preserve">XRFdc_SetMixerSettings(RFdcInstPtr, Type, t, b, &amp;Mixer_Settings);</t>
  </si>
  <si>
    <t xml:space="preserve">Writes a block's mixer settings (NCO frequency / phase).</t>
  </si>
  <si>
    <t xml:space="preserve">Set_NCO_Freq_MTS_Safe (EventSource=SYSREF), nco_set_block, nco_set_phase_block</t>
  </si>
  <si>
    <t xml:space="preserve">5 call site(s); also in: pcie_cfg.c, rfdc_cmd.c</t>
  </si>
  <si>
    <t xml:space="preserve">BSP-031</t>
  </si>
  <si>
    <t xml:space="preserve">XRFdc_ResetNCOPhase</t>
  </si>
  <si>
    <t xml:space="preserve">XRFdc_ResetNCOPhase(RFdcInstPtr, Type, t, b);</t>
  </si>
  <si>
    <t xml:space="preserve">Resets the NCO phase accumulator of a block.</t>
  </si>
  <si>
    <t xml:space="preserve">BSP-032</t>
  </si>
  <si>
    <t xml:space="preserve">XRFdc_SetNyquistZone</t>
  </si>
  <si>
    <t xml:space="preserve">XRFdc_SetNyquistZone(RFdcInstPtr, Type, t, b, physical_zone);</t>
  </si>
  <si>
    <t xml:space="preserve">Sets a block's Nyquist zone (1 or 2).</t>
  </si>
  <si>
    <t xml:space="preserve">Update_Nyquist_Zone, Set_Nyquist_Zone_Manual, Change_Sampling_Rate_All_Tiles</t>
  </si>
  <si>
    <t xml:space="preserve">5 call site(s); also in: rfdc_nyquistzone.c</t>
  </si>
  <si>
    <t xml:space="preserve">BSP-033</t>
  </si>
  <si>
    <t xml:space="preserve">XRFdc_GetNyquistZone</t>
  </si>
  <si>
    <t xml:space="preserve">Status = XRFdc_GetNyquistZone(RFdcInstPtr, XRFDC_DAC_TILE, Tile_Id, Block_Id, &amp;GetNyquistZone);</t>
  </si>
  <si>
    <t xml:space="preserve">Reads a block's Nyquist zone.</t>
  </si>
  <si>
    <t xml:space="preserve">Nyquist/status CLI helpers</t>
  </si>
  <si>
    <t xml:space="preserve">6 call site(s); also in: rfdc_nyquistzone.c</t>
  </si>
  <si>
    <t xml:space="preserve">BSP-034</t>
  </si>
  <si>
    <t xml:space="preserve">XRFdc_GetLinkCoupling</t>
  </si>
  <si>
    <t xml:space="preserve">XRFdc_GetLinkCoupling(RFdcInstPtr, Tile_Id, Block_Id, &amp;getlinkCouplingSettings);</t>
  </si>
  <si>
    <t xml:space="preserve">Reads ADC link coupling (AC/DC).</t>
  </si>
  <si>
    <t xml:space="preserve">BSP-035</t>
  </si>
  <si>
    <t xml:space="preserve">XRFdc_IsADCBlockEnabled</t>
  </si>
  <si>
    <t xml:space="preserve">if (is_adc ? XRFdc_IsADCBlockEnabled(RFdcInstPtr, tile, 0) : XRFdc_IsDACBlockEnabled(RFdcInstPtr, tile, 0)) {</t>
  </si>
  <si>
    <t xml:space="preserve">Tests whether an ADC block is built in the design; used to iterate only enabled blocks.</t>
  </si>
  <si>
    <t xml:space="preserve">main, pcie_cfg.c, CLI helpers</t>
  </si>
  <si>
    <t xml:space="preserve">37 call site(s); also in: adcDisableCoeffOvrd.c, adcGetCalCoefficients.c, adcLoadCalCoefficients.c, adcSaveCalCoefficients.c, adc_FreezeCal.c, adc_LinkCoupling.c, pcie_cfg.c, rfdc_cmd.c, rfdc_dsa_vop.c, rfdc_interpolation_decimation.c, rfdc_nyquistzone.c</t>
  </si>
  <si>
    <t xml:space="preserve">BSP-036</t>
  </si>
  <si>
    <t xml:space="preserve">XRFdc_IsDACBlockEnabled</t>
  </si>
  <si>
    <t xml:space="preserve">Tests whether a DAC block is built in the design.</t>
  </si>
  <si>
    <t xml:space="preserve">26 call site(s); also in: dac_waves.c, pcie_cfg.c, rfdc_cmd.c, rfdc_dsa_vop.c, rfdc_interpolation_decimation.c, rfdc_nyquistzone.c</t>
  </si>
  <si>
    <t xml:space="preserve">BSP-037</t>
  </si>
  <si>
    <t xml:space="preserve">XRFdc_GetDecimationFactor</t>
  </si>
  <si>
    <t xml:space="preserve">if (is_adc) XRFdc_GetDecimationFactor(RFdcInstPtr, tile, 0, &amp;factor);</t>
  </si>
  <si>
    <t xml:space="preserve">Reads an ADC block's decimation factor.</t>
  </si>
  <si>
    <t xml:space="preserve">Update_Stream_Clock_Architectural, Print_Current_Rates, pcie_readback</t>
  </si>
  <si>
    <t xml:space="preserve">9 call site(s); also in: pcie_cfg.c, rfdc_cmd.c, rfdc_interpolation_decimation.c, rfdc_mts.c</t>
  </si>
  <si>
    <t xml:space="preserve">BSP-038</t>
  </si>
  <si>
    <t xml:space="preserve">XRFdc_GetInterpolationFactor</t>
  </si>
  <si>
    <t xml:space="preserve">else XRFdc_GetInterpolationFactor(RFdcInstPtr, tile, 0, &amp;factor);</t>
  </si>
  <si>
    <t xml:space="preserve">Reads a DAC block's interpolation factor.</t>
  </si>
  <si>
    <t xml:space="preserve">10 call site(s); also in: dac_waves.c, pcie_cfg.c, rfdc_cmd.c, rfdc_interpolation_decimation.c, rfdc_mts.c</t>
  </si>
  <si>
    <t xml:space="preserve">BSP-039</t>
  </si>
  <si>
    <t xml:space="preserve">XRFdc_SetupFIFO</t>
  </si>
  <si>
    <t xml:space="preserve">for (int t = 0; t &lt; 4; t++) XRFdc_SetupFIFO(RFdcInstPtr, Type, t, 0);</t>
  </si>
  <si>
    <t xml:space="preserve">Enables/disables the fabric FIFOs of a tile.</t>
  </si>
  <si>
    <t xml:space="preserve">Change_Sampling_Rate_All_Tiles, Update_Datapath_Rate, PCIE_EVT_START/STOP</t>
  </si>
  <si>
    <t xml:space="preserve">8 call site(s); also in: pcie_cfg.c</t>
  </si>
  <si>
    <t xml:space="preserve">BSP-040</t>
  </si>
  <si>
    <t xml:space="preserve">XRFdc_UpdateEvent</t>
  </si>
  <si>
    <t xml:space="preserve">XRFdc_UpdateEvent(RFdcInstPtr, ApiType, t, b, XRFDC_EVNT_SRC_TILE);</t>
  </si>
  <si>
    <t xml:space="preserve">Applies pending settings for a block via the given event source (tile / mixer).</t>
  </si>
  <si>
    <t xml:space="preserve">Nyquist, QMC, datapath and NCO updates</t>
  </si>
  <si>
    <t xml:space="preserve">10 call site(s); also in: pcie_cfg.c, rfdc_cmd.c</t>
  </si>
  <si>
    <t xml:space="preserve">BSP-041</t>
  </si>
  <si>
    <t xml:space="preserve">XRFdc_GetIPStatus</t>
  </si>
  <si>
    <t xml:space="preserve">XRFdc_GetIPStatus(RFdcInstPtr, &amp;IPStatus);</t>
  </si>
  <si>
    <t xml:space="preserve">Reads tile enable/state for all ADC and DAC tiles.</t>
  </si>
  <si>
    <t xml:space="preserve">Change_Sampling_Rate_All_Tiles verification; almost every rfdc_cmd/CLI helper</t>
  </si>
  <si>
    <t xml:space="preserve">32 call site(s); also in: adcDisableCoeffOvrd.c, adcGetCalCoefficients.c, adcLoadCalCoefficients.c, adcSaveCalCoefficients.c, adc_FreezeCal.c, adc_LinkCoupling.c, rfdc_cmd.c, rfdc_dsa_vop.c, rfdc_interpolation_decimation.c, rfdc_nyquistzone.c, rfdc_poweron_status.c</t>
  </si>
  <si>
    <t xml:space="preserve">BSP-042</t>
  </si>
  <si>
    <t xml:space="preserve">XRFdc_SetDecimationFactor</t>
  </si>
  <si>
    <t xml:space="preserve">if (is_adc) Status = XRFdc_SetDecimationFactor(RFdcInstPtr, target_tile, target_block, New_Factor);</t>
  </si>
  <si>
    <t xml:space="preserve">Sets an ADC block's decimation factor.</t>
  </si>
  <si>
    <t xml:space="preserve">BSP-043</t>
  </si>
  <si>
    <t xml:space="preserve">XRFdc_SetInterpolationFactor</t>
  </si>
  <si>
    <t xml:space="preserve">else Status = XRFdc_SetInterpolationFactor(RFdcInstPtr, target_tile, target_block, New_Factor);</t>
  </si>
  <si>
    <t xml:space="preserve">Sets a DAC block's interpolation factor.</t>
  </si>
  <si>
    <t xml:space="preserve">BSP-044</t>
  </si>
  <si>
    <t xml:space="preserve">XRFdc_LookupConfig</t>
  </si>
  <si>
    <t xml:space="preserve">ConfigPtr = XRFdc_LookupConfig(HW_RFDC_ID);</t>
  </si>
  <si>
    <t xml:space="preserve">Returns the RFdc configuration for the instance (HW_RFDC_ID: base address under SDT, device ID classic).</t>
  </si>
  <si>
    <t xml:space="preserve">main Step 2</t>
  </si>
  <si>
    <t xml:space="preserve">BSP-045</t>
  </si>
  <si>
    <t xml:space="preserve">XRFdc_CfgInitialize</t>
  </si>
  <si>
    <t xml:space="preserve">Status = XRFdc_CfgInitialize(&amp;RFdcInst, ConfigPtr);</t>
  </si>
  <si>
    <t xml:space="preserve">Initialises the RFdc driver instance RFdcInst from the looked-up config.</t>
  </si>
  <si>
    <t xml:space="preserve">BSP-046</t>
  </si>
  <si>
    <t xml:space="preserve">XRFdc_GetFabWrVldWords</t>
  </si>
  <si>
    <t xml:space="preserve">Status = XRFdc_GetFabWrVldWords(RFdcInstPtr, XRFDC_DAC_TILE, Tile_Id, Block_Id, &amp;GetFabricRate);</t>
  </si>
  <si>
    <t xml:space="preserve">Reads DAC fabric write valid words per cycle.</t>
  </si>
  <si>
    <t xml:space="preserve">dacDumpStatus, RFdcCheckAxisWidth</t>
  </si>
  <si>
    <t xml:space="preserve">BSP-047</t>
  </si>
  <si>
    <t xml:space="preserve">XRFdc_GetDecoderMode</t>
  </si>
  <si>
    <t xml:space="preserve">Status = XRFdc_GetDecoderMode(RFdcInstPtr, Tile_Id, Block_Id, &amp;GetDecoderMode);</t>
  </si>
  <si>
    <t xml:space="preserve">Reads DAC decoder mode.</t>
  </si>
  <si>
    <t xml:space="preserve">dacDumpStatus</t>
  </si>
  <si>
    <t xml:space="preserve">BSP-048</t>
  </si>
  <si>
    <t xml:space="preserve">XRFdc_GetCoarseDelaySettings</t>
  </si>
  <si>
    <t xml:space="preserve">Status = XRFdc_GetCoarseDelaySettings(RFdcInstPtr, XRFDC_DAC_TILE, Tile_Id, Block_Id, &amp;GetCoarseDelaySettings);</t>
  </si>
  <si>
    <t xml:space="preserve">Reads coarse delay settings.</t>
  </si>
  <si>
    <t xml:space="preserve">adcDumpStatus, dacDumpStatus</t>
  </si>
  <si>
    <t xml:space="preserve">BSP-049</t>
  </si>
  <si>
    <t xml:space="preserve">XRFdc_DumpRegs</t>
  </si>
  <si>
    <t xml:space="preserve">XRFdc_DumpRegs(RFdcInstPtr, XRFDC_DAC_TILE, Tile_Id);</t>
  </si>
  <si>
    <t xml:space="preserve">Dumps a tile's registers to the console.</t>
  </si>
  <si>
    <t xml:space="preserve">adcDumpRegs, dacDumpRegs</t>
  </si>
  <si>
    <t xml:space="preserve">BSP-050</t>
  </si>
  <si>
    <t xml:space="preserve">XRFdc_GetFabRdVldWords</t>
  </si>
  <si>
    <t xml:space="preserve">Status = XRFdc_GetFabRdVldWords(RFdcInstPtr, XRFDC_ADC_TILE, Tile, Block, &amp;GetFabricRate);</t>
  </si>
  <si>
    <t xml:space="preserve">Reads ADC fabric read valid words per cycle.</t>
  </si>
  <si>
    <t xml:space="preserve">RFdcCheckAxisWidth</t>
  </si>
  <si>
    <t xml:space="preserve">BSP-051</t>
  </si>
  <si>
    <t xml:space="preserve">XRFdc_Reset</t>
  </si>
  <si>
    <t xml:space="preserve">Status = XRFdc_Reset(RFdcInstPtr, XRFDC_DAC_TILE, Tile_Id);</t>
  </si>
  <si>
    <t xml:space="preserve">Resets one tile (restarts its power-on sequence).</t>
  </si>
  <si>
    <t xml:space="preserve">dacResetAll/adcResetAll (boot), dacReset/adcReset (CLI)</t>
  </si>
  <si>
    <t xml:space="preserve">BSP-052</t>
  </si>
  <si>
    <t xml:space="preserve">XRFdc_ReadReg16</t>
  </si>
  <si>
    <t xml:space="preserve">val = XRFdc_ReadReg16(RFdcInstPtr, XRFDC_DAC_TILE_CTRL_STATS_ADDR(Tile_Id), XRFDC_ADC_DEBUG_RST_OFFSET);</t>
  </si>
  <si>
    <t xml:space="preserve">Raw 16-bit register read; reads tile debug-reset register to test XRFDC_DBG_RST_CAL_MASK.</t>
  </si>
  <si>
    <t xml:space="preserve">rfdcReady, rfdcStartup, rfdcPoweronStatus</t>
  </si>
  <si>
    <t xml:space="preserve">8 call site(s); also in: rfdc_poweron_status.c</t>
  </si>
  <si>
    <t xml:space="preserve">BSP-053</t>
  </si>
  <si>
    <t xml:space="preserve">XRFdc_Shutdown</t>
  </si>
  <si>
    <t xml:space="preserve">XRFdc_Shutdown(RFdcInstPtr,1,Tile_Id);</t>
  </si>
  <si>
    <t xml:space="preserve">Shuts down one tile.</t>
  </si>
  <si>
    <t xml:space="preserve">rfdcShutdown (CLI)</t>
  </si>
  <si>
    <t xml:space="preserve">BSP-054</t>
  </si>
  <si>
    <t xml:space="preserve">XRFdc_StartUp</t>
  </si>
  <si>
    <t xml:space="preserve">XRFdc_StartUp(RFdcInstPtr, 1, Tile_Id);</t>
  </si>
  <si>
    <t xml:space="preserve">Runs the tile power-on/startup sequence for one ADC or DAC tile.</t>
  </si>
  <si>
    <t xml:space="preserve">rfdcStartup (boot)</t>
  </si>
  <si>
    <t xml:space="preserve">BSP-055</t>
  </si>
  <si>
    <t xml:space="preserve">XRFdc_GetBlockStatus</t>
  </si>
  <si>
    <t xml:space="preserve">XRFdc_GetBlockStatus(RFdcInstPtr, XRFDC_DAC_TILE, Tile_Id, Block_Id, &amp;blockStatus);</t>
  </si>
  <si>
    <t xml:space="preserve">Reads block status including SamplingFreq (GHz).</t>
  </si>
  <si>
    <t xml:space="preserve">GHz (SamplingFreq)</t>
  </si>
  <si>
    <t xml:space="preserve">Nyquist/status CLI helpers, waveSin</t>
  </si>
  <si>
    <t xml:space="preserve">12 call site(s); also in: dac_waves.c, rfdc_cmd.c</t>
  </si>
  <si>
    <t xml:space="preserve">BSP-056</t>
  </si>
  <si>
    <t xml:space="preserve">Xil_In32</t>
  </si>
  <si>
    <t xml:space="preserve">return Xil_In32(g_base + off);</t>
  </si>
  <si>
    <t xml:space="preserve">32-bit MMIO read.</t>
  </si>
  <si>
    <t xml:space="preserve">pcie_rd (PCIe ring/cfg), Program_Clock_Wizard (lock), rfdcWaitAllTilesReady, IP version read</t>
  </si>
  <si>
    <t xml:space="preserve">15 call site(s); also in: cmd_func_mem.c, main.c, rfdc_cmd.c, rfdc_poweron_status.c</t>
  </si>
  <si>
    <t xml:space="preserve">BSP-057</t>
  </si>
  <si>
    <t xml:space="preserve">Xil_Out32</t>
  </si>
  <si>
    <t xml:space="preserve">Xil_Out32(g_base + off, val);</t>
  </si>
  <si>
    <t xml:space="preserve">32-bit MMIO write.</t>
  </si>
  <si>
    <t xml:space="preserve">pcie_wr (PCIe ACK/readback), Program_Clock_Wizard, rfdcStartup (RFDC_BASE+0x4), rfwrite/memwrite</t>
  </si>
  <si>
    <t xml:space="preserve">6 call site(s); also in: cmd_func_mem.c, main.c, rfdc_cmd.c</t>
  </si>
  <si>
    <t xml:space="preserve">BSP-058</t>
  </si>
  <si>
    <t xml:space="preserve">usleep</t>
  </si>
  <si>
    <t xml:space="preserve">usleep(500000); // 500 ms</t>
  </si>
  <si>
    <t xml:space="preserve">Microsecond busy-wait delay.</t>
  </si>
  <si>
    <t xml:space="preserve">Program_Clock_Wizard (10 us), SPI writes (10 ms), rate change settle (500 ms), Measure_Stream_Clocks (100 ms), rfdcWaitAllTilesReady (1 ms)</t>
  </si>
  <si>
    <t xml:space="preserve">24 call site(s); also in: rfdc_cmd.c</t>
  </si>
  <si>
    <t xml:space="preserve">BSP-059</t>
  </si>
  <si>
    <t xml:space="preserve">sleep</t>
  </si>
  <si>
    <t xml:space="preserve">sleep(15);</t>
  </si>
  <si>
    <t xml:space="preserve">Second-granularity delay.</t>
  </si>
  <si>
    <t xml:space="preserve">main (15 s TSCB convergence), rfdcStartup/rfdcShutdown (1 s), adcSetFreezeCal (1 s)</t>
  </si>
  <si>
    <t xml:space="preserve">5 call site(s); also in: adc_FreezeCal.c, rfdc_cmd.c</t>
  </si>
  <si>
    <t xml:space="preserve">Host CLI Client - API reference</t>
  </si>
  <si>
    <t xml:space="preserve">64 entries. Source: iW-ASCEJ-01-SF-R1.0-REL1.0/iW-ASCEJ-01-SC-R1.0-REL1.0 and iW-ASCEJ-01-FF-R1.0-REL1.0 of release REL1.0 (1.2.5).</t>
  </si>
  <si>
    <t xml:space="preserve">CLI-001</t>
  </si>
  <si>
    <t xml:space="preserve">Host CLI</t>
  </si>
  <si>
    <t xml:space="preserve">pcie_find_devices</t>
  </si>
  <si>
    <t xml:space="preserve">int pcie_find_devices(int vendor_id, int device_id, char out[][32], int max_out)</t>
  </si>
  <si>
    <t xml:space="preserve">Scans /sys/bus/pci/devices, reading vendor/device hex files, and returns matching BDFs (-1 wildcards).</t>
  </si>
  <si>
    <t xml:space="preserve">vendor_id, device_id, out[][32], max_out</t>
  </si>
  <si>
    <t xml:space="preserve">count found or -errno</t>
  </si>
  <si>
    <t xml:space="preserve">rfdc_ctl list</t>
  </si>
  <si>
    <t xml:space="preserve">02_host_tools/pcie_access.c</t>
  </si>
  <si>
    <t xml:space="preserve">CLI-002</t>
  </si>
  <si>
    <t xml:space="preserve">pcie_open_sysfs</t>
  </si>
  <si>
    <t xml:space="preserve">int pcie_open_sysfs(PcieDev *d, const char *bdf, int bar, uint64_t reg_base)</t>
  </si>
  <si>
    <t xml:space="preserve">Opens /sys/bus/pci/devices/&lt;BDF&gt;/resource&lt;bar&gt; O_RDWR|O_SYNC and mmaps the whole BAR (size from stat).</t>
  </si>
  <si>
    <t xml:space="preserve">PcieDev*, bdf, bar, reg_base</t>
  </si>
  <si>
    <t xml:space="preserve">0 or -errno (stat/open/mmap failure; hints for EACCES/EBUSY)</t>
  </si>
  <si>
    <t xml:space="preserve">rfdc_ctl -b</t>
  </si>
  <si>
    <t xml:space="preserve">Backend PCIE_BACKEND_SYSFS; reg_base added to every offset.</t>
  </si>
  <si>
    <t xml:space="preserve">CLI-003</t>
  </si>
  <si>
    <t xml:space="preserve">pcie_open_chardev</t>
  </si>
  <si>
    <t xml:space="preserve">int pcie_open_chardev(PcieDev *d, const char *path, uint64_t reg_base)</t>
  </si>
  <si>
    <t xml:space="preserve">Opens a character device (e.g. /dev/xdma0_user) for pread/pwrite at BAR offsets.</t>
  </si>
  <si>
    <t xml:space="preserve">PcieDev*, path, reg_base</t>
  </si>
  <si>
    <t xml:space="preserve">0 or -errno</t>
  </si>
  <si>
    <t xml:space="preserve">rfdc_ctl -c</t>
  </si>
  <si>
    <t xml:space="preserve">Backend PCIE_BACKEND_CHARDEV.</t>
  </si>
  <si>
    <t xml:space="preserve">CLI-004</t>
  </si>
  <si>
    <t xml:space="preserve">pcie_close_device</t>
  </si>
  <si>
    <t xml:space="preserve">void pcie_close_device(PcieDev *d)</t>
  </si>
  <si>
    <t xml:space="preserve">Unmaps the BAR (sysfs) and closes the descriptor.</t>
  </si>
  <si>
    <t xml:space="preserve">PcieDev*</t>
  </si>
  <si>
    <t xml:space="preserve">rfdc_ctl exit</t>
  </si>
  <si>
    <t xml:space="preserve">CLI-005</t>
  </si>
  <si>
    <t xml:space="preserve">pcie_read_register</t>
  </si>
  <si>
    <t xml:space="preserve">int pcie_read_register(PcieDev *d, uint32_t offset, uint32_t *value)</t>
  </si>
  <si>
    <t xml:space="preserve">Reads 32 bits at reg_base+offset: volatile MMIO load (sysfs, bounds-checked) or pread (chardev).</t>
  </si>
  <si>
    <t xml:space="preserve">PcieDev*, offset, value*</t>
  </si>
  <si>
    <t xml:space="preserve">0 or -EINVAL/-EBADF/-ERANGE/-errno/-EIO</t>
  </si>
  <si>
    <t xml:space="preserve">addr = reg_base + offset</t>
  </si>
  <si>
    <t xml:space="preserve">cmd_send, dump, raw-read</t>
  </si>
  <si>
    <t xml:space="preserve">CLI-006</t>
  </si>
  <si>
    <t xml:space="preserve">pcie_write_register</t>
  </si>
  <si>
    <t xml:space="preserve">int pcie_write_register(PcieDev *d, uint32_t offset, uint32_t value)</t>
  </si>
  <si>
    <t xml:space="preserve">Writes 32 bits at reg_base+offset; sysfs backend reads back to flush the posted write so payload lands before NEW_CMD.</t>
  </si>
  <si>
    <t xml:space="preserve">PcieDev*, offset, value</t>
  </si>
  <si>
    <t xml:space="preserve">cmd_send, raw-write</t>
  </si>
  <si>
    <t xml:space="preserve">CLI-007</t>
  </si>
  <si>
    <t xml:space="preserve">ring_build</t>
  </si>
  <si>
    <t xml:space="preserve">static uint32_t ring_build(uint32_t target, uint32_t tile, int last_tile, uint32_t channel, uint32_t event)</t>
  </si>
  <si>
    <t xml:space="preserve">Builds a ring word from target, tile, last_tile, channel, event (NEW_CMD added by cmd_send).</t>
  </si>
  <si>
    <t xml:space="preserve">target, tile, last_tile, channel, event</t>
  </si>
  <si>
    <t xml:space="preserve">uint32 ring word</t>
  </si>
  <si>
    <t xml:space="preserve">RING_SET(TARGET)|RING_SET(TILE)|(last_tile?RING_LASTTILE_MASK:0)|RING_SET(CHANNEL)|RING_SET(EVENT)</t>
  </si>
  <si>
    <t xml:space="preserve">all device commands</t>
  </si>
  <si>
    <t xml:space="preserve">02_host_tools/rfdc_ctl.c</t>
  </si>
  <si>
    <t xml:space="preserve">CLI-008</t>
  </si>
  <si>
    <t xml:space="preserve">cmd_send</t>
  </si>
  <si>
    <t xml:space="preserve">static int cmd_send(uint32_t ring_word, uint32_t payload)</t>
  </si>
  <si>
    <t xml:space="preserve">Full transaction: refuses if NEW_CMD already set (-EBUSY), writes payload to RFDC_configuration, writes ring|NEW_CMD, polls every 200 us until NEW_CMD clears or timeout; decodes status-in-ring ACK error codes.</t>
  </si>
  <si>
    <t xml:space="preserve">ring_word, payload</t>
  </si>
  <si>
    <t xml:space="preserve">0 on ACK; -EBUSY, -EIO (device rejected, RING_ACK_ERR != 0), -ETIMEDOUT, or access error</t>
  </si>
  <si>
    <t xml:space="preserve">ms / us</t>
  </si>
  <si>
    <t xml:space="preserve">Timeout g_timeout_ms (ACK_TIMEOUT_MS_DEFAULT 2000); poll ACK_POLL_INTERVAL_US 200. Error text from pcie_err_str (mirrors PCIE_ERR_*).</t>
  </si>
  <si>
    <t xml:space="preserve">CLI-009</t>
  </si>
  <si>
    <t xml:space="preserve">connection options</t>
  </si>
  <si>
    <t xml:space="preserve">while ((opt = getopt_long(argc, argv, "b:r:c:o:t:vh", lo, NULL)) != -1) {</t>
  </si>
  <si>
    <t xml:space="preserve">Global options: -b/--bdf &lt;BDF&gt; (sysfs backend), -r/--bar &lt;n&gt; (BAR index, default 0), -c/--chardev &lt;path&gt; (pread/pwrite backend, takes precedence over -b), -o/--regbase &lt;hex&gt; (control block offset inside BAR, default 0), -t/--timeout &lt;ms&gt; (ACK timeout, default 2000), -v/--verbose (print every transaction), -h/--help.</t>
  </si>
  <si>
    <t xml:space="preserve">exit 0 ok, 1 device/command failure, 2 usage error</t>
  </si>
  <si>
    <t xml:space="preserve">ms (timeout)</t>
  </si>
  <si>
    <t xml:space="preserve">operator</t>
  </si>
  <si>
    <t xml:space="preserve">No readback (0x0F1) or defaults (0x023) commands exist in rfdc_ctl.</t>
  </si>
  <si>
    <t xml:space="preserve">CLI-010</t>
  </si>
  <si>
    <t xml:space="preserve">list</t>
  </si>
  <si>
    <t xml:space="preserve">list list PCIe endpoints</t>
  </si>
  <si>
    <t xml:space="preserve">Lists PCIe endpoints under /sys/bus/pci/devices (no device opened).</t>
  </si>
  <si>
    <t xml:space="preserve">operator / scripts</t>
  </si>
  <si>
    <t xml:space="preserve">Local operation, no command sent. Helper: pcie_find_devices(-1,-1).</t>
  </si>
  <si>
    <t xml:space="preserve">CLI-011</t>
  </si>
  <si>
    <t xml:space="preserve">dump</t>
  </si>
  <si>
    <t xml:space="preserve">dump read the two control registers</t>
  </si>
  <si>
    <t xml:space="preserve">Reads ring_register and RFDC_configuration and decodes NEW_CMD, TARGET, LASTTILE, TILE, CHANNEL, EVENT.</t>
  </si>
  <si>
    <t xml:space="preserve">register values</t>
  </si>
  <si>
    <t xml:space="preserve">Local operation, no command sent. Helper: pcie_read_register x2.</t>
  </si>
  <si>
    <t xml:space="preserve">CLI-012</t>
  </si>
  <si>
    <t xml:space="preserve">raw-read</t>
  </si>
  <si>
    <t xml:space="preserve">raw-read &lt;off_hex&gt; read one register</t>
  </si>
  <si>
    <t xml:space="preserve">Reads one 32-bit register at a BAR offset.</t>
  </si>
  <si>
    <t xml:space="preserve">off (strtoul base 0)</t>
  </si>
  <si>
    <t xml:space="preserve">value</t>
  </si>
  <si>
    <t xml:space="preserve">Local operation, no command sent. Helper: pcie_read_register.</t>
  </si>
  <si>
    <t xml:space="preserve">CLI-013</t>
  </si>
  <si>
    <t xml:space="preserve">raw-write</t>
  </si>
  <si>
    <t xml:space="preserve">raw-write &lt;off_hex&gt; &lt;val_hex&gt; write one register</t>
  </si>
  <si>
    <t xml:space="preserve">Writes one 32-bit register at a BAR offset.</t>
  </si>
  <si>
    <t xml:space="preserve">off, val</t>
  </si>
  <si>
    <t xml:space="preserve">Local operation, no command sent. Helper: pcie_write_register.</t>
  </si>
  <si>
    <t xml:space="preserve">CLI-014</t>
  </si>
  <si>
    <t xml:space="preserve">nco-freq</t>
  </si>
  <si>
    <t xml:space="preserve">nco-freq &lt;adc|dac|both&gt; &lt;tile|all&gt; &lt;ch|both&gt; &lt;MHz&gt;</t>
  </si>
  <si>
    <t xml:space="preserve">Sets NCO frequency for adc|dac|both, tile 0-3|all, ch 0|1|both (target dds refused).</t>
  </si>
  <si>
    <t xml:space="preserve">target, tile, ch, MHz</t>
  </si>
  <si>
    <t xml:space="preserve">ACK; exit 0 'OK - device acknowledged.'</t>
  </si>
  <si>
    <t xml:space="preserve">payload = round(|MHz|*1000) &amp; 0x7FFFFFFF, bit31 set if negative</t>
  </si>
  <si>
    <t xml:space="preserve">MHz -&gt; kHz</t>
  </si>
  <si>
    <t xml:space="preserve">Sends PCIE_EVT_NCO_FREQ via cmd_send(); ring LAST_TILE bit set. Helper: enc_nco_freq_mhz.</t>
  </si>
  <si>
    <t xml:space="preserve">CLI-015</t>
  </si>
  <si>
    <t xml:space="preserve">nco-phase</t>
  </si>
  <si>
    <t xml:space="preserve">nco-phase &lt;adc|dac|both&gt; &lt;tile|all&gt; &lt;ch|both&gt; &lt;deg -180..180&gt;</t>
  </si>
  <si>
    <t xml:space="preserve">Sets NCO phase.</t>
  </si>
  <si>
    <t xml:space="preserve">target, tile, ch, deg (-180..180)</t>
  </si>
  <si>
    <t xml:space="preserve">payload = |deg|, bit31 set if negative</t>
  </si>
  <si>
    <t xml:space="preserve">Sends PCIE_EVT_NCO_PHASE via cmd_send(); ring LAST_TILE bit set. Helper: enc_nco_phase_deg.</t>
  </si>
  <si>
    <t xml:space="preserve">CLI-016</t>
  </si>
  <si>
    <t xml:space="preserve">decim</t>
  </si>
  <si>
    <t xml:space="preserve">decim &lt;tile|all&gt; &lt;ch|both&gt; &lt;factor&gt; (ADC)</t>
  </si>
  <si>
    <t xml:space="preserve">Sets ADC decimation (target ADC).</t>
  </si>
  <si>
    <t xml:space="preserve">tile, ch, factor in {1,2,3,4,5,6,8,10,12,16,20,24,40}</t>
  </si>
  <si>
    <t xml:space="preserve">payload = factor</t>
  </si>
  <si>
    <t xml:space="preserve">Sends PCIE_EVT_DECIMATION via cmd_send(); ring LAST_TILE bit set. Helper: factor_ok.</t>
  </si>
  <si>
    <t xml:space="preserve">CLI-017</t>
  </si>
  <si>
    <t xml:space="preserve">interp</t>
  </si>
  <si>
    <t xml:space="preserve">interp &lt;tile|all&gt; &lt;ch|both&gt; &lt;factor&gt; (DAC)</t>
  </si>
  <si>
    <t xml:space="preserve">Sets DAC interpolation (target DAC).</t>
  </si>
  <si>
    <t xml:space="preserve">tile, ch, factor (same list)</t>
  </si>
  <si>
    <t xml:space="preserve">Sends PCIE_EVT_INTERPOLATION via cmd_send(); ring LAST_TILE bit set. Helper: factor_ok.</t>
  </si>
  <si>
    <t xml:space="preserve">CLI-018</t>
  </si>
  <si>
    <t xml:space="preserve">dds-freq</t>
  </si>
  <si>
    <t xml:space="preserve">dds-freq &lt;MHz&gt; (PL DDS compiler)</t>
  </si>
  <si>
    <t xml:space="preserve">Sets the PL DDS frequency (target DDS, tile 0, ch 0); 0 &lt; f &lt;= 75 MHz.</t>
  </si>
  <si>
    <t xml:space="preserve">payload = (u32)(MHz*1000000 + 0.5)</t>
  </si>
  <si>
    <t xml:space="preserve">MHz -&gt; Hz</t>
  </si>
  <si>
    <t xml:space="preserve">Sends PCIE_EVT_DDS_PHASE_INC via cmd_send(); ring LAST_TILE bit set. Helper: enc_dds_hz.</t>
  </si>
  <si>
    <t xml:space="preserve">CLI-019</t>
  </si>
  <si>
    <t xml:space="preserve">sample-rate</t>
  </si>
  <si>
    <t xml:space="preserve">sample-rate &lt;adc|dac&gt; &lt;MHz&gt; reprogram PLL, re-align MTS, restore NCO</t>
  </si>
  <si>
    <t xml:space="preserve">Reprograms ADC or DAC sample rate (all tiles, both ch); firmware also re-aligns MTS and restores NCO.</t>
  </si>
  <si>
    <t xml:space="preserve">adc|dac, MHz</t>
  </si>
  <si>
    <t xml:space="preserve">payload = MHz</t>
  </si>
  <si>
    <t xml:space="preserve">Sends PCIE_EVT_SAMPLING_RATE via cmd_send(); ring LAST_TILE bit set.</t>
  </si>
  <si>
    <t xml:space="preserve">CLI-020</t>
  </si>
  <si>
    <t xml:space="preserve">nyquist</t>
  </si>
  <si>
    <t xml:space="preserve">nyquist &lt;adc|dac&gt; &lt;1|2&gt; force Nyquist zone</t>
  </si>
  <si>
    <t xml:space="preserve">Forces Nyquist zone 1 or 2 for adc or dac.</t>
  </si>
  <si>
    <t xml:space="preserve">payload = zone</t>
  </si>
  <si>
    <t xml:space="preserve">Sends PCIE_EVT_NYQUIST_ZONE via cmd_send(); ring LAST_TILE bit set.</t>
  </si>
  <si>
    <t xml:space="preserve">CLI-021</t>
  </si>
  <si>
    <t xml:space="preserve">dsa</t>
  </si>
  <si>
    <t xml:space="preserve">dsa &lt;tile|all&gt; &lt;ch|both&gt; &lt;dB 0..27&gt; ADC attenuation</t>
  </si>
  <si>
    <t xml:space="preserve">Sets ADC DSA attenuation 0..27 dB (target ADC).</t>
  </si>
  <si>
    <t xml:space="preserve">tile, ch, dB</t>
  </si>
  <si>
    <t xml:space="preserve">payload = (u32)(dB*10 + 0.5)</t>
  </si>
  <si>
    <t xml:space="preserve">dB -&gt; dB x10</t>
  </si>
  <si>
    <t xml:space="preserve">Sends PCIE_EVT_ADC_DSA via cmd_send(); ring LAST_TILE bit set.</t>
  </si>
  <si>
    <t xml:space="preserve">CLI-022</t>
  </si>
  <si>
    <t xml:space="preserve">qmc-gain</t>
  </si>
  <si>
    <t xml:space="preserve">qmc-gain &lt;adc|dac|both&gt; &lt;tile|all&gt; &lt;ch|both&gt; &lt;0..1.9999&gt;</t>
  </si>
  <si>
    <t xml:space="preserve">Sets QMC gain 0..1.9999.</t>
  </si>
  <si>
    <t xml:space="preserve">target, tile, ch, gain</t>
  </si>
  <si>
    <t xml:space="preserve">payload = (u32)(gain*10000 + 0.5)</t>
  </si>
  <si>
    <t xml:space="preserve">Sends PCIE_EVT_QMC_GAIN via cmd_send(); ring LAST_TILE bit set.</t>
  </si>
  <si>
    <t xml:space="preserve">CLI-023</t>
  </si>
  <si>
    <t xml:space="preserve">dac-vop</t>
  </si>
  <si>
    <t xml:space="preserve">dac-vop &lt;tile|all&gt; &lt;ch|both&gt; &lt;mA 2.25..40.5&gt;</t>
  </si>
  <si>
    <t xml:space="preserve">Sets DAC VOP 2.25..40.5 mA (target DAC).</t>
  </si>
  <si>
    <t xml:space="preserve">tile, ch, mA</t>
  </si>
  <si>
    <t xml:space="preserve">payload = (u32)(mA*1000 + 0.5), checked 2250..40500</t>
  </si>
  <si>
    <t xml:space="preserve">mA -&gt; uA</t>
  </si>
  <si>
    <t xml:space="preserve">Sends PCIE_EVT_DAC_VOP via cmd_send(); ring LAST_TILE bit set.</t>
  </si>
  <si>
    <t xml:space="preserve">CLI-024</t>
  </si>
  <si>
    <t xml:space="preserve">axis-route</t>
  </si>
  <si>
    <t xml:space="preserve">axis-route &lt;ch0&gt; &lt;ch1&gt; &lt;ch2&gt; &lt;ch3&gt; each 0..7</t>
  </si>
  <si>
    <t xml:space="preserve">Sets ADC AXIS switch routing MI0..MI3 &lt;- SI c0..c3 (each 0..7).</t>
  </si>
  <si>
    <t xml:space="preserve">c0, c1, c2, c3</t>
  </si>
  <si>
    <t xml:space="preserve">Sends PCIE_EVT_AXIS_ROUTING via cmd_send(); ring LAST_TILE bit set.</t>
  </si>
  <si>
    <t xml:space="preserve">CLI-025</t>
  </si>
  <si>
    <t xml:space="preserve">gpio-route</t>
  </si>
  <si>
    <t xml:space="preserve">gpio-route &lt;1|2|3&gt; PL channel-select logic</t>
  </si>
  <si>
    <t xml:space="preserve">Sets PL channel-select GPIO mode 1..3.</t>
  </si>
  <si>
    <t xml:space="preserve">payload = mode</t>
  </si>
  <si>
    <t xml:space="preserve">Sends PCIE_EVT_PL_GPIO_ROUTING via cmd_send(); ring LAST_TILE bit set.</t>
  </si>
  <si>
    <t xml:space="preserve">CLI-026</t>
  </si>
  <si>
    <t xml:space="preserve">dac-source</t>
  </si>
  <si>
    <t xml:space="preserve">dac-source &lt;dds|host|0|1&gt; 0/dds = DDS tone, 1/host = H2C stream</t>
  </si>
  <si>
    <t xml:space="preserve">Selects DAC input: dds|0 = DDS tone, host|1 = H2C stream (logical PCIE_DAC_SRC_*).</t>
  </si>
  <si>
    <t xml:space="preserve">dds|host|0|1</t>
  </si>
  <si>
    <t xml:space="preserve">payload = PCIE_DAC_SRC_DDS (0) or PCIE_DAC_SRC_HOST (1)</t>
  </si>
  <si>
    <t xml:space="preserve">Sends PCIE_EVT_DAC_SOURCE via cmd_send(); ring LAST_TILE bit set. No legacy-swap compensation (GUI has it).</t>
  </si>
  <si>
    <t xml:space="preserve">CLI-027</t>
  </si>
  <si>
    <t xml:space="preserve">mts</t>
  </si>
  <si>
    <t xml:space="preserve">mts re-align MTS + restore NCOs</t>
  </si>
  <si>
    <t xml:space="preserve">Re-aligns MTS and restores NCOs.</t>
  </si>
  <si>
    <t xml:space="preserve">payload = 0</t>
  </si>
  <si>
    <t xml:space="preserve">Sends PCIE_EVT_MTS_REALIGN via cmd_send(); ring LAST_TILE bit set.</t>
  </si>
  <si>
    <t xml:space="preserve">CLI-028</t>
  </si>
  <si>
    <t xml:space="preserve">start</t>
  </si>
  <si>
    <t xml:space="preserve">start enable all FIFOs</t>
  </si>
  <si>
    <t xml:space="preserve">Enables all FIFOs (target ADC+DAC).</t>
  </si>
  <si>
    <t xml:space="preserve">Sends PCIE_EVT_START via cmd_send(); ring LAST_TILE bit set.</t>
  </si>
  <si>
    <t xml:space="preserve">CLI-029</t>
  </si>
  <si>
    <t xml:space="preserve">stop</t>
  </si>
  <si>
    <t xml:space="preserve">stop disable all FIFOs</t>
  </si>
  <si>
    <t xml:space="preserve">Disables all FIFOs (target ADC+DAC).</t>
  </si>
  <si>
    <t xml:space="preserve">Sends PCIE_EVT_STOP via cmd_send(); ring LAST_TILE bit set.</t>
  </si>
  <si>
    <t xml:space="preserve">CLI-030</t>
  </si>
  <si>
    <t xml:space="preserve">reset</t>
  </si>
  <si>
    <t xml:space="preserve">reset soft reset (MTS + NCO + routing)</t>
  </si>
  <si>
    <t xml:space="preserve">Soft reset: MTS + NCO restore + routing (target ADC+DAC).</t>
  </si>
  <si>
    <t xml:space="preserve">Sends PCIE_EVT_RESET via cmd_send(); ring LAST_TILE bit set.</t>
  </si>
  <si>
    <t xml:space="preserve">CLI-031</t>
  </si>
  <si>
    <t xml:space="preserve">ping</t>
  </si>
  <si>
    <t xml:space="preserve">ping handshake test, changes nothing</t>
  </si>
  <si>
    <t xml:space="preserve">Handshake test that changes nothing.</t>
  </si>
  <si>
    <t xml:space="preserve">Sends PCIE_EVT_PING via cmd_send(); ring LAST_TILE bit set.</t>
  </si>
  <si>
    <t xml:space="preserve">CLI-032</t>
  </si>
  <si>
    <t xml:space="preserve">GUI control client</t>
  </si>
  <si>
    <t xml:space="preserve">QStringList RfdcControl::discover(int vendorId, int deviceId)</t>
  </si>
  <si>
    <t xml:space="preserve">Lists /sys/bus/pci/devices entries matching vendor/device (default vendor 0x10ee = Xilinx).</t>
  </si>
  <si>
    <t xml:space="preserve">vendorId, deviceId</t>
  </si>
  <si>
    <t xml:space="preserve">QStringList of BDFs</t>
  </si>
  <si>
    <t xml:space="preserve">CLI-033</t>
  </si>
  <si>
    <t xml:space="preserve">bool RfdcControl::attachSysfs(const QString&amp; bdf, int bar, quint64 regBase)</t>
  </si>
  <si>
    <t xml:space="preserve">Opens /sys/bus/pci/devices/&lt;bdf&gt;/resource&lt;bar&gt; O_RDWR|O_SYNC and mmaps the whole BAR.</t>
  </si>
  <si>
    <t xml:space="preserve">bdf, bar (default 2), regBase</t>
  </si>
  <si>
    <t xml:space="preserve">bool; lastError() on failure</t>
  </si>
  <si>
    <t xml:space="preserve">Async wrappers attachSysfsAsync / attachCharDevAsync emit attachResult then pollRegisters(); detachAsync calls detach().</t>
  </si>
  <si>
    <t xml:space="preserve">CLI-034</t>
  </si>
  <si>
    <t xml:space="preserve">RfdcControl::attachCharDev</t>
  </si>
  <si>
    <t xml:space="preserve">bool RfdcControl::attachCharDev(const QString&amp; path, quint64 regBase)</t>
  </si>
  <si>
    <t xml:space="preserve">Opens a character device for pread/pwrite at BAR offsets.</t>
  </si>
  <si>
    <t xml:space="preserve">path, regBase</t>
  </si>
  <si>
    <t xml:space="preserve">CLI-035</t>
  </si>
  <si>
    <t xml:space="preserve">RfdcControl::detach</t>
  </si>
  <si>
    <t xml:space="preserve">void RfdcControl::detach()</t>
  </si>
  <si>
    <t xml:space="preserve">Unmaps and closes the BAR, emits attachedChanged(false).</t>
  </si>
  <si>
    <t xml:space="preserve">CLI-036</t>
  </si>
  <si>
    <t xml:space="preserve">bool RfdcControl::readRegister(quint32 offset, quint32* value)</t>
  </si>
  <si>
    <t xml:space="preserve">32-bit read at regBase+offset: volatile MMIO (bounds-checked) or pread.</t>
  </si>
  <si>
    <t xml:space="preserve">offset, value*</t>
  </si>
  <si>
    <t xml:space="preserve">addr = m_regBase + offset</t>
  </si>
  <si>
    <t xml:space="preserve">CLI-037</t>
  </si>
  <si>
    <t xml:space="preserve">bool RfdcControl::writeRegister(quint32 offset, quint32 value)</t>
  </si>
  <si>
    <t xml:space="preserve">32-bit write at regBase+offset; MMIO path reads back to flush the posted write.</t>
  </si>
  <si>
    <t xml:space="preserve">CLI-038</t>
  </si>
  <si>
    <t xml:space="preserve">bool RfdcControl::sendCommand(const char* name, quint32 target, quint32 tile, quint32 channel, quint32 event, quint32 payload)</t>
  </si>
  <si>
    <t xml:space="preserve">Private transaction core: refuses if NEW_CMD set, builds ring = TARGET|TILE|LASTTILE|CHANNEL|EVENT, writes payload then ring|NEW_CMD, polls every 200 us until NEW_CMD clears; decodes RING_ACK_ERR; honours requestAbort() and m_timeoutMs (default 2000 ms, setAckTimeoutMs).</t>
  </si>
  <si>
    <t xml:space="preserve">bool; emits commandResult, statusMessage/errorMessage, busyChanged (refcounted)</t>
  </si>
  <si>
    <t xml:space="preserve">ring = RING_SET(TARGET,t)|RING_SET(TILE,tile)|RING_LASTTILE_MASK|RING_SET(CHANNEL,ch)|RING_SET(EVENT,e)</t>
  </si>
  <si>
    <t xml:space="preserve">ACK error 0x4 on a READBACK latches m_readbackOk=false ('firmware does not implement readback'). Error text from errorText() mirrors PCIE_ERR_*.</t>
  </si>
  <si>
    <t xml:space="preserve">CLI-039</t>
  </si>
  <si>
    <t xml:space="preserve">bool RfdcControl::setNcoFrequency(int target, quint32 tile, quint32 channel, double mhz)</t>
  </si>
  <si>
    <t xml:space="preserve">NCO frequency for target/tile/channel.</t>
  </si>
  <si>
    <t xml:space="preserve">bool (true on ACK / success)</t>
  </si>
  <si>
    <t xml:space="preserve">mag = (u32)(|mhz|*1000 + 0.5) &amp; 0x7FFFFFFF; bit31 if negative</t>
  </si>
  <si>
    <t xml:space="preserve">sends PCIE_EVT_NCO_FREQ via sendCommand()</t>
  </si>
  <si>
    <t xml:space="preserve">CLI-040</t>
  </si>
  <si>
    <t xml:space="preserve">bool RfdcControl::setNcoPhase(int target, quint32 tile, quint32 channel, int degrees)</t>
  </si>
  <si>
    <t xml:space="preserve">NCO phase; rejects outside -180..180 locally.</t>
  </si>
  <si>
    <t xml:space="preserve">payload = |deg|, bit31 if negative</t>
  </si>
  <si>
    <t xml:space="preserve">sends PCIE_EVT_NCO_PHASE via sendCommand()</t>
  </si>
  <si>
    <t xml:space="preserve">CLI-041</t>
  </si>
  <si>
    <t xml:space="preserve">bool RfdcControl::setDecimation(quint32 tile, quint32 channel, quint32 factor)</t>
  </si>
  <si>
    <t xml:space="preserve">ADC decimation (target Adc).</t>
  </si>
  <si>
    <t xml:space="preserve">sends PCIE_EVT_DECIMATION via sendCommand()</t>
  </si>
  <si>
    <t xml:space="preserve">CLI-042</t>
  </si>
  <si>
    <t xml:space="preserve">bool RfdcControl::setInterpolation(quint32 tile, quint32 channel, quint32 factor)</t>
  </si>
  <si>
    <t xml:space="preserve">DAC interpolation (target Dac).</t>
  </si>
  <si>
    <t xml:space="preserve">sends PCIE_EVT_INTERPOLATION via sendCommand()</t>
  </si>
  <si>
    <t xml:space="preserve">CLI-043</t>
  </si>
  <si>
    <t xml:space="preserve">bool RfdcControl::setDdsFrequency(double mhz)</t>
  </si>
  <si>
    <t xml:space="preserve">PL DDS frequency (target Dds, tile 0, ch 0).</t>
  </si>
  <si>
    <t xml:space="preserve">payload = (u32)(mhz*1e6 + 0.5)</t>
  </si>
  <si>
    <t xml:space="preserve">sends PCIE_EVT_DDS_PHASE_INC via sendCommand()</t>
  </si>
  <si>
    <t xml:space="preserve">CLI-044</t>
  </si>
  <si>
    <t xml:space="preserve">bool RfdcControl::setSamplingRate(int target, quint32 mhz)</t>
  </si>
  <si>
    <t xml:space="preserve">Sample rate change (all tiles, both ch); timeout raised to &gt;= 15000 ms for the call.</t>
  </si>
  <si>
    <t xml:space="preserve">payload = mhz</t>
  </si>
  <si>
    <t xml:space="preserve">sends PCIE_EVT_SAMPLING_RATE via sendCommand()</t>
  </si>
  <si>
    <t xml:space="preserve">CLI-045</t>
  </si>
  <si>
    <t xml:space="preserve">bool RfdcControl::setNyquistZone(int target, quint32 zone)</t>
  </si>
  <si>
    <t xml:space="preserve">Forces Nyquist zone (all tiles, both ch).</t>
  </si>
  <si>
    <t xml:space="preserve">sends PCIE_EVT_NYQUIST_ZONE via sendCommand()</t>
  </si>
  <si>
    <t xml:space="preserve">CLI-046</t>
  </si>
  <si>
    <t xml:space="preserve">bool RfdcControl::setAdcDsa(quint32 tile, quint32 channel, double dB)</t>
  </si>
  <si>
    <t xml:space="preserve">ADC DSA attenuation (target Adc).</t>
  </si>
  <si>
    <t xml:space="preserve">sends PCIE_EVT_ADC_DSA via sendCommand()</t>
  </si>
  <si>
    <t xml:space="preserve">CLI-047</t>
  </si>
  <si>
    <t xml:space="preserve">bool RfdcControl::setQmcGain(int target, quint32 tile, quint32 channel, double gain)</t>
  </si>
  <si>
    <t xml:space="preserve">QMC gain.</t>
  </si>
  <si>
    <t xml:space="preserve">sends PCIE_EVT_QMC_GAIN via sendCommand()</t>
  </si>
  <si>
    <t xml:space="preserve">CLI-048</t>
  </si>
  <si>
    <t xml:space="preserve">bool RfdcControl::setDacVop(quint32 tile, quint32 channel, double milliAmps)</t>
  </si>
  <si>
    <t xml:space="preserve">DAC VOP (target Dac).</t>
  </si>
  <si>
    <t xml:space="preserve">payload = (u32)(mA*1000 + 0.5)</t>
  </si>
  <si>
    <t xml:space="preserve">sends PCIE_EVT_DAC_VOP via sendCommand()</t>
  </si>
  <si>
    <t xml:space="preserve">CLI-049</t>
  </si>
  <si>
    <t xml:space="preserve">bool RfdcControl::setAxisRouting(int c0, int c1, int c2, int c3)</t>
  </si>
  <si>
    <t xml:space="preserve">ADC AXIS switch routing (target Adc, all tiles, both ch).</t>
  </si>
  <si>
    <t xml:space="preserve">payload = (c0&amp;0xF) | (c1&amp;0xF)&lt;&lt;4 | (c2&amp;0xF)&lt;&lt;8 | (c3&amp;0xF)&lt;&lt;12</t>
  </si>
  <si>
    <t xml:space="preserve">sends PCIE_EVT_AXIS_ROUTING via sendCommand()</t>
  </si>
  <si>
    <t xml:space="preserve">CLI-050</t>
  </si>
  <si>
    <t xml:space="preserve">bool RfdcControl::setPlGpioRouting(int mode)</t>
  </si>
  <si>
    <t xml:space="preserve">PL channel-select GPIO mode (target Adc, all tiles, both ch).</t>
  </si>
  <si>
    <t xml:space="preserve">sends PCIE_EVT_PL_GPIO_ROUTING via sendCommand()</t>
  </si>
  <si>
    <t xml:space="preserve">CLI-051</t>
  </si>
  <si>
    <t xml:space="preserve">bool RfdcControl::setDacSource(int source)</t>
  </si>
  <si>
    <t xml:space="preserve">Selects DAC input (logical PCIE_DAC_SRC_*), inverting the value for pre-1.2.1 firmware, then reads PCIE_RB_DAC_SOURCE back, emits dacSourceConfirmed and fails on mismatch.</t>
  </si>
  <si>
    <t xml:space="preserve">source (0 DDS, 1 host)</t>
  </si>
  <si>
    <t xml:space="preserve">bool; false if write failed or readback disagrees</t>
  </si>
  <si>
    <t xml:space="preserve">sends PCIE_EVT_DAC_SOURCE via sendCommand()</t>
  </si>
  <si>
    <t xml:space="preserve">m_dacSrcLegacySwap set in syncAttached when PCIE_CAP_DAC_SOURCE_MAPPED is clear; readback value v inverted (1-v) in that case.</t>
  </si>
  <si>
    <t xml:space="preserve">CLI-052</t>
  </si>
  <si>
    <t xml:space="preserve">bool RfdcControl::realignMts()</t>
  </si>
  <si>
    <t xml:space="preserve">MTS re-align (target Adc, all tiles, both ch).</t>
  </si>
  <si>
    <t xml:space="preserve">sends PCIE_EVT_MTS_REALIGN via sendCommand()</t>
  </si>
  <si>
    <t xml:space="preserve">CLI-053</t>
  </si>
  <si>
    <t xml:space="preserve">bool RfdcControl::start()</t>
  </si>
  <si>
    <t xml:space="preserve">Enable FIFOs (target AdcAndDac).</t>
  </si>
  <si>
    <t xml:space="preserve">sends PCIE_EVT_START via sendCommand()</t>
  </si>
  <si>
    <t xml:space="preserve">CLI-054</t>
  </si>
  <si>
    <t xml:space="preserve">bool RfdcControl::stop()</t>
  </si>
  <si>
    <t xml:space="preserve">Disable FIFOs (target AdcAndDac).</t>
  </si>
  <si>
    <t xml:space="preserve">sends PCIE_EVT_STOP via sendCommand()</t>
  </si>
  <si>
    <t xml:space="preserve">CLI-055</t>
  </si>
  <si>
    <t xml:space="preserve">bool RfdcControl::softReset()</t>
  </si>
  <si>
    <t xml:space="preserve">Soft reset (target AdcAndDac); timeout raised to &gt;= 15000 ms.</t>
  </si>
  <si>
    <t xml:space="preserve">sends PCIE_EVT_RESET via sendCommand()</t>
  </si>
  <si>
    <t xml:space="preserve">CLI-056</t>
  </si>
  <si>
    <t xml:space="preserve">void RfdcControl::pollRegisters()</t>
  </si>
  <si>
    <t xml:space="preserve">Reads ring and cfg once and emits registersRead(ring, cfg) (0,0 on failure).</t>
  </si>
  <si>
    <t xml:space="preserve">snapshot(ring*, cfg*) is the synchronous equivalent.</t>
  </si>
  <si>
    <t xml:space="preserve">CLI-057</t>
  </si>
  <si>
    <t xml:space="preserve">void RfdcControl::attachAndSync(const QString&amp; bdf, int bar, quint64 regBase, quint32 tile, quint32 channel, bool adc)</t>
  </si>
  <si>
    <t xml:space="preserve">Attaches via sysfs then runs syncAttached(); UI stays locked (syncingChanged) until done.</t>
  </si>
  <si>
    <t xml:space="preserve">void; emits attachResult, syncFinished</t>
  </si>
  <si>
    <t xml:space="preserve">CLI-058</t>
  </si>
  <si>
    <t xml:space="preserve">void RfdcControl::syncAttached(quint32 tile, quint32 channel, bool adc)</t>
  </si>
  <si>
    <t xml:space="preserve">Pings, reads PCIE_RB_ABI and PCIE_RB_CAPS, fails if ABI &lt; PCIE_ABI_REQUIRED (4) or unreadable, sets legacy DAC-source swap from caps, then readSnapshot(); fails if no value was read back.</t>
  </si>
  <si>
    <t xml:space="preserve">void; emits syncFinished(ok, detail)</t>
  </si>
  <si>
    <t xml:space="preserve">sends PCIE_EVT_PING, PCIE_EVT_READBACK via sendCommand()</t>
  </si>
  <si>
    <t xml:space="preserve">CLI-059</t>
  </si>
  <si>
    <t xml:space="preserve">void RfdcControl::setSamplingRateVerified(int target, quint32 mhz, quint32 tolerance,</t>
  </si>
  <si>
    <t xml:space="preserve">Sets sample rate then reads PCIE_RB_ADC_FS_MHZ / PCIE_RB_DAC_FS_MHZ back and checks |actual - requested| &lt;= tolerance.</t>
  </si>
  <si>
    <t xml:space="preserve">target, mhz, tolerance, tile, channel</t>
  </si>
  <si>
    <t xml:space="preserve">void; emits verifyResult(name, ok, requested, actual, detail)</t>
  </si>
  <si>
    <t xml:space="preserve">diff = |actual - mhz|; ok if diff &lt;= tolerance</t>
  </si>
  <si>
    <t xml:space="preserve">sends PCIE_EVT_SAMPLING_RATE, PCIE_EVT_READBACK via sendCommand()</t>
  </si>
  <si>
    <t xml:space="preserve">CLI-060</t>
  </si>
  <si>
    <t xml:space="preserve">void RfdcControl::completeReset(quint32 tile, quint32 channel, bool adc)</t>
  </si>
  <si>
    <t xml:space="preserve">stop -&gt; restoreDefaults (start again on failure) -&gt; ping up to 20 x 100 ms -&gt; start -&gt; readSnapshot; success only if every stage succeeds.</t>
  </si>
  <si>
    <t xml:space="preserve">void; emits resetFinished(ok, detail)</t>
  </si>
  <si>
    <t xml:space="preserve">sends PCIE_EVT_STOP, PCIE_EVT_DEFAULTS, PCIE_EVT_PING, PCIE_EVT_START, PCIE_EVT_READBACK via sendCommand()</t>
  </si>
  <si>
    <t xml:space="preserve">CLI-061</t>
  </si>
  <si>
    <t xml:space="preserve">void RfdcControl::readSnapshot(quint32 tile, quint32 channel, bool adc)</t>
  </si>
  <si>
    <t xml:space="preserve">Reads every displayable parameter in one worker-thread pass (one busy period) and emits snapshotReady(QVariantMap).</t>
  </si>
  <si>
    <t xml:space="preserve">tile, channel, adc (selects ADC vs DAC ids for fs_mhz/nco_khz/nyquist/stream_khz)</t>
  </si>
  <si>
    <t xml:space="preserve">void; emits snapshotReady(map) with extra keys count and supported</t>
  </si>
  <si>
    <t xml:space="preserve">sends PCIE_EVT_READBACK (via readParameter, once per key) via sendCommand()</t>
  </si>
  <si>
    <t xml:space="preserve">19 readback keys: fs_mhz = adc ? PCIE_RB_ADC_FS_MHZ : PCIE_RB_DAC_FS_MHZ; decimation = PCIE_RB_DECIMATION; interpolation = PCIE_RB_INTERPOLATION; nco_khz = adc ? PCIE_RB_ADC_NCO_KHZ : PCIE_RB_DAC_NCO_KHZ; dds_hz = PCIE_RB_DDS_HZ; dsa_db10 = PCIE_RB_ADC_DSA_DB10; vop_ua = PCIE_RB_DAC_VOP_UA; qmc_10000 = PCIE_RB_QMC_GAIN_10000; dac_source = PCIE_RB_DAC_SOURCE; pl_gpio = PCIE_RB_PL_GPIO_MODE; axis = PCIE_RB_AXIS_ROUTING; nyquist = adc ? PCIE_RB_NYQUIST_ADC : PCIE_RB_NYQUIST_DAC; stream_khz = adc ? PCIE_RB_ADC_STREAM_KHZ : PCIE_RB_DAC_STREAM_KHZ; dac_stream_khz = PCIE_RB_DAC_STREAM_KHZ; adc_stream_khz = PCIE_RB_ADC_STREAM_KHZ; adc_fs_mhz = PCIE_RB_ADC_FS_MHZ; dac_fs_mhz = PCIE_RB_DAC_FS_MHZ; adc_nco_khz = PCIE_RB_ADC_NCO_KHZ; dac_nco_khz = PCIE_RB_DAC_NCO_KHZ. dac_source is inverted for legacy-swap firmware. Also calls pollRegisters().</t>
  </si>
  <si>
    <t xml:space="preserve">CLI-062</t>
  </si>
  <si>
    <t xml:space="preserve">bool RfdcControl::ping()</t>
  </si>
  <si>
    <t xml:space="preserve">Handshake test (target Adc, all tiles, both ch).</t>
  </si>
  <si>
    <t xml:space="preserve">sends PCIE_EVT_PING via sendCommand()</t>
  </si>
  <si>
    <t xml:space="preserve">CLI-063</t>
  </si>
  <si>
    <t xml:space="preserve">bool RfdcControl::restoreDefaults()</t>
  </si>
  <si>
    <t xml:space="preserve">Restores firmware boot configuration (target AdcAndDac); timeout raised to &gt;= 20000 ms.</t>
  </si>
  <si>
    <t xml:space="preserve">sends PCIE_EVT_DEFAULTS via sendCommand()</t>
  </si>
  <si>
    <t xml:space="preserve">CLI-064</t>
  </si>
  <si>
    <t xml:space="preserve">bool RfdcControl::readParameter(quint32 id, quint32 tile, quint32 channel, quint32* value)</t>
  </si>
  <si>
    <t xml:space="preserve">Reads one live parameter: sends a tagged READBACK request, then reads RFDC_configuration; if the tag comes back unchanged, latches readback unsupported.</t>
  </si>
  <si>
    <t xml:space="preserve">id (PCIE_RB_*), tile, channel, value*</t>
  </si>
  <si>
    <t xml:space="preserve">bool; *value = answer</t>
  </si>
  <si>
    <t xml:space="preserve">payload = PCIE_RB_REQUEST(id) = 0x5242&lt;&lt;16 | id; unanswered if (v&gt;&gt;16) == 0x5242</t>
  </si>
  <si>
    <t xml:space="preserve">sends PCIE_EVT_READBACK via sendCommand()</t>
  </si>
  <si>
    <t xml:space="preserve">Returns false immediately once m_readbackOk is false (supportsReadback()).</t>
  </si>
  <si>
    <t xml:space="preserve">Automated host-side suites delivered in the TS folder; results recorded for REL1.0 (logs in the AT folder). No board, root or GPU needed.</t>
  </si>
  <si>
    <t xml:space="preserve">Test ID</t>
  </si>
  <si>
    <t xml:space="preserve">Suite / test</t>
  </si>
  <si>
    <t xml:space="preserve">What it proves</t>
  </si>
  <si>
    <t xml:space="preserve">APIs exercised</t>
  </si>
  <si>
    <t xml:space="preserve">Checks passed</t>
  </si>
  <si>
    <t xml:space="preserve">Checks failed</t>
  </si>
  <si>
    <t xml:space="preserve">Result</t>
  </si>
  <si>
    <t xml:space="preserve">Log file (AT/01_Logs)</t>
  </si>
  <si>
    <t xml:space="preserve">TS-01</t>
  </si>
  <si>
    <t xml:space="preserve">firmware/run_tests.sh</t>
  </si>
  <si>
    <t xml:space="preserve">DAC input routing taken verbatim from main.c, against a register model of DDS_H2C_switch</t>
  </si>
  <si>
    <t xml:space="preserve">Set_Dds_H2c_Routing / Get_Dds_H2c_Routing, XAxisScr_*</t>
  </si>
  <si>
    <t xml:space="preserve">TS-01_firmware_dac_routing.log</t>
  </si>
  <si>
    <t xml:space="preserve">TS-02</t>
  </si>
  <si>
    <t xml:space="preserve">pcie_emu: pcie_e2e_fw_1_2_1</t>
  </si>
  <si>
    <t xml:space="preserve">GUI RfdcControl &lt;-&gt; emulated BAR &lt;-&gt; real pcie_cfg.c (current firmware)</t>
  </si>
  <si>
    <t xml:space="preserve">RfdcControl, pcie_cfg.c dispatch, PCIE_EVT_*, PCIE_RB_*, RING_ACK_*</t>
  </si>
  <si>
    <t xml:space="preserve">TS-02_pcie_emu_pcie_e2e_fw_1_2_1.log</t>
  </si>
  <si>
    <t xml:space="preserve">TS-03</t>
  </si>
  <si>
    <t xml:space="preserve">pcie_emu: pcie_e2e_fw_1_2_0</t>
  </si>
  <si>
    <t xml:space="preserve">Same against 1.2.0 firmware (board not reflashed)</t>
  </si>
  <si>
    <t xml:space="preserve">RfdcControl legacy compatibility</t>
  </si>
  <si>
    <t xml:space="preserve">TS-03_pcie_emu_pcie_e2e_fw_1_2_0.log</t>
  </si>
  <si>
    <t xml:space="preserve">TS-04</t>
  </si>
  <si>
    <t xml:space="preserve">gui: tx_path</t>
  </si>
  <si>
    <t xml:space="preserve">IQ generator &gt; FIFO &gt; replaying consumer &gt; spectrum: DAC packing, transmitted frequency, SFDR, live updates, FIFO recovery</t>
  </si>
  <si>
    <t xml:space="preserve">IqGenerator, packDac, coherentHz, fftInPlace, makeWindow</t>
  </si>
  <si>
    <t xml:space="preserve">TS-04_gui_tx_path.log</t>
  </si>
  <si>
    <t xml:space="preserve">TS-05</t>
  </si>
  <si>
    <t xml:space="preserve">gui: sim_loopback</t>
  </si>
  <si>
    <t xml:space="preserve">Simulator RF loopback: DDS, generator waveforms, out-of-band, modem demo</t>
  </si>
  <si>
    <t xml:space="preserve">SimulatedSource::renderLoopback, DspEngine</t>
  </si>
  <si>
    <t xml:space="preserve">TS-05_gui_sim_loopback.log</t>
  </si>
  <si>
    <t xml:space="preserve">TS-06</t>
  </si>
  <si>
    <t xml:space="preserve">gui: control_window</t>
  </si>
  <si>
    <t xml:space="preserve">H2C / RFDC window offscreen: buffer follows backend, link monitor, loopback verify</t>
  </si>
  <si>
    <t xml:space="preserve">ControlWindow3D, H2cControl, RfdcControl, BackendLauncher</t>
  </si>
  <si>
    <t xml:space="preserve">TS-06_gui_control_window.log</t>
  </si>
  <si>
    <t xml:space="preserve">TS-07</t>
  </si>
  <si>
    <t xml:space="preserve">gui: app_loopback</t>
  </si>
  <si>
    <t xml:space="preserve">Whole application in Simulation: generator &gt; DAC &gt; ADC &gt; spectrum &gt; Verify loopback</t>
  </si>
  <si>
    <t xml:space="preserve">MainWindow, DspEngine, SimulatedSource, ControlWindow3D</t>
  </si>
  <si>
    <t xml:space="preserve">TS-07_gui_app_loopback.log</t>
  </si>
  <si>
    <t xml:space="preserve">TS-08</t>
  </si>
  <si>
    <t xml:space="preserve">h2c_emu: h2c_real_helper</t>
  </si>
  <si>
    <t xml:space="preserve">Real iwfg_h2c with an LD_PRELOAD fake card: chunk sizes, seamless loop, step-down</t>
  </si>
  <si>
    <t xml:space="preserve">iwfg_h2c, IqGenerator, BackendLauncher ladder</t>
  </si>
  <si>
    <t xml:space="preserve">TS-08_h2c_emu_h2c_real_helper.log</t>
  </si>
  <si>
    <t xml:space="preserve">TS-09</t>
  </si>
  <si>
    <t xml:space="preserve">h2c_emu: loopback_chain</t>
  </si>
  <si>
    <t xml:space="preserve">Real BackendLauncher + helpers + DmaSource, fault injection (driver errors, stalls, refusals, SIGTERM-ignoring helpers)</t>
  </si>
  <si>
    <t xml:space="preserve">BackendLauncher (stop/reset/step-down/restart), DmaSource, c2h_stream, CaptureBudget</t>
  </si>
  <si>
    <t xml:space="preserve">TS-09_h2c_emu_loopback_chain.log</t>
  </si>
  <si>
    <t xml:space="preserve">TS-10</t>
  </si>
  <si>
    <t xml:space="preserve">h2c_emu: app_live_session</t>
  </si>
  <si>
    <t xml:space="preserve">Whole application live with the emulated card: start/stop, helper killed, C2H stalled, GUI heartbeat</t>
  </si>
  <si>
    <t xml:space="preserve">MainWindow, BackendLauncher::resetDevice, capture-stall watchdog</t>
  </si>
  <si>
    <t xml:space="preserve">TS-10_h2c_emu_app_live_session.log</t>
  </si>
  <si>
    <t xml:space="preserve">Totals</t>
  </si>
  <si>
    <t xml:space="preserve">Checks are the PASS lines each test prints (ctest -V). Re-run: TS/01_Host_Test_Suite/run_all.sh</t>
  </si>
  <si>
    <t xml:space="preserve">Term</t>
  </si>
  <si>
    <t xml:space="preserve">ABI</t>
  </si>
  <si>
    <t xml:space="preserve">Application binary interface - here the PCIe mailbox layout version (ABI 4).</t>
  </si>
  <si>
    <t xml:space="preserve">ACK</t>
  </si>
  <si>
    <t xml:space="preserve">Acknowledgement - firmware clears NEW_CMD and writes 0x2A&lt;&lt;24 | err&lt;&lt;20 | event.</t>
  </si>
  <si>
    <t xml:space="preserve">ADC / DAC</t>
  </si>
  <si>
    <t xml:space="preserve">Analog-to-digital / digital-to-analog converter (RFSoC RF-ADC / RF-DAC tiles).</t>
  </si>
  <si>
    <t xml:space="preserve">AXIS</t>
  </si>
  <si>
    <t xml:space="preserve">AXI4-Stream - the PL streaming interface; AXIS switch routes DDS vs host data to the DAC.</t>
  </si>
  <si>
    <t xml:space="preserve">BAR</t>
  </si>
  <si>
    <t xml:space="preserve">PCIe base address register window; BAR 2 holds the control mailbox.</t>
  </si>
  <si>
    <t xml:space="preserve">BSP</t>
  </si>
  <si>
    <t xml:space="preserve">Board support package (Xilinx standalone drivers: XRFdc, XGpio, XAxisScr).</t>
  </si>
  <si>
    <t xml:space="preserve">C2H / H2C</t>
  </si>
  <si>
    <t xml:space="preserve">Card-to-host (capture) / host-to-card (transmit) DMA directions.</t>
  </si>
  <si>
    <t xml:space="preserve">CG</t>
  </si>
  <si>
    <t xml:space="preserve">Coherent gain of a window, sum(w)/N.</t>
  </si>
  <si>
    <t xml:space="preserve">Coherent loop</t>
  </si>
  <si>
    <t xml:space="preserve">A replay loop holding a whole number of tone cycles, so it repeats seamlessly (f = k*fs/N).</t>
  </si>
  <si>
    <t xml:space="preserve">Cs16</t>
  </si>
  <si>
    <t xml:space="preserve">Complex signed 16-bit sample: int16 I + int16 Q = 4 bytes.</t>
  </si>
  <si>
    <t xml:space="preserve">Digital down-conversion / numerically controlled oscillator.</t>
  </si>
  <si>
    <t xml:space="preserve">Direct digital synthesiser (PL DDS compiler) - the DAC's on-chip test source.</t>
  </si>
  <si>
    <t xml:space="preserve">DF / HF / FF / SF</t>
  </si>
  <si>
    <t xml:space="preserve">Deliverable / Hardware / Firmware / Software Files folders.</t>
  </si>
  <si>
    <t xml:space="preserve">BN / SC / UM / AT / TS</t>
  </si>
  <si>
    <t xml:space="preserve">Binaries / Source Code / User Manual / Acceptance Test / Test Suite folders.</t>
  </si>
  <si>
    <t xml:space="preserve">DSA</t>
  </si>
  <si>
    <t xml:space="preserve">Digital step attenuator on the RF-ADC input (0-27 dB, payload dB x 10).</t>
  </si>
  <si>
    <t xml:space="preserve">ENBW</t>
  </si>
  <si>
    <t xml:space="preserve">Equivalent noise bandwidth of a window, N*sum(w^2)/(sum w)^2 bins.</t>
  </si>
  <si>
    <t xml:space="preserve">Effective number of bits, (SINAD - 1.76)/6.02.</t>
  </si>
  <si>
    <t xml:space="preserve">EVM</t>
  </si>
  <si>
    <t xml:space="preserve">Error vector magnitude, sqrt(sum|p-ideal|^2 / sum|ideal|^2).</t>
  </si>
  <si>
    <t xml:space="preserve">iwfg</t>
  </si>
  <si>
    <t xml:space="preserve">The project's QDMA kernel driver (/dev/iwfg0 C2H, /dev/iwfg1 H2C).</t>
  </si>
  <si>
    <t xml:space="preserve">2^20 bytes per second (all DMA rates in this workbook).</t>
  </si>
  <si>
    <t xml:space="preserve">Multi-tile synchronisation of the RF data converter.</t>
  </si>
  <si>
    <t xml:space="preserve">PL / PS</t>
  </si>
  <si>
    <t xml:space="preserve">Programmable logic / processing system of the Zynq UltraScale+ device.</t>
  </si>
  <si>
    <t xml:space="preserve">QDMA</t>
  </si>
  <si>
    <t xml:space="preserve">AMD/Xilinx queue-based DMA subsystem for PCIe.</t>
  </si>
  <si>
    <t xml:space="preserve">QMC</t>
  </si>
  <si>
    <t xml:space="preserve">Quadrature modulator correction (gain/phase/offset) in the RF data converter.</t>
  </si>
  <si>
    <t xml:space="preserve">RFDC</t>
  </si>
  <si>
    <t xml:space="preserve">RF data converter (XRFdc).</t>
  </si>
  <si>
    <t xml:space="preserve">RoCEv2</t>
  </si>
  <si>
    <t xml:space="preserve">RDMA over Converged Ethernet v2 - optional GUI data path.</t>
  </si>
  <si>
    <t xml:space="preserve">SFDR / SINAD / SNR / THD</t>
  </si>
  <si>
    <t xml:space="preserve">Spur-free dynamic range / signal to noise-and-distortion / signal-to-noise / total harmonic distortion.</t>
  </si>
  <si>
    <t xml:space="preserve">TREADY</t>
  </si>
  <si>
    <t xml:space="preserve">AXI-Stream ready handshake - absent on the DAC input, so starvation plays stale data.</t>
  </si>
  <si>
    <t xml:space="preserve">VOP</t>
  </si>
  <si>
    <t xml:space="preserve">RF-DAC output current setting (uA).</t>
  </si>
  <si>
    <t xml:space="preserve">Revision</t>
  </si>
  <si>
    <t xml:space="preserve">Software</t>
  </si>
  <si>
    <t xml:space="preserve">Description</t>
  </si>
  <si>
    <t xml:space="preserve">REL1.0</t>
  </si>
  <si>
    <t xml:space="preserve">1.2.5</t>
  </si>
  <si>
    <t xml:space="preserve">05-Oct-2026</t>
  </si>
  <si>
    <t xml:space="preserve">First formal release package iW-ASCEJ-01. API catalogue of the math/DSP, GUI, QDMA/driver, firmware and PCIe control layers; live engineering calculations; package structure; system data path; test coverage. Software 1.2.5: transmit guard, ordered stop, stalled-capture device reset, same-size H2C reopen, 1 MiB capture pipe, QMC gain check.</t>
  </si>
  <si>
    <t xml:space="preserve">Earlier software history (1.0.0 - 1.2.4) is in UM/02_Developer_Notes/CHANGELOG.md.</t>
  </si>
</sst>
</file>

<file path=xl/styles.xml><?xml version="1.0" encoding="utf-8"?>
<styleSheet xmlns="http://schemas.openxmlformats.org/spreadsheetml/2006/main">
  <numFmts count="10">
    <numFmt numFmtId="164" formatCode="General"/>
    <numFmt numFmtId="165" formatCode="0.0%"/>
    <numFmt numFmtId="166" formatCode="#,##0.00"/>
    <numFmt numFmtId="167" formatCode="0.00%"/>
    <numFmt numFmtId="168" formatCode="#,##0.000"/>
    <numFmt numFmtId="169" formatCode="#,##0"/>
    <numFmt numFmtId="170" formatCode="0.0000"/>
    <numFmt numFmtId="171" formatCode="0.00"/>
    <numFmt numFmtId="172" formatCode="0.000"/>
    <numFmt numFmtId="173" formatCode="0.0"/>
  </numFmts>
  <fonts count="24">
    <font>
      <sz val="11"/>
      <color theme="1"/>
      <name val="Calibri"/>
      <family val="2"/>
      <charset val="1"/>
    </font>
    <font>
      <sz val="10"/>
      <name val="Arial"/>
      <family val="0"/>
    </font>
    <font>
      <sz val="10"/>
      <name val="Arial"/>
      <family val="0"/>
    </font>
    <font>
      <sz val="10"/>
      <name val="Arial"/>
      <family val="0"/>
    </font>
    <font>
      <b val="true"/>
      <sz val="12"/>
      <color rgb="FF2E75B6"/>
      <name val="Arial"/>
      <family val="0"/>
      <charset val="1"/>
    </font>
    <font>
      <b val="true"/>
      <sz val="22"/>
      <color rgb="FF1F3864"/>
      <name val="Arial"/>
      <family val="0"/>
      <charset val="1"/>
    </font>
    <font>
      <i val="true"/>
      <sz val="10"/>
      <color rgb="FF404040"/>
      <name val="Arial"/>
      <family val="0"/>
      <charset val="1"/>
    </font>
    <font>
      <b val="true"/>
      <sz val="9"/>
      <color rgb="FF000000"/>
      <name val="Arial"/>
      <family val="0"/>
      <charset val="1"/>
    </font>
    <font>
      <sz val="10"/>
      <name val="Arial"/>
      <family val="0"/>
      <charset val="1"/>
    </font>
    <font>
      <b val="true"/>
      <sz val="11"/>
      <color rgb="FF1F3864"/>
      <name val="Arial"/>
      <family val="0"/>
      <charset val="1"/>
    </font>
    <font>
      <sz val="9"/>
      <color rgb="FF0000FF"/>
      <name val="Arial"/>
      <family val="0"/>
      <charset val="1"/>
    </font>
    <font>
      <i val="true"/>
      <sz val="8"/>
      <color rgb="FF595959"/>
      <name val="Arial"/>
      <family val="0"/>
      <charset val="1"/>
    </font>
    <font>
      <sz val="9"/>
      <color rgb="FF000000"/>
      <name val="Arial"/>
      <family val="0"/>
      <charset val="1"/>
    </font>
    <font>
      <b val="true"/>
      <sz val="16"/>
      <color rgb="FF1F3864"/>
      <name val="Arial"/>
      <family val="0"/>
      <charset val="1"/>
    </font>
    <font>
      <b val="true"/>
      <sz val="10"/>
      <color rgb="FFFFFFFF"/>
      <name val="Arial"/>
      <family val="0"/>
      <charset val="1"/>
    </font>
    <font>
      <u val="single"/>
      <sz val="9"/>
      <color rgb="FF0563C1"/>
      <name val="Arial"/>
      <family val="0"/>
      <charset val="1"/>
    </font>
    <font>
      <b val="true"/>
      <sz val="11"/>
      <color rgb="FFFFFFFF"/>
      <name val="Arial"/>
      <family val="0"/>
      <charset val="1"/>
    </font>
    <font>
      <b val="true"/>
      <sz val="9"/>
      <color rgb="FF1F3864"/>
      <name val="Consolas"/>
      <family val="0"/>
      <charset val="1"/>
    </font>
    <font>
      <sz val="9"/>
      <color rgb="FF1F3864"/>
      <name val="Consolas"/>
      <family val="0"/>
      <charset val="1"/>
    </font>
    <font>
      <sz val="9"/>
      <name val="Consolas"/>
      <family val="0"/>
      <charset val="1"/>
    </font>
    <font>
      <sz val="9"/>
      <color rgb="FF008000"/>
      <name val="Arial"/>
      <family val="0"/>
      <charset val="1"/>
    </font>
    <font>
      <sz val="10"/>
      <name val="Arial"/>
      <family val="2"/>
    </font>
    <font>
      <b val="true"/>
      <sz val="9"/>
      <color rgb="FF1F3864"/>
      <name val="Arial"/>
      <family val="0"/>
      <charset val="1"/>
    </font>
    <font>
      <sz val="9"/>
      <color rgb="FF000000"/>
      <name val="Consolas"/>
      <family val="0"/>
      <charset val="1"/>
    </font>
  </fonts>
  <fills count="7">
    <fill>
      <patternFill patternType="none"/>
    </fill>
    <fill>
      <patternFill patternType="gray125"/>
    </fill>
    <fill>
      <patternFill patternType="solid">
        <fgColor rgb="FFDDEBF7"/>
        <bgColor rgb="FFF3F7FB"/>
      </patternFill>
    </fill>
    <fill>
      <patternFill patternType="solid">
        <fgColor rgb="FFFFFF00"/>
        <bgColor rgb="FFFFFF00"/>
      </patternFill>
    </fill>
    <fill>
      <patternFill patternType="solid">
        <fgColor rgb="FF1F3864"/>
        <bgColor rgb="FF333399"/>
      </patternFill>
    </fill>
    <fill>
      <patternFill patternType="solid">
        <fgColor rgb="FF2E75B6"/>
        <bgColor rgb="FF0563C1"/>
      </patternFill>
    </fill>
    <fill>
      <patternFill patternType="solid">
        <fgColor rgb="FFF3F7FB"/>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right" vertical="top"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16" fillId="5" borderId="0"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6" fontId="20" fillId="0" borderId="1" xfId="0" applyFont="true" applyBorder="true" applyAlignment="true" applyProtection="false">
      <alignment horizontal="left" vertical="top" textRotation="0" wrapText="false" indent="0" shrinkToFit="false"/>
      <protection locked="true" hidden="false"/>
    </xf>
    <xf numFmtId="167" fontId="20" fillId="0" borderId="1" xfId="0" applyFont="true" applyBorder="true" applyAlignment="true" applyProtection="false">
      <alignment horizontal="left" vertical="top"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right" vertical="top" textRotation="0" wrapText="false" indent="0" shrinkToFit="false"/>
      <protection locked="true" hidden="false"/>
    </xf>
    <xf numFmtId="164" fontId="7" fillId="0" borderId="1" xfId="0" applyFont="true" applyBorder="true" applyAlignment="true" applyProtection="false">
      <alignment horizontal="right" vertical="top" textRotation="0" wrapText="false" indent="0" shrinkToFit="false"/>
      <protection locked="true" hidden="false"/>
    </xf>
    <xf numFmtId="168" fontId="7" fillId="0" borderId="1" xfId="0" applyFont="true" applyBorder="true" applyAlignment="true" applyProtection="false">
      <alignment horizontal="right" vertical="top" textRotation="0" wrapText="false" indent="0" shrinkToFit="false"/>
      <protection locked="true" hidden="false"/>
    </xf>
    <xf numFmtId="169" fontId="7" fillId="0" borderId="1" xfId="0" applyFont="true" applyBorder="true" applyAlignment="true" applyProtection="false">
      <alignment horizontal="right" vertical="top" textRotation="0" wrapText="false" indent="0" shrinkToFit="false"/>
      <protection locked="true" hidden="false"/>
    </xf>
    <xf numFmtId="169" fontId="10" fillId="3" borderId="1" xfId="0" applyFont="true" applyBorder="true" applyAlignment="true" applyProtection="false">
      <alignment horizontal="right" vertical="top" textRotation="0" wrapText="false" indent="0" shrinkToFit="false"/>
      <protection locked="true" hidden="false"/>
    </xf>
    <xf numFmtId="168" fontId="20" fillId="0" borderId="1" xfId="0" applyFont="true" applyBorder="true" applyAlignment="true" applyProtection="false">
      <alignment horizontal="right" vertical="top" textRotation="0" wrapText="false" indent="0" shrinkToFit="false"/>
      <protection locked="true" hidden="false"/>
    </xf>
    <xf numFmtId="167" fontId="7" fillId="0" borderId="1" xfId="0" applyFont="true" applyBorder="true" applyAlignment="true" applyProtection="false">
      <alignment horizontal="right" vertical="top" textRotation="0" wrapText="false" indent="0" shrinkToFit="false"/>
      <protection locked="true" hidden="false"/>
    </xf>
    <xf numFmtId="167" fontId="10" fillId="3" borderId="1" xfId="0" applyFont="true" applyBorder="true" applyAlignment="true" applyProtection="false">
      <alignment horizontal="right" vertical="top"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70" fontId="12" fillId="0" borderId="1" xfId="0" applyFont="true" applyBorder="true" applyAlignment="true" applyProtection="false">
      <alignment horizontal="general" vertical="top" textRotation="0" wrapText="true" indent="0" shrinkToFit="false"/>
      <protection locked="true" hidden="false"/>
    </xf>
    <xf numFmtId="171" fontId="12" fillId="0" borderId="1" xfId="0" applyFont="true" applyBorder="true" applyAlignment="true" applyProtection="false">
      <alignment horizontal="general" vertical="top" textRotation="0" wrapText="true" indent="0" shrinkToFit="false"/>
      <protection locked="true" hidden="false"/>
    </xf>
    <xf numFmtId="169" fontId="10" fillId="3" borderId="1" xfId="0" applyFont="true" applyBorder="true" applyAlignment="true" applyProtection="false">
      <alignment horizontal="general" vertical="top" textRotation="0" wrapText="true" indent="0" shrinkToFit="false"/>
      <protection locked="true" hidden="false"/>
    </xf>
    <xf numFmtId="169" fontId="12" fillId="0" borderId="1" xfId="0" applyFont="true" applyBorder="true" applyAlignment="true" applyProtection="false">
      <alignment horizontal="general" vertical="top" textRotation="0" wrapText="true" indent="0" shrinkToFit="false"/>
      <protection locked="true" hidden="false"/>
    </xf>
    <xf numFmtId="166" fontId="12" fillId="0" borderId="1" xfId="0" applyFont="true" applyBorder="true" applyAlignment="true" applyProtection="false">
      <alignment horizontal="general" vertical="top" textRotation="0" wrapText="true" indent="0" shrinkToFit="false"/>
      <protection locked="true" hidden="false"/>
    </xf>
    <xf numFmtId="172" fontId="12" fillId="0" borderId="1" xfId="0" applyFont="true" applyBorder="true" applyAlignment="true" applyProtection="false">
      <alignment horizontal="general" vertical="top" textRotation="0" wrapText="true" indent="0" shrinkToFit="false"/>
      <protection locked="true" hidden="false"/>
    </xf>
    <xf numFmtId="167" fontId="12" fillId="0" borderId="1" xfId="0" applyFont="true" applyBorder="true" applyAlignment="true" applyProtection="false">
      <alignment horizontal="general" vertical="top" textRotation="0" wrapText="true" indent="0" shrinkToFit="false"/>
      <protection locked="true" hidden="false"/>
    </xf>
    <xf numFmtId="173" fontId="12" fillId="0" borderId="1" xfId="0" applyFont="true" applyBorder="true" applyAlignment="true" applyProtection="false">
      <alignment horizontal="general" vertical="top" textRotation="0" wrapText="true" indent="0" shrinkToFit="false"/>
      <protection locked="true" hidden="false"/>
    </xf>
    <xf numFmtId="164" fontId="12" fillId="2" borderId="1" xfId="0" applyFont="true" applyBorder="true" applyAlignment="true" applyProtection="false">
      <alignment horizontal="center" vertical="top" textRotation="0" wrapText="true" indent="0" shrinkToFit="false"/>
      <protection locked="true" hidden="false"/>
    </xf>
    <xf numFmtId="169" fontId="12" fillId="2" borderId="1" xfId="0" applyFont="true" applyBorder="true" applyAlignment="true" applyProtection="false">
      <alignment horizontal="general" vertical="top" textRotation="0" wrapText="true" indent="0" shrinkToFit="false"/>
      <protection locked="true" hidden="false"/>
    </xf>
    <xf numFmtId="166" fontId="12" fillId="2" borderId="1" xfId="0" applyFont="true" applyBorder="true" applyAlignment="true" applyProtection="false">
      <alignment horizontal="general" vertical="top" textRotation="0" wrapText="true" indent="0" shrinkToFit="false"/>
      <protection locked="true" hidden="false"/>
    </xf>
    <xf numFmtId="172" fontId="12" fillId="2" borderId="1" xfId="0" applyFont="true" applyBorder="true" applyAlignment="true" applyProtection="false">
      <alignment horizontal="general" vertical="top" textRotation="0" wrapText="true" indent="0" shrinkToFit="false"/>
      <protection locked="true" hidden="false"/>
    </xf>
    <xf numFmtId="167" fontId="12" fillId="2" borderId="1" xfId="0" applyFont="true" applyBorder="true" applyAlignment="true" applyProtection="false">
      <alignment horizontal="general" vertical="top" textRotation="0" wrapText="true" indent="0" shrinkToFit="false"/>
      <protection locked="true" hidden="false"/>
    </xf>
    <xf numFmtId="173" fontId="12" fillId="2" borderId="1" xfId="0" applyFont="true" applyBorder="true" applyAlignment="true" applyProtection="false">
      <alignment horizontal="general" vertical="top" textRotation="0" wrapText="true" indent="0" shrinkToFit="false"/>
      <protection locked="true" hidden="false"/>
    </xf>
    <xf numFmtId="164" fontId="12" fillId="2" borderId="1" xfId="0" applyFont="true" applyBorder="tru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4" fontId="23" fillId="0"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general" vertical="top" textRotation="0" wrapText="true" indent="0" shrinkToFit="false"/>
      <protection locked="true" hidden="false"/>
    </xf>
    <xf numFmtId="164" fontId="22" fillId="6" borderId="1" xfId="0" applyFont="true" applyBorder="true" applyAlignment="true" applyProtection="false">
      <alignment horizontal="general" vertical="top" textRotation="0" wrapText="true" indent="0" shrinkToFit="false"/>
      <protection locked="true" hidden="false"/>
    </xf>
    <xf numFmtId="164" fontId="23" fillId="6" borderId="1" xfId="0" applyFont="true" applyBorder="tru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fgColor rgb="FFF3F7F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3F7FB"/>
      <rgbColor rgb="FFDD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iW-ASCEJ-01-API-Reference-R1.0-REL1.0.xlsx" TargetMode="External"/><Relationship Id="rId2" Type="http://schemas.openxmlformats.org/officeDocument/2006/relationships/hyperlink" Target="iW-ASCEJ-01-API-Reference-R1.0-REL1.0.xlsx" TargetMode="External"/><Relationship Id="rId3" Type="http://schemas.openxmlformats.org/officeDocument/2006/relationships/hyperlink" Target="iW-ASCEJ-01-API-Reference-R1.0-REL1.0.xlsx" TargetMode="External"/><Relationship Id="rId4" Type="http://schemas.openxmlformats.org/officeDocument/2006/relationships/hyperlink" Target="iW-ASCEJ-01-API-Reference-R1.0-REL1.0.xlsx" TargetMode="External"/><Relationship Id="rId5" Type="http://schemas.openxmlformats.org/officeDocument/2006/relationships/hyperlink" Target="iW-ASCEJ-01-API-Reference-R1.0-REL1.0.xlsx" TargetMode="External"/><Relationship Id="rId6" Type="http://schemas.openxmlformats.org/officeDocument/2006/relationships/hyperlink" Target="iW-ASCEJ-01-API-Reference-R1.0-REL1.0.xlsx" TargetMode="External"/><Relationship Id="rId7" Type="http://schemas.openxmlformats.org/officeDocument/2006/relationships/hyperlink" Target="iW-ASCEJ-01-API-Reference-R1.0-REL1.0.xlsx" TargetMode="External"/><Relationship Id="rId8" Type="http://schemas.openxmlformats.org/officeDocument/2006/relationships/hyperlink" Target="iW-ASCEJ-01-API-Reference-R1.0-REL1.0.xlsx" TargetMode="External"/><Relationship Id="rId9" Type="http://schemas.openxmlformats.org/officeDocument/2006/relationships/hyperlink" Target="iW-ASCEJ-01-API-Reference-R1.0-REL1.0.xlsx" TargetMode="External"/><Relationship Id="rId10" Type="http://schemas.openxmlformats.org/officeDocument/2006/relationships/hyperlink" Target="iW-ASCEJ-01-API-Reference-R1.0-REL1.0.xlsx" TargetMode="External"/><Relationship Id="rId11" Type="http://schemas.openxmlformats.org/officeDocument/2006/relationships/hyperlink" Target="iW-ASCEJ-01-API-Reference-R1.0-REL1.0.xlsx" TargetMode="External"/><Relationship Id="rId12" Type="http://schemas.openxmlformats.org/officeDocument/2006/relationships/hyperlink" Target="iW-ASCEJ-01-API-Reference-R1.0-REL1.0.xlsx" TargetMode="External"/><Relationship Id="rId13" Type="http://schemas.openxmlformats.org/officeDocument/2006/relationships/hyperlink" Target="iW-ASCEJ-01-API-Reference-R1.0-REL1.0.xlsx" TargetMode="External"/><Relationship Id="rId14" Type="http://schemas.openxmlformats.org/officeDocument/2006/relationships/hyperlink" Target="iW-ASCEJ-01-API-Reference-R1.0-REL1.0.xlsx" TargetMode="External"/><Relationship Id="rId15" Type="http://schemas.openxmlformats.org/officeDocument/2006/relationships/hyperlink" Target="iW-ASCEJ-01-API-Reference-R1.0-REL1.0.xlsx" TargetMode="External"/><Relationship Id="rId16" Type="http://schemas.openxmlformats.org/officeDocument/2006/relationships/hyperlink" Target="iW-ASCEJ-01-API-Reference-R1.0-REL1.0.xlsx" TargetMode="External"/><Relationship Id="rId17" Type="http://schemas.openxmlformats.org/officeDocument/2006/relationships/hyperlink" Target="iW-ASCEJ-01-API-Reference-R1.0-REL1.0.xlsx" TargetMode="External"/><Relationship Id="rId18" Type="http://schemas.openxmlformats.org/officeDocument/2006/relationships/hyperlink" Target="iW-ASCEJ-01-API-Reference-R1.0-REL1.0.xlsx" TargetMode="External"/><Relationship Id="rId19" Type="http://schemas.openxmlformats.org/officeDocument/2006/relationships/hyperlink" Target="iW-ASCEJ-01-API-Reference-R1.0-REL1.0.xlsx" TargetMode="External"/><Relationship Id="rId20" Type="http://schemas.openxmlformats.org/officeDocument/2006/relationships/hyperlink" Target="iW-ASCEJ-01-API-Reference-R1.0-REL1.0.xlsx" TargetMode="External"/>
</Relationships>
</file>

<file path=xl/worksheets/_rels/sheet3.xml.rels><?xml version="1.0" encoding="UTF-8"?>
<Relationships xmlns="http://schemas.openxmlformats.org/package/2006/relationships"><Relationship Id="rId1" Type="http://schemas.openxmlformats.org/officeDocument/2006/relationships/hyperlink" Target="iW-ASCEJ-01-API-Reference-R1.0-REL1.0.xlsx" TargetMode="External"/><Relationship Id="rId2" Type="http://schemas.openxmlformats.org/officeDocument/2006/relationships/hyperlink" Target="iW-ASCEJ-01-API-Reference-R1.0-REL1.0.xlsx" TargetMode="External"/><Relationship Id="rId3" Type="http://schemas.openxmlformats.org/officeDocument/2006/relationships/hyperlink" Target="iW-ASCEJ-01-API-Reference-R1.0-REL1.0.xlsx" TargetMode="External"/><Relationship Id="rId4" Type="http://schemas.openxmlformats.org/officeDocument/2006/relationships/hyperlink" Target="iW-ASCEJ-01-API-Reference-R1.0-REL1.0.xlsx" TargetMode="External"/><Relationship Id="rId5" Type="http://schemas.openxmlformats.org/officeDocument/2006/relationships/hyperlink" Target="iW-ASCEJ-01-API-Reference-R1.0-REL1.0.xlsx" TargetMode="External"/><Relationship Id="rId6" Type="http://schemas.openxmlformats.org/officeDocument/2006/relationships/hyperlink" Target="iW-ASCEJ-01-API-Reference-R1.0-REL1.0.xlsx" TargetMode="External"/><Relationship Id="rId7" Type="http://schemas.openxmlformats.org/officeDocument/2006/relationships/hyperlink" Target="iW-ASCEJ-01-API-Reference-R1.0-REL1.0.xlsx" TargetMode="External"/><Relationship Id="rId8" Type="http://schemas.openxmlformats.org/officeDocument/2006/relationships/hyperlink" Target="iW-ASCEJ-01-API-Reference-R1.0-REL1.0.xlsx" TargetMode="External"/><Relationship Id="rId9" Type="http://schemas.openxmlformats.org/officeDocument/2006/relationships/hyperlink" Target="iW-ASCEJ-01-API-Reference-R1.0-REL1.0.xlsx" TargetMode="External"/><Relationship Id="rId10" Type="http://schemas.openxmlformats.org/officeDocument/2006/relationships/hyperlink" Target="iW-ASCEJ-01-API-Reference-R1.0-REL1.0.xlsx" TargetMode="External"/><Relationship Id="rId11" Type="http://schemas.openxmlformats.org/officeDocument/2006/relationships/hyperlink" Target="iW-ASCEJ-01-API-Reference-R1.0-REL1.0.xlsx" TargetMode="External"/><Relationship Id="rId12" Type="http://schemas.openxmlformats.org/officeDocument/2006/relationships/hyperlink" Target="iW-ASCEJ-01-API-Reference-R1.0-REL1.0.xlsx" TargetMode="Externa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_rels/sheet11.xml.rels><?xml version="1.0" encoding="UTF-8"?>
<Relationships xmlns="http://schemas.openxmlformats.org/package/2006/relationships"><Relationship Id="rId1" Type="http://schemas.openxmlformats.org/officeDocument/2006/relationships/drawing" Target="../drawings/drawing4.xml"/>
</Relationships>
</file>

<file path=xl/worksheets/_rels/sheet12.xml.rels><?xml version="1.0" encoding="UTF-8"?>
<Relationships xmlns="http://schemas.openxmlformats.org/package/2006/relationships"><Relationship Id="rId1" Type="http://schemas.openxmlformats.org/officeDocument/2006/relationships/drawing" Target="../drawings/drawing5.xml"/>
</Relationships>
</file>

<file path=xl/worksheets/_rels/sheet13.xml.rels><?xml version="1.0" encoding="UTF-8"?>
<Relationships xmlns="http://schemas.openxmlformats.org/package/2006/relationships"><Relationship Id="rId1" Type="http://schemas.openxmlformats.org/officeDocument/2006/relationships/drawing" Target="../drawings/drawing6.xml"/>
</Relationships>
</file>

<file path=xl/worksheets/_rels/sheet14.xml.rels><?xml version="1.0" encoding="UTF-8"?>
<Relationships xmlns="http://schemas.openxmlformats.org/package/2006/relationships"><Relationship Id="rId1" Type="http://schemas.openxmlformats.org/officeDocument/2006/relationships/drawing" Target="../drawings/drawing7.xml"/>
</Relationships>
</file>

<file path=xl/worksheets/_rels/sheet15.xml.rels><?xml version="1.0" encoding="UTF-8"?>
<Relationships xmlns="http://schemas.openxmlformats.org/package/2006/relationships"><Relationship Id="rId1" Type="http://schemas.openxmlformats.org/officeDocument/2006/relationships/drawing" Target="../drawings/drawing8.xml"/>
</Relationships>
</file>

<file path=xl/worksheets/_rels/sheet16.xml.rels><?xml version="1.0" encoding="UTF-8"?>
<Relationships xmlns="http://schemas.openxmlformats.org/package/2006/relationships"><Relationship Id="rId1" Type="http://schemas.openxmlformats.org/officeDocument/2006/relationships/drawing" Target="../drawings/drawing9.xml"/>
</Relationships>
</file>

<file path=xl/worksheets/_rels/sheet17.xml.rels><?xml version="1.0" encoding="UTF-8"?>
<Relationships xmlns="http://schemas.openxmlformats.org/package/2006/relationships"><Relationship Id="rId1" Type="http://schemas.openxmlformats.org/officeDocument/2006/relationships/drawing" Target="../drawings/drawing10.xml"/>
</Relationships>
</file>

<file path=xl/worksheets/_rels/sheet18.xml.rels><?xml version="1.0" encoding="UTF-8"?>
<Relationships xmlns="http://schemas.openxmlformats.org/package/2006/relationships"><Relationship Id="rId1" Type="http://schemas.openxmlformats.org/officeDocument/2006/relationships/drawing" Target="../drawings/drawing11.xml"/>
</Relationships>
</file>

<file path=xl/worksheets/_rels/sheet19.xml.rels><?xml version="1.0" encoding="UTF-8"?>
<Relationships xmlns="http://schemas.openxmlformats.org/package/2006/relationships"><Relationship Id="rId1" Type="http://schemas.openxmlformats.org/officeDocument/2006/relationships/drawing" Target="../drawings/drawing1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C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70"/>
  </cols>
  <sheetData>
    <row r="2" customFormat="false" ht="15" hidden="false" customHeight="false" outlineLevel="0" collapsed="false">
      <c r="B2" s="1" t="s">
        <v>0</v>
      </c>
    </row>
    <row r="3" customFormat="false" ht="26.8" hidden="false" customHeight="false" outlineLevel="0" collapsed="false">
      <c r="B3" s="2" t="s">
        <v>1</v>
      </c>
    </row>
    <row r="4" customFormat="false" ht="15" hidden="false" customHeight="false" outlineLevel="0" collapsed="false">
      <c r="B4" s="3" t="s">
        <v>2</v>
      </c>
    </row>
    <row r="7" customFormat="false" ht="15" hidden="false" customHeight="false" outlineLevel="0" collapsed="false">
      <c r="B7" s="4" t="s">
        <v>3</v>
      </c>
      <c r="C7" s="5" t="s">
        <v>4</v>
      </c>
    </row>
    <row r="8" customFormat="false" ht="15" hidden="false" customHeight="false" outlineLevel="0" collapsed="false">
      <c r="B8" s="4" t="s">
        <v>5</v>
      </c>
      <c r="C8" s="5" t="s">
        <v>6</v>
      </c>
    </row>
    <row r="9" customFormat="false" ht="15" hidden="false" customHeight="false" outlineLevel="0" collapsed="false">
      <c r="B9" s="4" t="s">
        <v>7</v>
      </c>
      <c r="C9" s="5" t="s">
        <v>8</v>
      </c>
    </row>
    <row r="10" customFormat="false" ht="15" hidden="false" customHeight="false" outlineLevel="0" collapsed="false">
      <c r="B10" s="4" t="s">
        <v>9</v>
      </c>
      <c r="C10" s="5" t="s">
        <v>10</v>
      </c>
    </row>
    <row r="11" customFormat="false" ht="15" hidden="false" customHeight="false" outlineLevel="0" collapsed="false">
      <c r="B11" s="4" t="s">
        <v>11</v>
      </c>
      <c r="C11" s="5" t="s">
        <v>12</v>
      </c>
    </row>
    <row r="12" customFormat="false" ht="15" hidden="false" customHeight="false" outlineLevel="0" collapsed="false">
      <c r="B12" s="4" t="s">
        <v>13</v>
      </c>
      <c r="C12" s="5" t="s">
        <v>14</v>
      </c>
    </row>
    <row r="13" customFormat="false" ht="15" hidden="false" customHeight="false" outlineLevel="0" collapsed="false">
      <c r="B13" s="4" t="s">
        <v>15</v>
      </c>
      <c r="C13" s="5" t="s">
        <v>16</v>
      </c>
    </row>
    <row r="14" customFormat="false" ht="15" hidden="false" customHeight="false" outlineLevel="0" collapsed="false">
      <c r="B14" s="4" t="s">
        <v>17</v>
      </c>
      <c r="C14" s="5" t="s">
        <v>18</v>
      </c>
    </row>
    <row r="15" customFormat="false" ht="15" hidden="false" customHeight="false" outlineLevel="0" collapsed="false">
      <c r="B15" s="4" t="s">
        <v>19</v>
      </c>
      <c r="C15" s="5" t="s">
        <v>20</v>
      </c>
    </row>
    <row r="16" customFormat="false" ht="15" hidden="false" customHeight="false" outlineLevel="0" collapsed="false">
      <c r="B16" s="4" t="s">
        <v>21</v>
      </c>
      <c r="C16" s="5" t="n">
        <f aca="false">SUM(Summary!C6:C17)</f>
        <v>1737</v>
      </c>
    </row>
    <row r="17" customFormat="false" ht="15" hidden="false" customHeight="false" outlineLevel="0" collapsed="false">
      <c r="B17" s="4" t="s">
        <v>22</v>
      </c>
      <c r="C17" s="5" t="n">
        <f aca="false">COUNTIF(Calculations!G:G,"Formula")</f>
        <v>92</v>
      </c>
    </row>
    <row r="18" customFormat="false" ht="15" hidden="false" customHeight="false" outlineLevel="0" collapsed="false">
      <c r="B18" s="4" t="s">
        <v>23</v>
      </c>
      <c r="C18" s="5" t="n">
        <f aca="false">COUNTIF(Calculations!G:G,"Input")</f>
        <v>62</v>
      </c>
    </row>
    <row r="20" customFormat="false" ht="15" hidden="false" customHeight="false" outlineLevel="0" collapsed="false">
      <c r="B20" s="6" t="s">
        <v>24</v>
      </c>
    </row>
    <row r="21" customFormat="false" ht="15" hidden="false" customHeight="false" outlineLevel="0" collapsed="false">
      <c r="B21" s="7" t="s">
        <v>25</v>
      </c>
      <c r="C21" s="8"/>
    </row>
    <row r="22" customFormat="false" ht="15" hidden="false" customHeight="false" outlineLevel="0" collapsed="false">
      <c r="B22" s="7" t="s">
        <v>26</v>
      </c>
      <c r="C22" s="8"/>
    </row>
    <row r="23" customFormat="false" ht="15" hidden="false" customHeight="false" outlineLevel="0" collapsed="false">
      <c r="B23" s="7" t="s">
        <v>27</v>
      </c>
      <c r="C23" s="8"/>
    </row>
    <row r="24" customFormat="false" ht="15" hidden="false" customHeight="false" outlineLevel="0" collapsed="false">
      <c r="B24" s="9" t="s">
        <v>28</v>
      </c>
    </row>
    <row r="26" customFormat="false" ht="15" hidden="false" customHeight="false" outlineLevel="0" collapsed="false">
      <c r="B26" s="6" t="s">
        <v>29</v>
      </c>
    </row>
    <row r="27" customFormat="false" ht="13.5" hidden="false" customHeight="true" outlineLevel="0" collapsed="false">
      <c r="B27" s="10" t="s">
        <v>30</v>
      </c>
      <c r="C27" s="11" t="s">
        <v>31</v>
      </c>
    </row>
    <row r="28" customFormat="false" ht="42" hidden="false" customHeight="true" outlineLevel="0" collapsed="false">
      <c r="B28" s="10" t="s">
        <v>30</v>
      </c>
      <c r="C28" s="11" t="s">
        <v>32</v>
      </c>
    </row>
    <row r="29" customFormat="false" ht="27.75" hidden="false" customHeight="true" outlineLevel="0" collapsed="false">
      <c r="B29" s="10" t="s">
        <v>30</v>
      </c>
      <c r="C29" s="11" t="s">
        <v>33</v>
      </c>
    </row>
    <row r="30" customFormat="false" ht="42" hidden="false" customHeight="true" outlineLevel="0" collapsed="false">
      <c r="B30" s="10" t="s">
        <v>30</v>
      </c>
      <c r="C30" s="11" t="s">
        <v>34</v>
      </c>
    </row>
    <row r="31" customFormat="false" ht="27.75" hidden="false" customHeight="true" outlineLevel="0" collapsed="false">
      <c r="B31" s="10" t="s">
        <v>30</v>
      </c>
      <c r="C31" s="11" t="s">
        <v>35</v>
      </c>
    </row>
    <row r="32" customFormat="false" ht="27.75" hidden="false" customHeight="true" outlineLevel="0" collapsed="false">
      <c r="B32" s="10" t="s">
        <v>30</v>
      </c>
      <c r="C32" s="11" t="s">
        <v>36</v>
      </c>
    </row>
  </sheetData>
  <printOptions headings="false" gridLines="false" gridLinesSet="true" horizontalCentered="true" verticalCentered="false"/>
  <pageMargins left="0.4" right="0.4" top="0.5" bottom="0.5"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&amp;LiW-ASCEJ-01-API-Reference-R1.0-REL1.0&amp;C&amp;A&amp;RPage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100"/>
    <col collapsed="false" customWidth="true" hidden="false" outlineLevel="0" max="4" min="4" style="0" width="10"/>
  </cols>
  <sheetData>
    <row r="1" customFormat="false" ht="25.5" hidden="false" customHeight="true" outlineLevel="0" collapsed="false">
      <c r="A1" s="12" t="s">
        <v>37</v>
      </c>
    </row>
    <row r="2" customFormat="false" ht="30" hidden="false" customHeight="true" outlineLevel="0" collapsed="false">
      <c r="A2" s="13" t="s">
        <v>38</v>
      </c>
      <c r="B2" s="13"/>
      <c r="C2" s="13"/>
      <c r="D2" s="13"/>
    </row>
    <row r="4" customFormat="false" ht="30" hidden="false" customHeight="true" outlineLevel="0" collapsed="false">
      <c r="A4" s="14" t="s">
        <v>39</v>
      </c>
      <c r="B4" s="14" t="s">
        <v>40</v>
      </c>
      <c r="C4" s="14" t="s">
        <v>41</v>
      </c>
      <c r="D4" s="14" t="s">
        <v>42</v>
      </c>
    </row>
    <row r="5" customFormat="false" ht="15" hidden="false" customHeight="false" outlineLevel="0" collapsed="false">
      <c r="A5" s="15" t="n">
        <v>1</v>
      </c>
      <c r="B5" s="16" t="s">
        <v>43</v>
      </c>
      <c r="C5" s="17" t="s">
        <v>44</v>
      </c>
      <c r="D5" s="17"/>
    </row>
    <row r="6" customFormat="false" ht="15" hidden="false" customHeight="false" outlineLevel="0" collapsed="false">
      <c r="A6" s="15" t="n">
        <v>2</v>
      </c>
      <c r="B6" s="16" t="s">
        <v>45</v>
      </c>
      <c r="C6" s="17" t="s">
        <v>46</v>
      </c>
      <c r="D6" s="17"/>
    </row>
    <row r="7" customFormat="false" ht="15" hidden="false" customHeight="false" outlineLevel="0" collapsed="false">
      <c r="A7" s="15" t="n">
        <v>3</v>
      </c>
      <c r="B7" s="16" t="s">
        <v>47</v>
      </c>
      <c r="C7" s="17" t="s">
        <v>48</v>
      </c>
      <c r="D7" s="17"/>
    </row>
    <row r="8" customFormat="false" ht="22.35" hidden="false" customHeight="false" outlineLevel="0" collapsed="false">
      <c r="A8" s="15" t="n">
        <v>4</v>
      </c>
      <c r="B8" s="16" t="s">
        <v>49</v>
      </c>
      <c r="C8" s="17" t="s">
        <v>50</v>
      </c>
      <c r="D8" s="17"/>
    </row>
    <row r="9" customFormat="false" ht="15" hidden="false" customHeight="false" outlineLevel="0" collapsed="false">
      <c r="A9" s="15" t="n">
        <v>5</v>
      </c>
      <c r="B9" s="16" t="s">
        <v>51</v>
      </c>
      <c r="C9" s="17" t="s">
        <v>52</v>
      </c>
      <c r="D9" s="17"/>
    </row>
    <row r="10" customFormat="false" ht="32.8" hidden="false" customHeight="false" outlineLevel="0" collapsed="false">
      <c r="A10" s="15" t="n">
        <v>6</v>
      </c>
      <c r="B10" s="16" t="s">
        <v>53</v>
      </c>
      <c r="C10" s="17" t="s">
        <v>54</v>
      </c>
      <c r="D10" s="17" t="n">
        <f aca="false">COUNTA('Math DSP'!A5:A5000)</f>
        <v>238</v>
      </c>
    </row>
    <row r="11" customFormat="false" ht="22.35" hidden="false" customHeight="false" outlineLevel="0" collapsed="false">
      <c r="A11" s="15" t="n">
        <v>7</v>
      </c>
      <c r="B11" s="16" t="s">
        <v>55</v>
      </c>
      <c r="C11" s="17" t="s">
        <v>56</v>
      </c>
      <c r="D11" s="17" t="n">
        <f aca="false">COUNTA('GUI Qt'!A5:A5000)</f>
        <v>197</v>
      </c>
    </row>
    <row r="12" customFormat="false" ht="22.35" hidden="false" customHeight="false" outlineLevel="0" collapsed="false">
      <c r="A12" s="15" t="n">
        <v>8</v>
      </c>
      <c r="B12" s="16" t="s">
        <v>57</v>
      </c>
      <c r="C12" s="17" t="s">
        <v>58</v>
      </c>
      <c r="D12" s="17" t="n">
        <f aca="false">COUNTA('App Core'!A5:A5000)</f>
        <v>303</v>
      </c>
    </row>
    <row r="13" customFormat="false" ht="15" hidden="false" customHeight="false" outlineLevel="0" collapsed="false">
      <c r="A13" s="15" t="n">
        <v>9</v>
      </c>
      <c r="B13" s="16" t="s">
        <v>59</v>
      </c>
      <c r="C13" s="17" t="s">
        <v>60</v>
      </c>
      <c r="D13" s="17" t="n">
        <f aca="false">COUNTA('Platform Libs'!A5:A5000)</f>
        <v>43</v>
      </c>
    </row>
    <row r="14" customFormat="false" ht="22.35" hidden="false" customHeight="false" outlineLevel="0" collapsed="false">
      <c r="A14" s="15" t="n">
        <v>10</v>
      </c>
      <c r="B14" s="16" t="s">
        <v>61</v>
      </c>
      <c r="C14" s="17" t="s">
        <v>62</v>
      </c>
      <c r="D14" s="17" t="n">
        <f aca="false">COUNTA('QDMA Driver'!A5:A5000)</f>
        <v>314</v>
      </c>
    </row>
    <row r="15" customFormat="false" ht="15" hidden="false" customHeight="false" outlineLevel="0" collapsed="false">
      <c r="A15" s="15" t="n">
        <v>11</v>
      </c>
      <c r="B15" s="16" t="s">
        <v>63</v>
      </c>
      <c r="C15" s="17" t="s">
        <v>64</v>
      </c>
      <c r="D15" s="17" t="n">
        <f aca="false">COUNTA('QDMA Registers'!A5:A5000)</f>
        <v>133</v>
      </c>
    </row>
    <row r="16" customFormat="false" ht="22.35" hidden="false" customHeight="false" outlineLevel="0" collapsed="false">
      <c r="A16" s="15" t="n">
        <v>12</v>
      </c>
      <c r="B16" s="16" t="s">
        <v>65</v>
      </c>
      <c r="C16" s="17" t="s">
        <v>66</v>
      </c>
      <c r="D16" s="17" t="n">
        <f aca="false">COUNTA('QDMA Helpers'!A5:A5000)</f>
        <v>101</v>
      </c>
    </row>
    <row r="17" customFormat="false" ht="22.35" hidden="false" customHeight="false" outlineLevel="0" collapsed="false">
      <c r="A17" s="15" t="n">
        <v>13</v>
      </c>
      <c r="B17" s="16" t="s">
        <v>67</v>
      </c>
      <c r="C17" s="17" t="s">
        <v>68</v>
      </c>
      <c r="D17" s="17" t="n">
        <f aca="false">COUNTA('QDMA Host'!A5:A5000)</f>
        <v>92</v>
      </c>
    </row>
    <row r="18" customFormat="false" ht="22.35" hidden="false" customHeight="false" outlineLevel="0" collapsed="false">
      <c r="A18" s="15" t="n">
        <v>14</v>
      </c>
      <c r="B18" s="16" t="s">
        <v>69</v>
      </c>
      <c r="C18" s="17" t="s">
        <v>70</v>
      </c>
      <c r="D18" s="17" t="n">
        <f aca="false">COUNTA(Firmware!A5:A5000)</f>
        <v>90</v>
      </c>
    </row>
    <row r="19" customFormat="false" ht="22.35" hidden="false" customHeight="false" outlineLevel="0" collapsed="false">
      <c r="A19" s="15" t="n">
        <v>15</v>
      </c>
      <c r="B19" s="16" t="s">
        <v>71</v>
      </c>
      <c r="C19" s="17" t="s">
        <v>72</v>
      </c>
      <c r="D19" s="17" t="n">
        <f aca="false">COUNTA('PCIe Control'!A5:A5000)</f>
        <v>103</v>
      </c>
    </row>
    <row r="20" customFormat="false" ht="22.35" hidden="false" customHeight="false" outlineLevel="0" collapsed="false">
      <c r="A20" s="15" t="n">
        <v>16</v>
      </c>
      <c r="B20" s="16" t="s">
        <v>73</v>
      </c>
      <c r="C20" s="17" t="s">
        <v>74</v>
      </c>
      <c r="D20" s="17" t="n">
        <f aca="false">COUNTA('Xilinx BSP'!A5:A5000)</f>
        <v>59</v>
      </c>
    </row>
    <row r="21" customFormat="false" ht="15" hidden="false" customHeight="false" outlineLevel="0" collapsed="false">
      <c r="A21" s="15" t="n">
        <v>17</v>
      </c>
      <c r="B21" s="16" t="s">
        <v>75</v>
      </c>
      <c r="C21" s="17" t="s">
        <v>76</v>
      </c>
      <c r="D21" s="17" t="n">
        <f aca="false">COUNTA('Host CLI Client'!A5:A5000)</f>
        <v>64</v>
      </c>
    </row>
    <row r="22" customFormat="false" ht="15" hidden="false" customHeight="false" outlineLevel="0" collapsed="false">
      <c r="A22" s="15" t="n">
        <v>18</v>
      </c>
      <c r="B22" s="16" t="s">
        <v>77</v>
      </c>
      <c r="C22" s="17" t="s">
        <v>78</v>
      </c>
      <c r="D22" s="17"/>
    </row>
    <row r="23" customFormat="false" ht="15" hidden="false" customHeight="false" outlineLevel="0" collapsed="false">
      <c r="A23" s="15" t="n">
        <v>19</v>
      </c>
      <c r="B23" s="16" t="s">
        <v>79</v>
      </c>
      <c r="C23" s="17" t="s">
        <v>80</v>
      </c>
      <c r="D23" s="17"/>
    </row>
    <row r="24" customFormat="false" ht="15" hidden="false" customHeight="false" outlineLevel="0" collapsed="false">
      <c r="A24" s="15" t="n">
        <v>20</v>
      </c>
      <c r="B24" s="16" t="s">
        <v>81</v>
      </c>
      <c r="C24" s="17" t="s">
        <v>82</v>
      </c>
      <c r="D24" s="17"/>
    </row>
    <row r="25" customFormat="false" ht="15" hidden="false" customHeight="false" outlineLevel="0" collapsed="false">
      <c r="C25" s="18" t="s">
        <v>83</v>
      </c>
      <c r="D25" s="18" t="n">
        <f aca="false">SUM(D5:D24)</f>
        <v>1737</v>
      </c>
    </row>
  </sheetData>
  <mergeCells count="1">
    <mergeCell ref="A2:D2"/>
  </mergeCells>
  <hyperlinks>
    <hyperlink ref="B5" r:id="rId1" location="'Summary'!A1" display="Summary"/>
    <hyperlink ref="B6" r:id="rId2" location="'Package%20Structure'!A1" display="Package Structure"/>
    <hyperlink ref="B7" r:id="rId3" location="'System%20Data%20Path'!A1" display="System Data Path"/>
    <hyperlink ref="B8" r:id="rId4" location="'Calculations'!A1" display="Calculations"/>
    <hyperlink ref="B9" r:id="rId5" location="'Calc%20Tables'!A1" display="Calc Tables"/>
    <hyperlink ref="B10" r:id="rId6" location="'Math%20DSP'!A1" display="Math DSP"/>
    <hyperlink ref="B11" r:id="rId7" location="'GUI%20Qt'!A1" display="GUI Qt"/>
    <hyperlink ref="B12" r:id="rId8" location="'App%20Core'!A1" display="App Core"/>
    <hyperlink ref="B13" r:id="rId9" location="'Platform%20Libs'!A1" display="Platform Libs"/>
    <hyperlink ref="B14" r:id="rId10" location="'QDMA%20Driver'!A1" display="QDMA Driver"/>
    <hyperlink ref="B15" r:id="rId11" location="'QDMA%20Registers'!A1" display="QDMA Registers"/>
    <hyperlink ref="B16" r:id="rId12" location="'QDMA%20Helpers'!A1" display="QDMA Helpers"/>
    <hyperlink ref="B17" r:id="rId13" location="'QDMA%20Host'!A1" display="QDMA Host"/>
    <hyperlink ref="B18" r:id="rId14" location="'Firmware'!A1" display="Firmware"/>
    <hyperlink ref="B19" r:id="rId15" location="'PCIe%20Control'!A1" display="PCIe Control"/>
    <hyperlink ref="B20" r:id="rId16" location="'Xilinx%20BSP'!A1" display="Xilinx BSP"/>
    <hyperlink ref="B21" r:id="rId17" location="'Host%20CLI%20Client'!A1" display="Host CLI Client"/>
    <hyperlink ref="B22" r:id="rId18" location="'Test%20Coverage'!A1" display="Test Coverage"/>
    <hyperlink ref="B23" r:id="rId19" location="'Glossary'!A1" display="Glossary"/>
    <hyperlink ref="B24" r:id="rId20" location="'Revision%20History'!A1" display="Revision History"/>
  </hyperlinks>
  <printOptions headings="false" gridLines="false" gridLinesSet="true" horizontalCentered="true" verticalCentered="false"/>
  <pageMargins left="0.4" right="0.4" top="0.5" bottom="0.5"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&amp;LiW-ASCEJ-01-API-Reference-R1.0-REL1.0&amp;C&amp;A&amp;RPage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F1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70"/>
    <col collapsed="false" customWidth="true" hidden="false" outlineLevel="0" max="3" min="3" style="0" width="10"/>
    <col collapsed="false" customWidth="true" hidden="false" outlineLevel="0" max="4" min="4" style="0" width="9"/>
    <col collapsed="false" customWidth="true" hidden="false" outlineLevel="0" max="5" min="5" style="0" width="14"/>
    <col collapsed="false" customWidth="true" hidden="false" outlineLevel="0" max="6" min="6" style="0" width="30"/>
  </cols>
  <sheetData>
    <row r="1" customFormat="false" ht="25.5" hidden="false" customHeight="true" outlineLevel="0" collapsed="false">
      <c r="A1" s="12" t="s">
        <v>43</v>
      </c>
    </row>
    <row r="2" customFormat="false" ht="30" hidden="false" customHeight="true" outlineLevel="0" collapsed="false">
      <c r="A2" s="13" t="s">
        <v>84</v>
      </c>
      <c r="B2" s="13"/>
      <c r="C2" s="13"/>
      <c r="D2" s="13"/>
      <c r="E2" s="13"/>
      <c r="F2" s="13"/>
    </row>
    <row r="5" customFormat="false" ht="30" hidden="false" customHeight="true" outlineLevel="0" collapsed="false">
      <c r="A5" s="14" t="s">
        <v>40</v>
      </c>
      <c r="B5" s="14" t="s">
        <v>85</v>
      </c>
      <c r="C5" s="14" t="s">
        <v>86</v>
      </c>
      <c r="D5" s="14" t="s">
        <v>87</v>
      </c>
      <c r="E5" s="14" t="s">
        <v>88</v>
      </c>
      <c r="F5" s="14" t="s">
        <v>89</v>
      </c>
    </row>
    <row r="6" customFormat="false" ht="22.35" hidden="false" customHeight="false" outlineLevel="0" collapsed="false">
      <c r="A6" s="16" t="s">
        <v>53</v>
      </c>
      <c r="B6" s="17" t="s">
        <v>90</v>
      </c>
      <c r="C6" s="17" t="n">
        <f aca="false">COUNTA('Math DSP'!A5:A5000)</f>
        <v>238</v>
      </c>
      <c r="D6" s="19" t="n">
        <f aca="false">IF($C$18=0,0,C6/$C$18)</f>
        <v>0.137017846862406</v>
      </c>
      <c r="E6" s="17" t="n">
        <v>17</v>
      </c>
      <c r="F6" s="17" t="s">
        <v>91</v>
      </c>
    </row>
    <row r="7" customFormat="false" ht="22.35" hidden="false" customHeight="false" outlineLevel="0" collapsed="false">
      <c r="A7" s="16" t="s">
        <v>55</v>
      </c>
      <c r="B7" s="17" t="s">
        <v>56</v>
      </c>
      <c r="C7" s="17" t="n">
        <f aca="false">COUNTA('GUI Qt'!A5:A5000)</f>
        <v>197</v>
      </c>
      <c r="D7" s="19" t="n">
        <f aca="false">IF($C$18=0,0,C7/$C$18)</f>
        <v>0.113413932066782</v>
      </c>
      <c r="E7" s="17" t="n">
        <v>20</v>
      </c>
      <c r="F7" s="17" t="s">
        <v>91</v>
      </c>
    </row>
    <row r="8" customFormat="false" ht="22.35" hidden="false" customHeight="false" outlineLevel="0" collapsed="false">
      <c r="A8" s="16" t="s">
        <v>57</v>
      </c>
      <c r="B8" s="17" t="s">
        <v>58</v>
      </c>
      <c r="C8" s="17" t="n">
        <f aca="false">COUNTA('App Core'!A5:A5000)</f>
        <v>303</v>
      </c>
      <c r="D8" s="19" t="n">
        <f aca="false">IF($C$18=0,0,C8/$C$18)</f>
        <v>0.174438687392055</v>
      </c>
      <c r="E8" s="17" t="n">
        <v>25</v>
      </c>
      <c r="F8" s="17" t="s">
        <v>91</v>
      </c>
    </row>
    <row r="9" customFormat="false" ht="22.35" hidden="false" customHeight="false" outlineLevel="0" collapsed="false">
      <c r="A9" s="16" t="s">
        <v>59</v>
      </c>
      <c r="B9" s="17" t="s">
        <v>60</v>
      </c>
      <c r="C9" s="17" t="n">
        <f aca="false">COUNTA('Platform Libs'!A5:A5000)</f>
        <v>43</v>
      </c>
      <c r="D9" s="19" t="n">
        <f aca="false">IF($C$18=0,0,C9/$C$18)</f>
        <v>0.02475532527346</v>
      </c>
      <c r="E9" s="17" t="n">
        <v>8</v>
      </c>
      <c r="F9" s="17" t="s">
        <v>91</v>
      </c>
    </row>
    <row r="10" customFormat="false" ht="22.35" hidden="false" customHeight="false" outlineLevel="0" collapsed="false">
      <c r="A10" s="16" t="s">
        <v>61</v>
      </c>
      <c r="B10" s="17" t="s">
        <v>92</v>
      </c>
      <c r="C10" s="17" t="n">
        <f aca="false">COUNTA('QDMA Driver'!A5:A5000)</f>
        <v>314</v>
      </c>
      <c r="D10" s="19" t="n">
        <f aca="false">IF($C$18=0,0,C10/$C$18)</f>
        <v>0.18077144502015</v>
      </c>
      <c r="E10" s="17" t="n">
        <v>18</v>
      </c>
      <c r="F10" s="17" t="s">
        <v>91</v>
      </c>
    </row>
    <row r="11" customFormat="false" ht="15" hidden="false" customHeight="false" outlineLevel="0" collapsed="false">
      <c r="A11" s="16" t="s">
        <v>63</v>
      </c>
      <c r="B11" s="17" t="s">
        <v>64</v>
      </c>
      <c r="C11" s="17" t="n">
        <f aca="false">COUNTA('QDMA Registers'!A5:A5000)</f>
        <v>133</v>
      </c>
      <c r="D11" s="19" t="n">
        <f aca="false">IF($C$18=0,0,C11/$C$18)</f>
        <v>0.0765687967760507</v>
      </c>
      <c r="E11" s="17" t="n">
        <v>3</v>
      </c>
      <c r="F11" s="17" t="s">
        <v>91</v>
      </c>
    </row>
    <row r="12" customFormat="false" ht="22.35" hidden="false" customHeight="false" outlineLevel="0" collapsed="false">
      <c r="A12" s="16" t="s">
        <v>65</v>
      </c>
      <c r="B12" s="17" t="s">
        <v>66</v>
      </c>
      <c r="C12" s="17" t="n">
        <f aca="false">COUNTA('QDMA Helpers'!A5:A5000)</f>
        <v>101</v>
      </c>
      <c r="D12" s="19" t="n">
        <f aca="false">IF($C$18=0,0,C12/$C$18)</f>
        <v>0.0581462291306851</v>
      </c>
      <c r="E12" s="17" t="n">
        <v>2</v>
      </c>
      <c r="F12" s="17" t="s">
        <v>91</v>
      </c>
    </row>
    <row r="13" customFormat="false" ht="22.35" hidden="false" customHeight="false" outlineLevel="0" collapsed="false">
      <c r="A13" s="16" t="s">
        <v>67</v>
      </c>
      <c r="B13" s="17" t="s">
        <v>68</v>
      </c>
      <c r="C13" s="17" t="n">
        <f aca="false">COUNTA('QDMA Host'!A5:A5000)</f>
        <v>92</v>
      </c>
      <c r="D13" s="19" t="n">
        <f aca="false">IF($C$18=0,0,C13/$C$18)</f>
        <v>0.052964881980426</v>
      </c>
      <c r="E13" s="17" t="n">
        <v>2</v>
      </c>
      <c r="F13" s="17" t="s">
        <v>91</v>
      </c>
    </row>
    <row r="14" customFormat="false" ht="22.35" hidden="false" customHeight="false" outlineLevel="0" collapsed="false">
      <c r="A14" s="16" t="s">
        <v>69</v>
      </c>
      <c r="B14" s="17" t="s">
        <v>93</v>
      </c>
      <c r="C14" s="17" t="n">
        <f aca="false">COUNTA(Firmware!A5:A5000)</f>
        <v>90</v>
      </c>
      <c r="D14" s="19" t="n">
        <f aca="false">IF($C$18=0,0,C14/$C$18)</f>
        <v>0.0518134715025907</v>
      </c>
      <c r="E14" s="17" t="n">
        <v>13</v>
      </c>
      <c r="F14" s="17" t="s">
        <v>94</v>
      </c>
    </row>
    <row r="15" customFormat="false" ht="22.35" hidden="false" customHeight="false" outlineLevel="0" collapsed="false">
      <c r="A15" s="16" t="s">
        <v>71</v>
      </c>
      <c r="B15" s="17" t="s">
        <v>95</v>
      </c>
      <c r="C15" s="17" t="n">
        <f aca="false">COUNTA('PCIe Control'!A5:A5000)</f>
        <v>103</v>
      </c>
      <c r="D15" s="19" t="n">
        <f aca="false">IF($C$18=0,0,C15/$C$18)</f>
        <v>0.0592976396085204</v>
      </c>
      <c r="E15" s="17" t="n">
        <v>9</v>
      </c>
      <c r="F15" s="17" t="s">
        <v>94</v>
      </c>
    </row>
    <row r="16" customFormat="false" ht="22.35" hidden="false" customHeight="false" outlineLevel="0" collapsed="false">
      <c r="A16" s="16" t="s">
        <v>73</v>
      </c>
      <c r="B16" s="17" t="s">
        <v>74</v>
      </c>
      <c r="C16" s="17" t="n">
        <f aca="false">COUNTA('Xilinx BSP'!A5:A5000)</f>
        <v>59</v>
      </c>
      <c r="D16" s="19" t="n">
        <f aca="false">IF($C$18=0,0,C16/$C$18)</f>
        <v>0.0339666090961428</v>
      </c>
      <c r="E16" s="17" t="n">
        <v>11</v>
      </c>
      <c r="F16" s="17" t="s">
        <v>94</v>
      </c>
    </row>
    <row r="17" customFormat="false" ht="22.35" hidden="false" customHeight="false" outlineLevel="0" collapsed="false">
      <c r="A17" s="16" t="s">
        <v>75</v>
      </c>
      <c r="B17" s="17" t="s">
        <v>76</v>
      </c>
      <c r="C17" s="17" t="n">
        <f aca="false">COUNTA('Host CLI Client'!A5:A5000)</f>
        <v>64</v>
      </c>
      <c r="D17" s="19" t="n">
        <f aca="false">IF($C$18=0,0,C17/$C$18)</f>
        <v>0.0368451352907312</v>
      </c>
      <c r="E17" s="17" t="n">
        <v>3</v>
      </c>
      <c r="F17" s="17" t="s">
        <v>91</v>
      </c>
    </row>
    <row r="18" customFormat="false" ht="15" hidden="false" customHeight="false" outlineLevel="0" collapsed="false">
      <c r="A18" s="18" t="s">
        <v>96</v>
      </c>
      <c r="C18" s="18" t="n">
        <f aca="false">SUM(C6:C17)</f>
        <v>1737</v>
      </c>
      <c r="D18" s="20" t="n">
        <f aca="false">SUM(D6:D17)</f>
        <v>1</v>
      </c>
      <c r="E18" s="18" t="n">
        <f aca="false">SUM(E6:E17)</f>
        <v>131</v>
      </c>
    </row>
    <row r="21" customFormat="false" ht="19.5" hidden="false" customHeight="true" outlineLevel="0" collapsed="false">
      <c r="A21" s="21" t="s">
        <v>97</v>
      </c>
      <c r="B21" s="21"/>
      <c r="C21" s="21"/>
      <c r="D21" s="21"/>
      <c r="E21" s="21"/>
      <c r="F21" s="21"/>
    </row>
    <row r="22" customFormat="false" ht="30" hidden="false" customHeight="true" outlineLevel="0" collapsed="false">
      <c r="A22" s="14" t="s">
        <v>40</v>
      </c>
      <c r="B22" s="14" t="s">
        <v>98</v>
      </c>
      <c r="C22" s="14" t="s">
        <v>86</v>
      </c>
      <c r="D22" s="14" t="s">
        <v>99</v>
      </c>
      <c r="E22" s="14"/>
      <c r="F22" s="14"/>
    </row>
    <row r="23" customFormat="false" ht="15" hidden="false" customHeight="false" outlineLevel="0" collapsed="false">
      <c r="A23" s="17" t="s">
        <v>53</v>
      </c>
      <c r="B23" s="17" t="s">
        <v>100</v>
      </c>
      <c r="C23" s="17" t="n">
        <f aca="false">COUNTIF('Math DSP'!$C$5:$C$242,B23)</f>
        <v>5</v>
      </c>
      <c r="D23" s="19" t="n">
        <f aca="false">IF(COUNTA('Math DSP'!$A$5:$A$242)=0,0,C23/COUNTA('Math DSP'!$A$5:$A$242))</f>
        <v>0.0210084033613445</v>
      </c>
    </row>
    <row r="24" customFormat="false" ht="15" hidden="false" customHeight="false" outlineLevel="0" collapsed="false">
      <c r="A24" s="17" t="s">
        <v>53</v>
      </c>
      <c r="B24" s="17" t="s">
        <v>101</v>
      </c>
      <c r="C24" s="17" t="n">
        <f aca="false">COUNTIF('Math DSP'!$C$5:$C$242,B24)</f>
        <v>3</v>
      </c>
      <c r="D24" s="19" t="n">
        <f aca="false">IF(COUNTA('Math DSP'!$A$5:$A$242)=0,0,C24/COUNTA('Math DSP'!$A$5:$A$242))</f>
        <v>0.0126050420168067</v>
      </c>
    </row>
    <row r="25" customFormat="false" ht="15" hidden="false" customHeight="false" outlineLevel="0" collapsed="false">
      <c r="A25" s="17" t="s">
        <v>53</v>
      </c>
      <c r="B25" s="17" t="s">
        <v>102</v>
      </c>
      <c r="C25" s="17" t="n">
        <f aca="false">COUNTIF('Math DSP'!$C$5:$C$242,B25)</f>
        <v>37</v>
      </c>
      <c r="D25" s="19" t="n">
        <f aca="false">IF(COUNTA('Math DSP'!$A$5:$A$242)=0,0,C25/COUNTA('Math DSP'!$A$5:$A$242))</f>
        <v>0.15546218487395</v>
      </c>
    </row>
    <row r="26" customFormat="false" ht="15" hidden="false" customHeight="false" outlineLevel="0" collapsed="false">
      <c r="A26" s="17" t="s">
        <v>53</v>
      </c>
      <c r="B26" s="17" t="s">
        <v>103</v>
      </c>
      <c r="C26" s="17" t="n">
        <f aca="false">COUNTIF('Math DSP'!$C$5:$C$242,B26)</f>
        <v>4</v>
      </c>
      <c r="D26" s="19" t="n">
        <f aca="false">IF(COUNTA('Math DSP'!$A$5:$A$242)=0,0,C26/COUNTA('Math DSP'!$A$5:$A$242))</f>
        <v>0.0168067226890756</v>
      </c>
    </row>
    <row r="27" customFormat="false" ht="15" hidden="false" customHeight="false" outlineLevel="0" collapsed="false">
      <c r="A27" s="17" t="s">
        <v>53</v>
      </c>
      <c r="B27" s="17" t="s">
        <v>104</v>
      </c>
      <c r="C27" s="17" t="n">
        <f aca="false">COUNTIF('Math DSP'!$C$5:$C$242,B27)</f>
        <v>16</v>
      </c>
      <c r="D27" s="19" t="n">
        <f aca="false">IF(COUNTA('Math DSP'!$A$5:$A$242)=0,0,C27/COUNTA('Math DSP'!$A$5:$A$242))</f>
        <v>0.0672268907563025</v>
      </c>
    </row>
    <row r="28" customFormat="false" ht="15" hidden="false" customHeight="false" outlineLevel="0" collapsed="false">
      <c r="A28" s="17" t="s">
        <v>53</v>
      </c>
      <c r="B28" s="17" t="s">
        <v>105</v>
      </c>
      <c r="C28" s="17" t="n">
        <f aca="false">COUNTIF('Math DSP'!$C$5:$C$242,B28)</f>
        <v>10</v>
      </c>
      <c r="D28" s="19" t="n">
        <f aca="false">IF(COUNTA('Math DSP'!$A$5:$A$242)=0,0,C28/COUNTA('Math DSP'!$A$5:$A$242))</f>
        <v>0.0420168067226891</v>
      </c>
    </row>
    <row r="29" customFormat="false" ht="15" hidden="false" customHeight="false" outlineLevel="0" collapsed="false">
      <c r="A29" s="17" t="s">
        <v>53</v>
      </c>
      <c r="B29" s="17" t="s">
        <v>106</v>
      </c>
      <c r="C29" s="17" t="n">
        <f aca="false">COUNTIF('Math DSP'!$C$5:$C$242,B29)</f>
        <v>16</v>
      </c>
      <c r="D29" s="19" t="n">
        <f aca="false">IF(COUNTA('Math DSP'!$A$5:$A$242)=0,0,C29/COUNTA('Math DSP'!$A$5:$A$242))</f>
        <v>0.0672268907563025</v>
      </c>
    </row>
    <row r="30" customFormat="false" ht="15" hidden="false" customHeight="false" outlineLevel="0" collapsed="false">
      <c r="A30" s="17" t="s">
        <v>53</v>
      </c>
      <c r="B30" s="17" t="s">
        <v>107</v>
      </c>
      <c r="C30" s="17" t="n">
        <f aca="false">COUNTIF('Math DSP'!$C$5:$C$242,B30)</f>
        <v>44</v>
      </c>
      <c r="D30" s="19" t="n">
        <f aca="false">IF(COUNTA('Math DSP'!$A$5:$A$242)=0,0,C30/COUNTA('Math DSP'!$A$5:$A$242))</f>
        <v>0.184873949579832</v>
      </c>
    </row>
    <row r="31" customFormat="false" ht="15" hidden="false" customHeight="false" outlineLevel="0" collapsed="false">
      <c r="A31" s="17" t="s">
        <v>53</v>
      </c>
      <c r="B31" s="17" t="s">
        <v>108</v>
      </c>
      <c r="C31" s="17" t="n">
        <f aca="false">COUNTIF('Math DSP'!$C$5:$C$242,B31)</f>
        <v>8</v>
      </c>
      <c r="D31" s="19" t="n">
        <f aca="false">IF(COUNTA('Math DSP'!$A$5:$A$242)=0,0,C31/COUNTA('Math DSP'!$A$5:$A$242))</f>
        <v>0.0336134453781513</v>
      </c>
    </row>
    <row r="32" customFormat="false" ht="15" hidden="false" customHeight="false" outlineLevel="0" collapsed="false">
      <c r="A32" s="17" t="s">
        <v>53</v>
      </c>
      <c r="B32" s="17" t="s">
        <v>109</v>
      </c>
      <c r="C32" s="17" t="n">
        <f aca="false">COUNTIF('Math DSP'!$C$5:$C$242,B32)</f>
        <v>16</v>
      </c>
      <c r="D32" s="19" t="n">
        <f aca="false">IF(COUNTA('Math DSP'!$A$5:$A$242)=0,0,C32/COUNTA('Math DSP'!$A$5:$A$242))</f>
        <v>0.0672268907563025</v>
      </c>
    </row>
    <row r="33" customFormat="false" ht="15" hidden="false" customHeight="false" outlineLevel="0" collapsed="false">
      <c r="A33" s="17" t="s">
        <v>53</v>
      </c>
      <c r="B33" s="17" t="s">
        <v>110</v>
      </c>
      <c r="C33" s="17" t="n">
        <f aca="false">COUNTIF('Math DSP'!$C$5:$C$242,B33)</f>
        <v>5</v>
      </c>
      <c r="D33" s="19" t="n">
        <f aca="false">IF(COUNTA('Math DSP'!$A$5:$A$242)=0,0,C33/COUNTA('Math DSP'!$A$5:$A$242))</f>
        <v>0.0210084033613445</v>
      </c>
    </row>
    <row r="34" customFormat="false" ht="15" hidden="false" customHeight="false" outlineLevel="0" collapsed="false">
      <c r="A34" s="17" t="s">
        <v>53</v>
      </c>
      <c r="B34" s="17" t="s">
        <v>111</v>
      </c>
      <c r="C34" s="17" t="n">
        <f aca="false">COUNTIF('Math DSP'!$C$5:$C$242,B34)</f>
        <v>24</v>
      </c>
      <c r="D34" s="19" t="n">
        <f aca="false">IF(COUNTA('Math DSP'!$A$5:$A$242)=0,0,C34/COUNTA('Math DSP'!$A$5:$A$242))</f>
        <v>0.100840336134454</v>
      </c>
    </row>
    <row r="35" customFormat="false" ht="15" hidden="false" customHeight="false" outlineLevel="0" collapsed="false">
      <c r="A35" s="17" t="s">
        <v>53</v>
      </c>
      <c r="B35" s="17" t="s">
        <v>112</v>
      </c>
      <c r="C35" s="17" t="n">
        <f aca="false">COUNTIF('Math DSP'!$C$5:$C$242,B35)</f>
        <v>3</v>
      </c>
      <c r="D35" s="19" t="n">
        <f aca="false">IF(COUNTA('Math DSP'!$A$5:$A$242)=0,0,C35/COUNTA('Math DSP'!$A$5:$A$242))</f>
        <v>0.0126050420168067</v>
      </c>
    </row>
    <row r="36" customFormat="false" ht="15" hidden="false" customHeight="false" outlineLevel="0" collapsed="false">
      <c r="A36" s="17" t="s">
        <v>53</v>
      </c>
      <c r="B36" s="17" t="s">
        <v>113</v>
      </c>
      <c r="C36" s="17" t="n">
        <f aca="false">COUNTIF('Math DSP'!$C$5:$C$242,B36)</f>
        <v>3</v>
      </c>
      <c r="D36" s="19" t="n">
        <f aca="false">IF(COUNTA('Math DSP'!$A$5:$A$242)=0,0,C36/COUNTA('Math DSP'!$A$5:$A$242))</f>
        <v>0.0126050420168067</v>
      </c>
    </row>
    <row r="37" customFormat="false" ht="15" hidden="false" customHeight="false" outlineLevel="0" collapsed="false">
      <c r="A37" s="17" t="s">
        <v>53</v>
      </c>
      <c r="B37" s="17" t="s">
        <v>114</v>
      </c>
      <c r="C37" s="17" t="n">
        <f aca="false">COUNTIF('Math DSP'!$C$5:$C$242,B37)</f>
        <v>19</v>
      </c>
      <c r="D37" s="19" t="n">
        <f aca="false">IF(COUNTA('Math DSP'!$A$5:$A$242)=0,0,C37/COUNTA('Math DSP'!$A$5:$A$242))</f>
        <v>0.0798319327731092</v>
      </c>
    </row>
    <row r="38" customFormat="false" ht="15" hidden="false" customHeight="false" outlineLevel="0" collapsed="false">
      <c r="A38" s="17" t="s">
        <v>53</v>
      </c>
      <c r="B38" s="17" t="s">
        <v>115</v>
      </c>
      <c r="C38" s="17" t="n">
        <f aca="false">COUNTIF('Math DSP'!$C$5:$C$242,B38)</f>
        <v>13</v>
      </c>
      <c r="D38" s="19" t="n">
        <f aca="false">IF(COUNTA('Math DSP'!$A$5:$A$242)=0,0,C38/COUNTA('Math DSP'!$A$5:$A$242))</f>
        <v>0.0546218487394958</v>
      </c>
    </row>
    <row r="39" customFormat="false" ht="15" hidden="false" customHeight="false" outlineLevel="0" collapsed="false">
      <c r="A39" s="17" t="s">
        <v>53</v>
      </c>
      <c r="B39" s="17" t="s">
        <v>116</v>
      </c>
      <c r="C39" s="17" t="n">
        <f aca="false">COUNTIF('Math DSP'!$C$5:$C$242,B39)</f>
        <v>12</v>
      </c>
      <c r="D39" s="19" t="n">
        <f aca="false">IF(COUNTA('Math DSP'!$A$5:$A$242)=0,0,C39/COUNTA('Math DSP'!$A$5:$A$242))</f>
        <v>0.0504201680672269</v>
      </c>
    </row>
    <row r="40" customFormat="false" ht="15" hidden="false" customHeight="false" outlineLevel="0" collapsed="false">
      <c r="A40" s="17" t="s">
        <v>55</v>
      </c>
      <c r="B40" s="17" t="s">
        <v>117</v>
      </c>
      <c r="C40" s="17" t="n">
        <f aca="false">COUNTIF('GUI Qt'!$C$5:$C$201,B40)</f>
        <v>3</v>
      </c>
      <c r="D40" s="19" t="n">
        <f aca="false">IF(COUNTA('GUI Qt'!$A$5:$A$201)=0,0,C40/COUNTA('GUI Qt'!$A$5:$A$201))</f>
        <v>0.0152284263959391</v>
      </c>
    </row>
    <row r="41" customFormat="false" ht="15" hidden="false" customHeight="false" outlineLevel="0" collapsed="false">
      <c r="A41" s="17" t="s">
        <v>55</v>
      </c>
      <c r="B41" s="17" t="s">
        <v>118</v>
      </c>
      <c r="C41" s="17" t="n">
        <f aca="false">COUNTIF('GUI Qt'!$C$5:$C$201,B41)</f>
        <v>5</v>
      </c>
      <c r="D41" s="19" t="n">
        <f aca="false">IF(COUNTA('GUI Qt'!$A$5:$A$201)=0,0,C41/COUNTA('GUI Qt'!$A$5:$A$201))</f>
        <v>0.0253807106598985</v>
      </c>
    </row>
    <row r="42" customFormat="false" ht="15" hidden="false" customHeight="false" outlineLevel="0" collapsed="false">
      <c r="A42" s="17" t="s">
        <v>55</v>
      </c>
      <c r="B42" s="17" t="s">
        <v>119</v>
      </c>
      <c r="C42" s="17" t="n">
        <f aca="false">COUNTIF('GUI Qt'!$C$5:$C$201,B42)</f>
        <v>5</v>
      </c>
      <c r="D42" s="19" t="n">
        <f aca="false">IF(COUNTA('GUI Qt'!$A$5:$A$201)=0,0,C42/COUNTA('GUI Qt'!$A$5:$A$201))</f>
        <v>0.0253807106598985</v>
      </c>
    </row>
    <row r="43" customFormat="false" ht="15" hidden="false" customHeight="false" outlineLevel="0" collapsed="false">
      <c r="A43" s="17" t="s">
        <v>55</v>
      </c>
      <c r="B43" s="17" t="s">
        <v>120</v>
      </c>
      <c r="C43" s="17" t="n">
        <f aca="false">COUNTIF('GUI Qt'!$C$5:$C$201,B43)</f>
        <v>10</v>
      </c>
      <c r="D43" s="19" t="n">
        <f aca="false">IF(COUNTA('GUI Qt'!$A$5:$A$201)=0,0,C43/COUNTA('GUI Qt'!$A$5:$A$201))</f>
        <v>0.050761421319797</v>
      </c>
    </row>
    <row r="44" customFormat="false" ht="15" hidden="false" customHeight="false" outlineLevel="0" collapsed="false">
      <c r="A44" s="17" t="s">
        <v>55</v>
      </c>
      <c r="B44" s="17" t="s">
        <v>121</v>
      </c>
      <c r="C44" s="17" t="n">
        <f aca="false">COUNTIF('GUI Qt'!$C$5:$C$201,B44)</f>
        <v>4</v>
      </c>
      <c r="D44" s="19" t="n">
        <f aca="false">IF(COUNTA('GUI Qt'!$A$5:$A$201)=0,0,C44/COUNTA('GUI Qt'!$A$5:$A$201))</f>
        <v>0.0203045685279188</v>
      </c>
    </row>
    <row r="45" customFormat="false" ht="15" hidden="false" customHeight="false" outlineLevel="0" collapsed="false">
      <c r="A45" s="17" t="s">
        <v>55</v>
      </c>
      <c r="B45" s="17" t="s">
        <v>122</v>
      </c>
      <c r="C45" s="17" t="n">
        <f aca="false">COUNTIF('GUI Qt'!$C$5:$C$201,B45)</f>
        <v>56</v>
      </c>
      <c r="D45" s="19" t="n">
        <f aca="false">IF(COUNTA('GUI Qt'!$A$5:$A$201)=0,0,C45/COUNTA('GUI Qt'!$A$5:$A$201))</f>
        <v>0.284263959390863</v>
      </c>
    </row>
    <row r="46" customFormat="false" ht="15" hidden="false" customHeight="false" outlineLevel="0" collapsed="false">
      <c r="A46" s="17" t="s">
        <v>55</v>
      </c>
      <c r="B46" s="17" t="s">
        <v>123</v>
      </c>
      <c r="C46" s="17" t="n">
        <f aca="false">COUNTIF('GUI Qt'!$C$5:$C$201,B46)</f>
        <v>6</v>
      </c>
      <c r="D46" s="19" t="n">
        <f aca="false">IF(COUNTA('GUI Qt'!$A$5:$A$201)=0,0,C46/COUNTA('GUI Qt'!$A$5:$A$201))</f>
        <v>0.0304568527918782</v>
      </c>
    </row>
    <row r="47" customFormat="false" ht="15" hidden="false" customHeight="false" outlineLevel="0" collapsed="false">
      <c r="A47" s="17" t="s">
        <v>55</v>
      </c>
      <c r="B47" s="17" t="s">
        <v>124</v>
      </c>
      <c r="C47" s="17" t="n">
        <f aca="false">COUNTIF('GUI Qt'!$C$5:$C$201,B47)</f>
        <v>5</v>
      </c>
      <c r="D47" s="19" t="n">
        <f aca="false">IF(COUNTA('GUI Qt'!$A$5:$A$201)=0,0,C47/COUNTA('GUI Qt'!$A$5:$A$201))</f>
        <v>0.0253807106598985</v>
      </c>
    </row>
    <row r="48" customFormat="false" ht="15" hidden="false" customHeight="false" outlineLevel="0" collapsed="false">
      <c r="A48" s="17" t="s">
        <v>55</v>
      </c>
      <c r="B48" s="17" t="s">
        <v>125</v>
      </c>
      <c r="C48" s="17" t="n">
        <f aca="false">COUNTIF('GUI Qt'!$C$5:$C$201,B48)</f>
        <v>36</v>
      </c>
      <c r="D48" s="19" t="n">
        <f aca="false">IF(COUNTA('GUI Qt'!$A$5:$A$201)=0,0,C48/COUNTA('GUI Qt'!$A$5:$A$201))</f>
        <v>0.182741116751269</v>
      </c>
    </row>
    <row r="49" customFormat="false" ht="15" hidden="false" customHeight="false" outlineLevel="0" collapsed="false">
      <c r="A49" s="17" t="s">
        <v>55</v>
      </c>
      <c r="B49" s="17" t="s">
        <v>126</v>
      </c>
      <c r="C49" s="17" t="n">
        <f aca="false">COUNTIF('GUI Qt'!$C$5:$C$201,B49)</f>
        <v>4</v>
      </c>
      <c r="D49" s="19" t="n">
        <f aca="false">IF(COUNTA('GUI Qt'!$A$5:$A$201)=0,0,C49/COUNTA('GUI Qt'!$A$5:$A$201))</f>
        <v>0.0203045685279188</v>
      </c>
    </row>
    <row r="50" customFormat="false" ht="15" hidden="false" customHeight="false" outlineLevel="0" collapsed="false">
      <c r="A50" s="17" t="s">
        <v>55</v>
      </c>
      <c r="B50" s="17" t="s">
        <v>127</v>
      </c>
      <c r="C50" s="17" t="n">
        <f aca="false">COUNTIF('GUI Qt'!$C$5:$C$201,B50)</f>
        <v>6</v>
      </c>
      <c r="D50" s="19" t="n">
        <f aca="false">IF(COUNTA('GUI Qt'!$A$5:$A$201)=0,0,C50/COUNTA('GUI Qt'!$A$5:$A$201))</f>
        <v>0.0304568527918782</v>
      </c>
    </row>
    <row r="51" customFormat="false" ht="15" hidden="false" customHeight="false" outlineLevel="0" collapsed="false">
      <c r="A51" s="17" t="s">
        <v>55</v>
      </c>
      <c r="B51" s="17" t="s">
        <v>128</v>
      </c>
      <c r="C51" s="17" t="n">
        <f aca="false">COUNTIF('GUI Qt'!$C$5:$C$201,B51)</f>
        <v>11</v>
      </c>
      <c r="D51" s="19" t="n">
        <f aca="false">IF(COUNTA('GUI Qt'!$A$5:$A$201)=0,0,C51/COUNTA('GUI Qt'!$A$5:$A$201))</f>
        <v>0.0558375634517767</v>
      </c>
    </row>
    <row r="52" customFormat="false" ht="15" hidden="false" customHeight="false" outlineLevel="0" collapsed="false">
      <c r="A52" s="17" t="s">
        <v>55</v>
      </c>
      <c r="B52" s="17" t="s">
        <v>129</v>
      </c>
      <c r="C52" s="17" t="n">
        <f aca="false">COUNTIF('GUI Qt'!$C$5:$C$201,B52)</f>
        <v>5</v>
      </c>
      <c r="D52" s="19" t="n">
        <f aca="false">IF(COUNTA('GUI Qt'!$A$5:$A$201)=0,0,C52/COUNTA('GUI Qt'!$A$5:$A$201))</f>
        <v>0.0253807106598985</v>
      </c>
    </row>
    <row r="53" customFormat="false" ht="15" hidden="false" customHeight="false" outlineLevel="0" collapsed="false">
      <c r="A53" s="17" t="s">
        <v>55</v>
      </c>
      <c r="B53" s="17" t="s">
        <v>130</v>
      </c>
      <c r="C53" s="17" t="n">
        <f aca="false">COUNTIF('GUI Qt'!$C$5:$C$201,B53)</f>
        <v>15</v>
      </c>
      <c r="D53" s="19" t="n">
        <f aca="false">IF(COUNTA('GUI Qt'!$A$5:$A$201)=0,0,C53/COUNTA('GUI Qt'!$A$5:$A$201))</f>
        <v>0.0761421319796954</v>
      </c>
    </row>
    <row r="54" customFormat="false" ht="15" hidden="false" customHeight="false" outlineLevel="0" collapsed="false">
      <c r="A54" s="17" t="s">
        <v>55</v>
      </c>
      <c r="B54" s="17" t="s">
        <v>131</v>
      </c>
      <c r="C54" s="17" t="n">
        <f aca="false">COUNTIF('GUI Qt'!$C$5:$C$201,B54)</f>
        <v>4</v>
      </c>
      <c r="D54" s="19" t="n">
        <f aca="false">IF(COUNTA('GUI Qt'!$A$5:$A$201)=0,0,C54/COUNTA('GUI Qt'!$A$5:$A$201))</f>
        <v>0.0203045685279188</v>
      </c>
    </row>
    <row r="55" customFormat="false" ht="15" hidden="false" customHeight="false" outlineLevel="0" collapsed="false">
      <c r="A55" s="17" t="s">
        <v>55</v>
      </c>
      <c r="B55" s="17" t="s">
        <v>132</v>
      </c>
      <c r="C55" s="17" t="n">
        <f aca="false">COUNTIF('GUI Qt'!$C$5:$C$201,B55)</f>
        <v>3</v>
      </c>
      <c r="D55" s="19" t="n">
        <f aca="false">IF(COUNTA('GUI Qt'!$A$5:$A$201)=0,0,C55/COUNTA('GUI Qt'!$A$5:$A$201))</f>
        <v>0.0152284263959391</v>
      </c>
    </row>
    <row r="56" customFormat="false" ht="15" hidden="false" customHeight="false" outlineLevel="0" collapsed="false">
      <c r="A56" s="17" t="s">
        <v>55</v>
      </c>
      <c r="B56" s="17" t="s">
        <v>133</v>
      </c>
      <c r="C56" s="17" t="n">
        <f aca="false">COUNTIF('GUI Qt'!$C$5:$C$201,B56)</f>
        <v>4</v>
      </c>
      <c r="D56" s="19" t="n">
        <f aca="false">IF(COUNTA('GUI Qt'!$A$5:$A$201)=0,0,C56/COUNTA('GUI Qt'!$A$5:$A$201))</f>
        <v>0.0203045685279188</v>
      </c>
    </row>
    <row r="57" customFormat="false" ht="15" hidden="false" customHeight="false" outlineLevel="0" collapsed="false">
      <c r="A57" s="17" t="s">
        <v>55</v>
      </c>
      <c r="B57" s="17" t="s">
        <v>134</v>
      </c>
      <c r="C57" s="17" t="n">
        <f aca="false">COUNTIF('GUI Qt'!$C$5:$C$201,B57)</f>
        <v>3</v>
      </c>
      <c r="D57" s="19" t="n">
        <f aca="false">IF(COUNTA('GUI Qt'!$A$5:$A$201)=0,0,C57/COUNTA('GUI Qt'!$A$5:$A$201))</f>
        <v>0.0152284263959391</v>
      </c>
    </row>
    <row r="58" customFormat="false" ht="15" hidden="false" customHeight="false" outlineLevel="0" collapsed="false">
      <c r="A58" s="17" t="s">
        <v>55</v>
      </c>
      <c r="B58" s="17" t="s">
        <v>135</v>
      </c>
      <c r="C58" s="17" t="n">
        <f aca="false">COUNTIF('GUI Qt'!$C$5:$C$201,B58)</f>
        <v>8</v>
      </c>
      <c r="D58" s="19" t="n">
        <f aca="false">IF(COUNTA('GUI Qt'!$A$5:$A$201)=0,0,C58/COUNTA('GUI Qt'!$A$5:$A$201))</f>
        <v>0.0406091370558376</v>
      </c>
    </row>
    <row r="59" customFormat="false" ht="15" hidden="false" customHeight="false" outlineLevel="0" collapsed="false">
      <c r="A59" s="17" t="s">
        <v>55</v>
      </c>
      <c r="B59" s="17" t="s">
        <v>136</v>
      </c>
      <c r="C59" s="17" t="n">
        <f aca="false">COUNTIF('GUI Qt'!$C$5:$C$201,B59)</f>
        <v>4</v>
      </c>
      <c r="D59" s="19" t="n">
        <f aca="false">IF(COUNTA('GUI Qt'!$A$5:$A$201)=0,0,C59/COUNTA('GUI Qt'!$A$5:$A$201))</f>
        <v>0.0203045685279188</v>
      </c>
    </row>
    <row r="60" customFormat="false" ht="15" hidden="false" customHeight="false" outlineLevel="0" collapsed="false">
      <c r="A60" s="17" t="s">
        <v>57</v>
      </c>
      <c r="B60" s="17" t="s">
        <v>137</v>
      </c>
      <c r="C60" s="17" t="n">
        <f aca="false">COUNTIF('App Core'!$C$5:$C$307,B60)</f>
        <v>56</v>
      </c>
      <c r="D60" s="19" t="n">
        <f aca="false">IF(COUNTA('App Core'!$A$5:$A$307)=0,0,C60/COUNTA('App Core'!$A$5:$A$307))</f>
        <v>0.184818481848185</v>
      </c>
    </row>
    <row r="61" customFormat="false" ht="15" hidden="false" customHeight="false" outlineLevel="0" collapsed="false">
      <c r="A61" s="17" t="s">
        <v>57</v>
      </c>
      <c r="B61" s="17" t="s">
        <v>138</v>
      </c>
      <c r="C61" s="17" t="n">
        <f aca="false">COUNTIF('App Core'!$C$5:$C$307,B61)</f>
        <v>5</v>
      </c>
      <c r="D61" s="19" t="n">
        <f aca="false">IF(COUNTA('App Core'!$A$5:$A$307)=0,0,C61/COUNTA('App Core'!$A$5:$A$307))</f>
        <v>0.0165016501650165</v>
      </c>
    </row>
    <row r="62" customFormat="false" ht="15" hidden="false" customHeight="false" outlineLevel="0" collapsed="false">
      <c r="A62" s="17" t="s">
        <v>57</v>
      </c>
      <c r="B62" s="17" t="s">
        <v>139</v>
      </c>
      <c r="C62" s="17" t="n">
        <f aca="false">COUNTIF('App Core'!$C$5:$C$307,B62)</f>
        <v>4</v>
      </c>
      <c r="D62" s="19" t="n">
        <f aca="false">IF(COUNTA('App Core'!$A$5:$A$307)=0,0,C62/COUNTA('App Core'!$A$5:$A$307))</f>
        <v>0.0132013201320132</v>
      </c>
    </row>
    <row r="63" customFormat="false" ht="15" hidden="false" customHeight="false" outlineLevel="0" collapsed="false">
      <c r="A63" s="17" t="s">
        <v>57</v>
      </c>
      <c r="B63" s="17" t="s">
        <v>140</v>
      </c>
      <c r="C63" s="17" t="n">
        <f aca="false">COUNTIF('App Core'!$C$5:$C$307,B63)</f>
        <v>7</v>
      </c>
      <c r="D63" s="19" t="n">
        <f aca="false">IF(COUNTA('App Core'!$A$5:$A$307)=0,0,C63/COUNTA('App Core'!$A$5:$A$307))</f>
        <v>0.0231023102310231</v>
      </c>
    </row>
    <row r="64" customFormat="false" ht="15" hidden="false" customHeight="false" outlineLevel="0" collapsed="false">
      <c r="A64" s="17" t="s">
        <v>57</v>
      </c>
      <c r="B64" s="17" t="s">
        <v>141</v>
      </c>
      <c r="C64" s="17" t="n">
        <f aca="false">COUNTIF('App Core'!$C$5:$C$307,B64)</f>
        <v>10</v>
      </c>
      <c r="D64" s="19" t="n">
        <f aca="false">IF(COUNTA('App Core'!$A$5:$A$307)=0,0,C64/COUNTA('App Core'!$A$5:$A$307))</f>
        <v>0.033003300330033</v>
      </c>
    </row>
    <row r="65" customFormat="false" ht="15" hidden="false" customHeight="false" outlineLevel="0" collapsed="false">
      <c r="A65" s="17" t="s">
        <v>57</v>
      </c>
      <c r="B65" s="17" t="s">
        <v>142</v>
      </c>
      <c r="C65" s="17" t="n">
        <f aca="false">COUNTIF('App Core'!$C$5:$C$307,B65)</f>
        <v>13</v>
      </c>
      <c r="D65" s="19" t="n">
        <f aca="false">IF(COUNTA('App Core'!$A$5:$A$307)=0,0,C65/COUNTA('App Core'!$A$5:$A$307))</f>
        <v>0.0429042904290429</v>
      </c>
    </row>
    <row r="66" customFormat="false" ht="15" hidden="false" customHeight="false" outlineLevel="0" collapsed="false">
      <c r="A66" s="17" t="s">
        <v>57</v>
      </c>
      <c r="B66" s="17" t="s">
        <v>143</v>
      </c>
      <c r="C66" s="17" t="n">
        <f aca="false">COUNTIF('App Core'!$C$5:$C$307,B66)</f>
        <v>7</v>
      </c>
      <c r="D66" s="19" t="n">
        <f aca="false">IF(COUNTA('App Core'!$A$5:$A$307)=0,0,C66/COUNTA('App Core'!$A$5:$A$307))</f>
        <v>0.0231023102310231</v>
      </c>
    </row>
    <row r="67" customFormat="false" ht="15" hidden="false" customHeight="false" outlineLevel="0" collapsed="false">
      <c r="A67" s="17" t="s">
        <v>57</v>
      </c>
      <c r="B67" s="17" t="s">
        <v>144</v>
      </c>
      <c r="C67" s="17" t="n">
        <f aca="false">COUNTIF('App Core'!$C$5:$C$307,B67)</f>
        <v>4</v>
      </c>
      <c r="D67" s="19" t="n">
        <f aca="false">IF(COUNTA('App Core'!$A$5:$A$307)=0,0,C67/COUNTA('App Core'!$A$5:$A$307))</f>
        <v>0.0132013201320132</v>
      </c>
    </row>
    <row r="68" customFormat="false" ht="15" hidden="false" customHeight="false" outlineLevel="0" collapsed="false">
      <c r="A68" s="17" t="s">
        <v>57</v>
      </c>
      <c r="B68" s="17" t="s">
        <v>145</v>
      </c>
      <c r="C68" s="17" t="n">
        <f aca="false">COUNTIF('App Core'!$C$5:$C$307,B68)</f>
        <v>7</v>
      </c>
      <c r="D68" s="19" t="n">
        <f aca="false">IF(COUNTA('App Core'!$A$5:$A$307)=0,0,C68/COUNTA('App Core'!$A$5:$A$307))</f>
        <v>0.0231023102310231</v>
      </c>
    </row>
    <row r="69" customFormat="false" ht="15" hidden="false" customHeight="false" outlineLevel="0" collapsed="false">
      <c r="A69" s="17" t="s">
        <v>57</v>
      </c>
      <c r="B69" s="17" t="s">
        <v>146</v>
      </c>
      <c r="C69" s="17" t="n">
        <f aca="false">COUNTIF('App Core'!$C$5:$C$307,B69)</f>
        <v>11</v>
      </c>
      <c r="D69" s="19" t="n">
        <f aca="false">IF(COUNTA('App Core'!$A$5:$A$307)=0,0,C69/COUNTA('App Core'!$A$5:$A$307))</f>
        <v>0.0363036303630363</v>
      </c>
    </row>
    <row r="70" customFormat="false" ht="15" hidden="false" customHeight="false" outlineLevel="0" collapsed="false">
      <c r="A70" s="17" t="s">
        <v>57</v>
      </c>
      <c r="B70" s="17" t="s">
        <v>147</v>
      </c>
      <c r="C70" s="17" t="n">
        <f aca="false">COUNTIF('App Core'!$C$5:$C$307,B70)</f>
        <v>6</v>
      </c>
      <c r="D70" s="19" t="n">
        <f aca="false">IF(COUNTA('App Core'!$A$5:$A$307)=0,0,C70/COUNTA('App Core'!$A$5:$A$307))</f>
        <v>0.0198019801980198</v>
      </c>
    </row>
    <row r="71" customFormat="false" ht="15" hidden="false" customHeight="false" outlineLevel="0" collapsed="false">
      <c r="A71" s="17" t="s">
        <v>57</v>
      </c>
      <c r="B71" s="17" t="s">
        <v>148</v>
      </c>
      <c r="C71" s="17" t="n">
        <f aca="false">COUNTIF('App Core'!$C$5:$C$307,B71)</f>
        <v>18</v>
      </c>
      <c r="D71" s="19" t="n">
        <f aca="false">IF(COUNTA('App Core'!$A$5:$A$307)=0,0,C71/COUNTA('App Core'!$A$5:$A$307))</f>
        <v>0.0594059405940594</v>
      </c>
    </row>
    <row r="72" customFormat="false" ht="15" hidden="false" customHeight="false" outlineLevel="0" collapsed="false">
      <c r="A72" s="17" t="s">
        <v>57</v>
      </c>
      <c r="B72" s="17" t="s">
        <v>149</v>
      </c>
      <c r="C72" s="17" t="n">
        <f aca="false">COUNTIF('App Core'!$C$5:$C$307,B72)</f>
        <v>20</v>
      </c>
      <c r="D72" s="19" t="n">
        <f aca="false">IF(COUNTA('App Core'!$A$5:$A$307)=0,0,C72/COUNTA('App Core'!$A$5:$A$307))</f>
        <v>0.066006600660066</v>
      </c>
    </row>
    <row r="73" customFormat="false" ht="15" hidden="false" customHeight="false" outlineLevel="0" collapsed="false">
      <c r="A73" s="17" t="s">
        <v>57</v>
      </c>
      <c r="B73" s="17" t="s">
        <v>150</v>
      </c>
      <c r="C73" s="17" t="n">
        <f aca="false">COUNTIF('App Core'!$C$5:$C$307,B73)</f>
        <v>3</v>
      </c>
      <c r="D73" s="19" t="n">
        <f aca="false">IF(COUNTA('App Core'!$A$5:$A$307)=0,0,C73/COUNTA('App Core'!$A$5:$A$307))</f>
        <v>0.0099009900990099</v>
      </c>
    </row>
    <row r="74" customFormat="false" ht="15" hidden="false" customHeight="false" outlineLevel="0" collapsed="false">
      <c r="A74" s="17" t="s">
        <v>57</v>
      </c>
      <c r="B74" s="17" t="s">
        <v>151</v>
      </c>
      <c r="C74" s="17" t="n">
        <f aca="false">COUNTIF('App Core'!$C$5:$C$307,B74)</f>
        <v>9</v>
      </c>
      <c r="D74" s="19" t="n">
        <f aca="false">IF(COUNTA('App Core'!$A$5:$A$307)=0,0,C74/COUNTA('App Core'!$A$5:$A$307))</f>
        <v>0.0297029702970297</v>
      </c>
    </row>
    <row r="75" customFormat="false" ht="15" hidden="false" customHeight="false" outlineLevel="0" collapsed="false">
      <c r="A75" s="17" t="s">
        <v>57</v>
      </c>
      <c r="B75" s="17" t="s">
        <v>152</v>
      </c>
      <c r="C75" s="17" t="n">
        <f aca="false">COUNTIF('App Core'!$C$5:$C$307,B75)</f>
        <v>11</v>
      </c>
      <c r="D75" s="19" t="n">
        <f aca="false">IF(COUNTA('App Core'!$A$5:$A$307)=0,0,C75/COUNTA('App Core'!$A$5:$A$307))</f>
        <v>0.0363036303630363</v>
      </c>
    </row>
    <row r="76" customFormat="false" ht="15" hidden="false" customHeight="false" outlineLevel="0" collapsed="false">
      <c r="A76" s="17" t="s">
        <v>57</v>
      </c>
      <c r="B76" s="17" t="s">
        <v>153</v>
      </c>
      <c r="C76" s="17" t="n">
        <f aca="false">COUNTIF('App Core'!$C$5:$C$307,B76)</f>
        <v>13</v>
      </c>
      <c r="D76" s="19" t="n">
        <f aca="false">IF(COUNTA('App Core'!$A$5:$A$307)=0,0,C76/COUNTA('App Core'!$A$5:$A$307))</f>
        <v>0.0429042904290429</v>
      </c>
    </row>
    <row r="77" customFormat="false" ht="15" hidden="false" customHeight="false" outlineLevel="0" collapsed="false">
      <c r="A77" s="17" t="s">
        <v>57</v>
      </c>
      <c r="B77" s="17" t="s">
        <v>154</v>
      </c>
      <c r="C77" s="17" t="n">
        <f aca="false">COUNTIF('App Core'!$C$5:$C$307,B77)</f>
        <v>48</v>
      </c>
      <c r="D77" s="19" t="n">
        <f aca="false">IF(COUNTA('App Core'!$A$5:$A$307)=0,0,C77/COUNTA('App Core'!$A$5:$A$307))</f>
        <v>0.158415841584158</v>
      </c>
    </row>
    <row r="78" customFormat="false" ht="15" hidden="false" customHeight="false" outlineLevel="0" collapsed="false">
      <c r="A78" s="17" t="s">
        <v>57</v>
      </c>
      <c r="B78" s="17" t="s">
        <v>155</v>
      </c>
      <c r="C78" s="17" t="n">
        <f aca="false">COUNTIF('App Core'!$C$5:$C$307,B78)</f>
        <v>7</v>
      </c>
      <c r="D78" s="19" t="n">
        <f aca="false">IF(COUNTA('App Core'!$A$5:$A$307)=0,0,C78/COUNTA('App Core'!$A$5:$A$307))</f>
        <v>0.0231023102310231</v>
      </c>
    </row>
    <row r="79" customFormat="false" ht="15" hidden="false" customHeight="false" outlineLevel="0" collapsed="false">
      <c r="A79" s="17" t="s">
        <v>57</v>
      </c>
      <c r="B79" s="17" t="s">
        <v>156</v>
      </c>
      <c r="C79" s="17" t="n">
        <f aca="false">COUNTIF('App Core'!$C$5:$C$307,B79)</f>
        <v>2</v>
      </c>
      <c r="D79" s="19" t="n">
        <f aca="false">IF(COUNTA('App Core'!$A$5:$A$307)=0,0,C79/COUNTA('App Core'!$A$5:$A$307))</f>
        <v>0.0066006600660066</v>
      </c>
    </row>
    <row r="80" customFormat="false" ht="15" hidden="false" customHeight="false" outlineLevel="0" collapsed="false">
      <c r="A80" s="17" t="s">
        <v>57</v>
      </c>
      <c r="B80" s="17" t="s">
        <v>157</v>
      </c>
      <c r="C80" s="17" t="n">
        <f aca="false">COUNTIF('App Core'!$C$5:$C$307,B80)</f>
        <v>6</v>
      </c>
      <c r="D80" s="19" t="n">
        <f aca="false">IF(COUNTA('App Core'!$A$5:$A$307)=0,0,C80/COUNTA('App Core'!$A$5:$A$307))</f>
        <v>0.0198019801980198</v>
      </c>
    </row>
    <row r="81" customFormat="false" ht="15" hidden="false" customHeight="false" outlineLevel="0" collapsed="false">
      <c r="A81" s="17" t="s">
        <v>57</v>
      </c>
      <c r="B81" s="17" t="s">
        <v>158</v>
      </c>
      <c r="C81" s="17" t="n">
        <f aca="false">COUNTIF('App Core'!$C$5:$C$307,B81)</f>
        <v>7</v>
      </c>
      <c r="D81" s="19" t="n">
        <f aca="false">IF(COUNTA('App Core'!$A$5:$A$307)=0,0,C81/COUNTA('App Core'!$A$5:$A$307))</f>
        <v>0.0231023102310231</v>
      </c>
    </row>
    <row r="82" customFormat="false" ht="15" hidden="false" customHeight="false" outlineLevel="0" collapsed="false">
      <c r="A82" s="17" t="s">
        <v>57</v>
      </c>
      <c r="B82" s="17" t="s">
        <v>159</v>
      </c>
      <c r="C82" s="17" t="n">
        <f aca="false">COUNTIF('App Core'!$C$5:$C$307,B82)</f>
        <v>19</v>
      </c>
      <c r="D82" s="19" t="n">
        <f aca="false">IF(COUNTA('App Core'!$A$5:$A$307)=0,0,C82/COUNTA('App Core'!$A$5:$A$307))</f>
        <v>0.0627062706270627</v>
      </c>
    </row>
    <row r="83" customFormat="false" ht="15" hidden="false" customHeight="false" outlineLevel="0" collapsed="false">
      <c r="A83" s="17" t="s">
        <v>57</v>
      </c>
      <c r="B83" s="17" t="s">
        <v>160</v>
      </c>
      <c r="C83" s="17" t="n">
        <f aca="false">COUNTIF('App Core'!$C$5:$C$307,B83)</f>
        <v>2</v>
      </c>
      <c r="D83" s="19" t="n">
        <f aca="false">IF(COUNTA('App Core'!$A$5:$A$307)=0,0,C83/COUNTA('App Core'!$A$5:$A$307))</f>
        <v>0.0066006600660066</v>
      </c>
    </row>
    <row r="84" customFormat="false" ht="15" hidden="false" customHeight="false" outlineLevel="0" collapsed="false">
      <c r="A84" s="17" t="s">
        <v>57</v>
      </c>
      <c r="B84" s="17" t="s">
        <v>161</v>
      </c>
      <c r="C84" s="17" t="n">
        <f aca="false">COUNTIF('App Core'!$C$5:$C$307,B84)</f>
        <v>8</v>
      </c>
      <c r="D84" s="19" t="n">
        <f aca="false">IF(COUNTA('App Core'!$A$5:$A$307)=0,0,C84/COUNTA('App Core'!$A$5:$A$307))</f>
        <v>0.0264026402640264</v>
      </c>
    </row>
    <row r="85" customFormat="false" ht="15" hidden="false" customHeight="false" outlineLevel="0" collapsed="false">
      <c r="A85" s="17" t="s">
        <v>59</v>
      </c>
      <c r="B85" s="17" t="s">
        <v>162</v>
      </c>
      <c r="C85" s="17" t="n">
        <f aca="false">COUNTIF('Platform Libs'!$C$5:$C$47,B85)</f>
        <v>1</v>
      </c>
      <c r="D85" s="19" t="n">
        <f aca="false">IF(COUNTA('Platform Libs'!$A$5:$A$47)=0,0,C85/COUNTA('Platform Libs'!$A$5:$A$47))</f>
        <v>0.0232558139534884</v>
      </c>
    </row>
    <row r="86" customFormat="false" ht="15" hidden="false" customHeight="false" outlineLevel="0" collapsed="false">
      <c r="A86" s="17" t="s">
        <v>59</v>
      </c>
      <c r="B86" s="17" t="s">
        <v>163</v>
      </c>
      <c r="C86" s="17" t="n">
        <f aca="false">COUNTIF('Platform Libs'!$C$5:$C$47,B86)</f>
        <v>2</v>
      </c>
      <c r="D86" s="19" t="n">
        <f aca="false">IF(COUNTA('Platform Libs'!$A$5:$A$47)=0,0,C86/COUNTA('Platform Libs'!$A$5:$A$47))</f>
        <v>0.0465116279069767</v>
      </c>
    </row>
    <row r="87" customFormat="false" ht="15" hidden="false" customHeight="false" outlineLevel="0" collapsed="false">
      <c r="A87" s="17" t="s">
        <v>59</v>
      </c>
      <c r="B87" s="17" t="s">
        <v>164</v>
      </c>
      <c r="C87" s="17" t="n">
        <f aca="false">COUNTIF('Platform Libs'!$C$5:$C$47,B87)</f>
        <v>4</v>
      </c>
      <c r="D87" s="19" t="n">
        <f aca="false">IF(COUNTA('Platform Libs'!$A$5:$A$47)=0,0,C87/COUNTA('Platform Libs'!$A$5:$A$47))</f>
        <v>0.0930232558139535</v>
      </c>
    </row>
    <row r="88" customFormat="false" ht="15" hidden="false" customHeight="false" outlineLevel="0" collapsed="false">
      <c r="A88" s="17" t="s">
        <v>59</v>
      </c>
      <c r="B88" s="17" t="s">
        <v>165</v>
      </c>
      <c r="C88" s="17" t="n">
        <f aca="false">COUNTIF('Platform Libs'!$C$5:$C$47,B88)</f>
        <v>13</v>
      </c>
      <c r="D88" s="19" t="n">
        <f aca="false">IF(COUNTA('Platform Libs'!$A$5:$A$47)=0,0,C88/COUNTA('Platform Libs'!$A$5:$A$47))</f>
        <v>0.302325581395349</v>
      </c>
    </row>
    <row r="89" customFormat="false" ht="15" hidden="false" customHeight="false" outlineLevel="0" collapsed="false">
      <c r="A89" s="17" t="s">
        <v>59</v>
      </c>
      <c r="B89" s="17" t="s">
        <v>166</v>
      </c>
      <c r="C89" s="17" t="n">
        <f aca="false">COUNTIF('Platform Libs'!$C$5:$C$47,B89)</f>
        <v>13</v>
      </c>
      <c r="D89" s="19" t="n">
        <f aca="false">IF(COUNTA('Platform Libs'!$A$5:$A$47)=0,0,C89/COUNTA('Platform Libs'!$A$5:$A$47))</f>
        <v>0.302325581395349</v>
      </c>
    </row>
    <row r="90" customFormat="false" ht="15" hidden="false" customHeight="false" outlineLevel="0" collapsed="false">
      <c r="A90" s="17" t="s">
        <v>59</v>
      </c>
      <c r="B90" s="17" t="s">
        <v>167</v>
      </c>
      <c r="C90" s="17" t="n">
        <f aca="false">COUNTIF('Platform Libs'!$C$5:$C$47,B90)</f>
        <v>4</v>
      </c>
      <c r="D90" s="19" t="n">
        <f aca="false">IF(COUNTA('Platform Libs'!$A$5:$A$47)=0,0,C90/COUNTA('Platform Libs'!$A$5:$A$47))</f>
        <v>0.0930232558139535</v>
      </c>
    </row>
    <row r="91" customFormat="false" ht="15" hidden="false" customHeight="false" outlineLevel="0" collapsed="false">
      <c r="A91" s="17" t="s">
        <v>59</v>
      </c>
      <c r="B91" s="17" t="s">
        <v>168</v>
      </c>
      <c r="C91" s="17" t="n">
        <f aca="false">COUNTIF('Platform Libs'!$C$5:$C$47,B91)</f>
        <v>5</v>
      </c>
      <c r="D91" s="19" t="n">
        <f aca="false">IF(COUNTA('Platform Libs'!$A$5:$A$47)=0,0,C91/COUNTA('Platform Libs'!$A$5:$A$47))</f>
        <v>0.116279069767442</v>
      </c>
    </row>
    <row r="92" customFormat="false" ht="15" hidden="false" customHeight="false" outlineLevel="0" collapsed="false">
      <c r="A92" s="17" t="s">
        <v>59</v>
      </c>
      <c r="B92" s="17" t="s">
        <v>169</v>
      </c>
      <c r="C92" s="17" t="n">
        <f aca="false">COUNTIF('Platform Libs'!$C$5:$C$47,B92)</f>
        <v>1</v>
      </c>
      <c r="D92" s="19" t="n">
        <f aca="false">IF(COUNTA('Platform Libs'!$A$5:$A$47)=0,0,C92/COUNTA('Platform Libs'!$A$5:$A$47))</f>
        <v>0.0232558139534884</v>
      </c>
    </row>
    <row r="93" customFormat="false" ht="15" hidden="false" customHeight="false" outlineLevel="0" collapsed="false">
      <c r="A93" s="17" t="s">
        <v>61</v>
      </c>
      <c r="B93" s="17" t="s">
        <v>170</v>
      </c>
      <c r="C93" s="17" t="n">
        <f aca="false">COUNTIF('QDMA Driver'!$C$5:$C$318,B93)</f>
        <v>8</v>
      </c>
      <c r="D93" s="19" t="n">
        <f aca="false">IF(COUNTA('QDMA Driver'!$A$5:$A$318)=0,0,C93/COUNTA('QDMA Driver'!$A$5:$A$318))</f>
        <v>0.0254777070063694</v>
      </c>
    </row>
    <row r="94" customFormat="false" ht="15" hidden="false" customHeight="false" outlineLevel="0" collapsed="false">
      <c r="A94" s="17" t="s">
        <v>61</v>
      </c>
      <c r="B94" s="17" t="s">
        <v>171</v>
      </c>
      <c r="C94" s="17" t="n">
        <f aca="false">COUNTIF('QDMA Driver'!$C$5:$C$318,B94)</f>
        <v>20</v>
      </c>
      <c r="D94" s="19" t="n">
        <f aca="false">IF(COUNTA('QDMA Driver'!$A$5:$A$318)=0,0,C94/COUNTA('QDMA Driver'!$A$5:$A$318))</f>
        <v>0.0636942675159236</v>
      </c>
    </row>
    <row r="95" customFormat="false" ht="15" hidden="false" customHeight="false" outlineLevel="0" collapsed="false">
      <c r="A95" s="17" t="s">
        <v>61</v>
      </c>
      <c r="B95" s="17" t="s">
        <v>172</v>
      </c>
      <c r="C95" s="17" t="n">
        <f aca="false">COUNTIF('QDMA Driver'!$C$5:$C$318,B95)</f>
        <v>17</v>
      </c>
      <c r="D95" s="19" t="n">
        <f aca="false">IF(COUNTA('QDMA Driver'!$A$5:$A$318)=0,0,C95/COUNTA('QDMA Driver'!$A$5:$A$318))</f>
        <v>0.054140127388535</v>
      </c>
    </row>
    <row r="96" customFormat="false" ht="15" hidden="false" customHeight="false" outlineLevel="0" collapsed="false">
      <c r="A96" s="17" t="s">
        <v>61</v>
      </c>
      <c r="B96" s="17" t="s">
        <v>173</v>
      </c>
      <c r="C96" s="17" t="n">
        <f aca="false">COUNTIF('QDMA Driver'!$C$5:$C$318,B96)</f>
        <v>5</v>
      </c>
      <c r="D96" s="19" t="n">
        <f aca="false">IF(COUNTA('QDMA Driver'!$A$5:$A$318)=0,0,C96/COUNTA('QDMA Driver'!$A$5:$A$318))</f>
        <v>0.0159235668789809</v>
      </c>
    </row>
    <row r="97" customFormat="false" ht="15" hidden="false" customHeight="false" outlineLevel="0" collapsed="false">
      <c r="A97" s="17" t="s">
        <v>61</v>
      </c>
      <c r="B97" s="17" t="s">
        <v>174</v>
      </c>
      <c r="C97" s="17" t="n">
        <f aca="false">COUNTIF('QDMA Driver'!$C$5:$C$318,B97)</f>
        <v>5</v>
      </c>
      <c r="D97" s="19" t="n">
        <f aca="false">IF(COUNTA('QDMA Driver'!$A$5:$A$318)=0,0,C97/COUNTA('QDMA Driver'!$A$5:$A$318))</f>
        <v>0.0159235668789809</v>
      </c>
    </row>
    <row r="98" customFormat="false" ht="15" hidden="false" customHeight="false" outlineLevel="0" collapsed="false">
      <c r="A98" s="17" t="s">
        <v>61</v>
      </c>
      <c r="B98" s="17" t="s">
        <v>175</v>
      </c>
      <c r="C98" s="17" t="n">
        <f aca="false">COUNTIF('QDMA Driver'!$C$5:$C$318,B98)</f>
        <v>4</v>
      </c>
      <c r="D98" s="19" t="n">
        <f aca="false">IF(COUNTA('QDMA Driver'!$A$5:$A$318)=0,0,C98/COUNTA('QDMA Driver'!$A$5:$A$318))</f>
        <v>0.0127388535031847</v>
      </c>
    </row>
    <row r="99" customFormat="false" ht="15" hidden="false" customHeight="false" outlineLevel="0" collapsed="false">
      <c r="A99" s="17" t="s">
        <v>61</v>
      </c>
      <c r="B99" s="17" t="s">
        <v>176</v>
      </c>
      <c r="C99" s="17" t="n">
        <f aca="false">COUNTIF('QDMA Driver'!$C$5:$C$318,B99)</f>
        <v>55</v>
      </c>
      <c r="D99" s="19" t="n">
        <f aca="false">IF(COUNTA('QDMA Driver'!$A$5:$A$318)=0,0,C99/COUNTA('QDMA Driver'!$A$5:$A$318))</f>
        <v>0.17515923566879</v>
      </c>
    </row>
    <row r="100" customFormat="false" ht="15" hidden="false" customHeight="false" outlineLevel="0" collapsed="false">
      <c r="A100" s="17" t="s">
        <v>61</v>
      </c>
      <c r="B100" s="17" t="s">
        <v>177</v>
      </c>
      <c r="C100" s="17" t="n">
        <f aca="false">COUNTIF('QDMA Driver'!$C$5:$C$318,B100)</f>
        <v>20</v>
      </c>
      <c r="D100" s="19" t="n">
        <f aca="false">IF(COUNTA('QDMA Driver'!$A$5:$A$318)=0,0,C100/COUNTA('QDMA Driver'!$A$5:$A$318))</f>
        <v>0.0636942675159236</v>
      </c>
    </row>
    <row r="101" customFormat="false" ht="15" hidden="false" customHeight="false" outlineLevel="0" collapsed="false">
      <c r="A101" s="17" t="s">
        <v>61</v>
      </c>
      <c r="B101" s="17" t="s">
        <v>178</v>
      </c>
      <c r="C101" s="17" t="n">
        <f aca="false">COUNTIF('QDMA Driver'!$C$5:$C$318,B101)</f>
        <v>16</v>
      </c>
      <c r="D101" s="19" t="n">
        <f aca="false">IF(COUNTA('QDMA Driver'!$A$5:$A$318)=0,0,C101/COUNTA('QDMA Driver'!$A$5:$A$318))</f>
        <v>0.0509554140127389</v>
      </c>
    </row>
    <row r="102" customFormat="false" ht="15" hidden="false" customHeight="false" outlineLevel="0" collapsed="false">
      <c r="A102" s="17" t="s">
        <v>61</v>
      </c>
      <c r="B102" s="17" t="s">
        <v>179</v>
      </c>
      <c r="C102" s="17" t="n">
        <f aca="false">COUNTIF('QDMA Driver'!$C$5:$C$318,B102)</f>
        <v>26</v>
      </c>
      <c r="D102" s="19" t="n">
        <f aca="false">IF(COUNTA('QDMA Driver'!$A$5:$A$318)=0,0,C102/COUNTA('QDMA Driver'!$A$5:$A$318))</f>
        <v>0.0828025477707006</v>
      </c>
    </row>
    <row r="103" customFormat="false" ht="15" hidden="false" customHeight="false" outlineLevel="0" collapsed="false">
      <c r="A103" s="17" t="s">
        <v>61</v>
      </c>
      <c r="B103" s="17" t="s">
        <v>180</v>
      </c>
      <c r="C103" s="17" t="n">
        <f aca="false">COUNTIF('QDMA Driver'!$C$5:$C$318,B103)</f>
        <v>18</v>
      </c>
      <c r="D103" s="19" t="n">
        <f aca="false">IF(COUNTA('QDMA Driver'!$A$5:$A$318)=0,0,C103/COUNTA('QDMA Driver'!$A$5:$A$318))</f>
        <v>0.0573248407643312</v>
      </c>
    </row>
    <row r="104" customFormat="false" ht="15" hidden="false" customHeight="false" outlineLevel="0" collapsed="false">
      <c r="A104" s="17" t="s">
        <v>61</v>
      </c>
      <c r="B104" s="17" t="s">
        <v>181</v>
      </c>
      <c r="C104" s="17" t="n">
        <f aca="false">COUNTIF('QDMA Driver'!$C$5:$C$318,B104)</f>
        <v>3</v>
      </c>
      <c r="D104" s="19" t="n">
        <f aca="false">IF(COUNTA('QDMA Driver'!$A$5:$A$318)=0,0,C104/COUNTA('QDMA Driver'!$A$5:$A$318))</f>
        <v>0.00955414012738854</v>
      </c>
    </row>
    <row r="105" customFormat="false" ht="15" hidden="false" customHeight="false" outlineLevel="0" collapsed="false">
      <c r="A105" s="17" t="s">
        <v>61</v>
      </c>
      <c r="B105" s="17" t="s">
        <v>182</v>
      </c>
      <c r="C105" s="17" t="n">
        <f aca="false">COUNTIF('QDMA Driver'!$C$5:$C$318,B105)</f>
        <v>20</v>
      </c>
      <c r="D105" s="19" t="n">
        <f aca="false">IF(COUNTA('QDMA Driver'!$A$5:$A$318)=0,0,C105/COUNTA('QDMA Driver'!$A$5:$A$318))</f>
        <v>0.0636942675159236</v>
      </c>
    </row>
    <row r="106" customFormat="false" ht="15" hidden="false" customHeight="false" outlineLevel="0" collapsed="false">
      <c r="A106" s="17" t="s">
        <v>61</v>
      </c>
      <c r="B106" s="17" t="s">
        <v>183</v>
      </c>
      <c r="C106" s="17" t="n">
        <f aca="false">COUNTIF('QDMA Driver'!$C$5:$C$318,B106)</f>
        <v>8</v>
      </c>
      <c r="D106" s="19" t="n">
        <f aca="false">IF(COUNTA('QDMA Driver'!$A$5:$A$318)=0,0,C106/COUNTA('QDMA Driver'!$A$5:$A$318))</f>
        <v>0.0254777070063694</v>
      </c>
    </row>
    <row r="107" customFormat="false" ht="15" hidden="false" customHeight="false" outlineLevel="0" collapsed="false">
      <c r="A107" s="17" t="s">
        <v>61</v>
      </c>
      <c r="B107" s="17" t="s">
        <v>184</v>
      </c>
      <c r="C107" s="17" t="n">
        <f aca="false">COUNTIF('QDMA Driver'!$C$5:$C$318,B107)</f>
        <v>40</v>
      </c>
      <c r="D107" s="19" t="n">
        <f aca="false">IF(COUNTA('QDMA Driver'!$A$5:$A$318)=0,0,C107/COUNTA('QDMA Driver'!$A$5:$A$318))</f>
        <v>0.127388535031847</v>
      </c>
    </row>
    <row r="108" customFormat="false" ht="15" hidden="false" customHeight="false" outlineLevel="0" collapsed="false">
      <c r="A108" s="17" t="s">
        <v>61</v>
      </c>
      <c r="B108" s="17" t="s">
        <v>185</v>
      </c>
      <c r="C108" s="17" t="n">
        <f aca="false">COUNTIF('QDMA Driver'!$C$5:$C$318,B108)</f>
        <v>4</v>
      </c>
      <c r="D108" s="19" t="n">
        <f aca="false">IF(COUNTA('QDMA Driver'!$A$5:$A$318)=0,0,C108/COUNTA('QDMA Driver'!$A$5:$A$318))</f>
        <v>0.0127388535031847</v>
      </c>
    </row>
    <row r="109" customFormat="false" ht="15" hidden="false" customHeight="false" outlineLevel="0" collapsed="false">
      <c r="A109" s="17" t="s">
        <v>61</v>
      </c>
      <c r="B109" s="17" t="s">
        <v>186</v>
      </c>
      <c r="C109" s="17" t="n">
        <f aca="false">COUNTIF('QDMA Driver'!$C$5:$C$318,B109)</f>
        <v>6</v>
      </c>
      <c r="D109" s="19" t="n">
        <f aca="false">IF(COUNTA('QDMA Driver'!$A$5:$A$318)=0,0,C109/COUNTA('QDMA Driver'!$A$5:$A$318))</f>
        <v>0.0191082802547771</v>
      </c>
    </row>
    <row r="110" customFormat="false" ht="15" hidden="false" customHeight="false" outlineLevel="0" collapsed="false">
      <c r="A110" s="17" t="s">
        <v>61</v>
      </c>
      <c r="B110" s="17" t="s">
        <v>187</v>
      </c>
      <c r="C110" s="17" t="n">
        <f aca="false">COUNTIF('QDMA Driver'!$C$5:$C$318,B110)</f>
        <v>39</v>
      </c>
      <c r="D110" s="19" t="n">
        <f aca="false">IF(COUNTA('QDMA Driver'!$A$5:$A$318)=0,0,C110/COUNTA('QDMA Driver'!$A$5:$A$318))</f>
        <v>0.124203821656051</v>
      </c>
    </row>
    <row r="111" customFormat="false" ht="15" hidden="false" customHeight="false" outlineLevel="0" collapsed="false">
      <c r="A111" s="17" t="s">
        <v>63</v>
      </c>
      <c r="B111" s="17" t="s">
        <v>188</v>
      </c>
      <c r="C111" s="17" t="n">
        <f aca="false">COUNTIF('QDMA Registers'!$C$5:$C$137,B111)</f>
        <v>32</v>
      </c>
      <c r="D111" s="19" t="n">
        <f aca="false">IF(COUNTA('QDMA Registers'!$A$5:$A$137)=0,0,C111/COUNTA('QDMA Registers'!$A$5:$A$137))</f>
        <v>0.240601503759398</v>
      </c>
    </row>
    <row r="112" customFormat="false" ht="15" hidden="false" customHeight="false" outlineLevel="0" collapsed="false">
      <c r="A112" s="17" t="s">
        <v>63</v>
      </c>
      <c r="B112" s="17" t="s">
        <v>189</v>
      </c>
      <c r="C112" s="17" t="n">
        <f aca="false">COUNTIF('QDMA Registers'!$C$5:$C$137,B112)</f>
        <v>40</v>
      </c>
      <c r="D112" s="19" t="n">
        <f aca="false">IF(COUNTA('QDMA Registers'!$A$5:$A$137)=0,0,C112/COUNTA('QDMA Registers'!$A$5:$A$137))</f>
        <v>0.300751879699248</v>
      </c>
    </row>
    <row r="113" customFormat="false" ht="15" hidden="false" customHeight="false" outlineLevel="0" collapsed="false">
      <c r="A113" s="17" t="s">
        <v>63</v>
      </c>
      <c r="B113" s="17" t="s">
        <v>190</v>
      </c>
      <c r="C113" s="17" t="n">
        <f aca="false">COUNTIF('QDMA Registers'!$C$5:$C$137,B113)</f>
        <v>61</v>
      </c>
      <c r="D113" s="19" t="n">
        <f aca="false">IF(COUNTA('QDMA Registers'!$A$5:$A$137)=0,0,C113/COUNTA('QDMA Registers'!$A$5:$A$137))</f>
        <v>0.458646616541353</v>
      </c>
    </row>
    <row r="114" customFormat="false" ht="15" hidden="false" customHeight="false" outlineLevel="0" collapsed="false">
      <c r="A114" s="17" t="s">
        <v>65</v>
      </c>
      <c r="B114" s="17" t="s">
        <v>191</v>
      </c>
      <c r="C114" s="17" t="n">
        <f aca="false">COUNTIF('QDMA Helpers'!$C$5:$C$105,B114)</f>
        <v>34</v>
      </c>
      <c r="D114" s="19" t="n">
        <f aca="false">IF(COUNTA('QDMA Helpers'!$A$5:$A$105)=0,0,C114/COUNTA('QDMA Helpers'!$A$5:$A$105))</f>
        <v>0.336633663366337</v>
      </c>
    </row>
    <row r="115" customFormat="false" ht="15" hidden="false" customHeight="false" outlineLevel="0" collapsed="false">
      <c r="A115" s="17" t="s">
        <v>65</v>
      </c>
      <c r="B115" s="17" t="s">
        <v>192</v>
      </c>
      <c r="C115" s="17" t="n">
        <f aca="false">COUNTIF('QDMA Helpers'!$C$5:$C$105,B115)</f>
        <v>67</v>
      </c>
      <c r="D115" s="19" t="n">
        <f aca="false">IF(COUNTA('QDMA Helpers'!$A$5:$A$105)=0,0,C115/COUNTA('QDMA Helpers'!$A$5:$A$105))</f>
        <v>0.663366336633663</v>
      </c>
    </row>
    <row r="116" customFormat="false" ht="15" hidden="false" customHeight="false" outlineLevel="0" collapsed="false">
      <c r="A116" s="17" t="s">
        <v>67</v>
      </c>
      <c r="B116" s="17" t="s">
        <v>137</v>
      </c>
      <c r="C116" s="17" t="n">
        <f aca="false">COUNTIF('QDMA Host'!$C$5:$C$96,B116)</f>
        <v>74</v>
      </c>
      <c r="D116" s="19" t="n">
        <f aca="false">IF(COUNTA('QDMA Host'!$A$5:$A$96)=0,0,C116/COUNTA('QDMA Host'!$A$5:$A$96))</f>
        <v>0.804347826086957</v>
      </c>
    </row>
    <row r="117" customFormat="false" ht="15" hidden="false" customHeight="false" outlineLevel="0" collapsed="false">
      <c r="A117" s="17" t="s">
        <v>67</v>
      </c>
      <c r="B117" s="17" t="s">
        <v>140</v>
      </c>
      <c r="C117" s="17" t="n">
        <f aca="false">COUNTIF('QDMA Host'!$C$5:$C$96,B117)</f>
        <v>18</v>
      </c>
      <c r="D117" s="19" t="n">
        <f aca="false">IF(COUNTA('QDMA Host'!$A$5:$A$96)=0,0,C117/COUNTA('QDMA Host'!$A$5:$A$96))</f>
        <v>0.195652173913044</v>
      </c>
    </row>
    <row r="118" customFormat="false" ht="15" hidden="false" customHeight="false" outlineLevel="0" collapsed="false">
      <c r="A118" s="17" t="s">
        <v>69</v>
      </c>
      <c r="B118" s="17" t="s">
        <v>193</v>
      </c>
      <c r="C118" s="17" t="n">
        <f aca="false">COUNTIF(Firmware!$C$5:$C$94,B118)</f>
        <v>4</v>
      </c>
      <c r="D118" s="19" t="n">
        <f aca="false">IF(COUNTA(Firmware!$A$5:$A$94)=0,0,C118/COUNTA(Firmware!$A$5:$A$94))</f>
        <v>0.0444444444444444</v>
      </c>
    </row>
    <row r="119" customFormat="false" ht="15" hidden="false" customHeight="false" outlineLevel="0" collapsed="false">
      <c r="A119" s="17" t="s">
        <v>69</v>
      </c>
      <c r="B119" s="17" t="s">
        <v>194</v>
      </c>
      <c r="C119" s="17" t="n">
        <f aca="false">COUNTIF(Firmware!$C$5:$C$94,B119)</f>
        <v>7</v>
      </c>
      <c r="D119" s="19" t="n">
        <f aca="false">IF(COUNTA(Firmware!$A$5:$A$94)=0,0,C119/COUNTA(Firmware!$A$5:$A$94))</f>
        <v>0.0777777777777778</v>
      </c>
    </row>
    <row r="120" customFormat="false" ht="15" hidden="false" customHeight="false" outlineLevel="0" collapsed="false">
      <c r="A120" s="17" t="s">
        <v>69</v>
      </c>
      <c r="B120" s="17" t="s">
        <v>195</v>
      </c>
      <c r="C120" s="17" t="n">
        <f aca="false">COUNTIF(Firmware!$C$5:$C$94,B120)</f>
        <v>12</v>
      </c>
      <c r="D120" s="19" t="n">
        <f aca="false">IF(COUNTA(Firmware!$A$5:$A$94)=0,0,C120/COUNTA(Firmware!$A$5:$A$94))</f>
        <v>0.133333333333333</v>
      </c>
    </row>
    <row r="121" customFormat="false" ht="15" hidden="false" customHeight="false" outlineLevel="0" collapsed="false">
      <c r="A121" s="17" t="s">
        <v>69</v>
      </c>
      <c r="B121" s="17" t="s">
        <v>196</v>
      </c>
      <c r="C121" s="17" t="n">
        <f aca="false">COUNTIF(Firmware!$C$5:$C$94,B121)</f>
        <v>5</v>
      </c>
      <c r="D121" s="19" t="n">
        <f aca="false">IF(COUNTA(Firmware!$A$5:$A$94)=0,0,C121/COUNTA(Firmware!$A$5:$A$94))</f>
        <v>0.0555555555555556</v>
      </c>
    </row>
    <row r="122" customFormat="false" ht="15" hidden="false" customHeight="false" outlineLevel="0" collapsed="false">
      <c r="A122" s="17" t="s">
        <v>69</v>
      </c>
      <c r="B122" s="17" t="s">
        <v>197</v>
      </c>
      <c r="C122" s="17" t="n">
        <f aca="false">COUNTIF(Firmware!$C$5:$C$94,B122)</f>
        <v>4</v>
      </c>
      <c r="D122" s="19" t="n">
        <f aca="false">IF(COUNTA(Firmware!$A$5:$A$94)=0,0,C122/COUNTA(Firmware!$A$5:$A$94))</f>
        <v>0.0444444444444444</v>
      </c>
    </row>
    <row r="123" customFormat="false" ht="15" hidden="false" customHeight="false" outlineLevel="0" collapsed="false">
      <c r="A123" s="17" t="s">
        <v>69</v>
      </c>
      <c r="B123" s="17" t="s">
        <v>198</v>
      </c>
      <c r="C123" s="17" t="n">
        <f aca="false">COUNTIF(Firmware!$C$5:$C$94,B123)</f>
        <v>2</v>
      </c>
      <c r="D123" s="19" t="n">
        <f aca="false">IF(COUNTA(Firmware!$A$5:$A$94)=0,0,C123/COUNTA(Firmware!$A$5:$A$94))</f>
        <v>0.0222222222222222</v>
      </c>
    </row>
    <row r="124" customFormat="false" ht="15" hidden="false" customHeight="false" outlineLevel="0" collapsed="false">
      <c r="A124" s="17" t="s">
        <v>69</v>
      </c>
      <c r="B124" s="17" t="s">
        <v>199</v>
      </c>
      <c r="C124" s="17" t="n">
        <f aca="false">COUNTIF(Firmware!$C$5:$C$94,B124)</f>
        <v>9</v>
      </c>
      <c r="D124" s="19" t="n">
        <f aca="false">IF(COUNTA(Firmware!$A$5:$A$94)=0,0,C124/COUNTA(Firmware!$A$5:$A$94))</f>
        <v>0.1</v>
      </c>
    </row>
    <row r="125" customFormat="false" ht="15" hidden="false" customHeight="false" outlineLevel="0" collapsed="false">
      <c r="A125" s="17" t="s">
        <v>69</v>
      </c>
      <c r="B125" s="17" t="s">
        <v>200</v>
      </c>
      <c r="C125" s="17" t="n">
        <f aca="false">COUNTIF(Firmware!$C$5:$C$94,B125)</f>
        <v>4</v>
      </c>
      <c r="D125" s="19" t="n">
        <f aca="false">IF(COUNTA(Firmware!$A$5:$A$94)=0,0,C125/COUNTA(Firmware!$A$5:$A$94))</f>
        <v>0.0444444444444444</v>
      </c>
    </row>
    <row r="126" customFormat="false" ht="15" hidden="false" customHeight="false" outlineLevel="0" collapsed="false">
      <c r="A126" s="17" t="s">
        <v>69</v>
      </c>
      <c r="B126" s="17" t="s">
        <v>201</v>
      </c>
      <c r="C126" s="17" t="n">
        <f aca="false">COUNTIF(Firmware!$C$5:$C$94,B126)</f>
        <v>1</v>
      </c>
      <c r="D126" s="19" t="n">
        <f aca="false">IF(COUNTA(Firmware!$A$5:$A$94)=0,0,C126/COUNTA(Firmware!$A$5:$A$94))</f>
        <v>0.0111111111111111</v>
      </c>
    </row>
    <row r="127" customFormat="false" ht="15" hidden="false" customHeight="false" outlineLevel="0" collapsed="false">
      <c r="A127" s="17" t="s">
        <v>69</v>
      </c>
      <c r="B127" s="17" t="s">
        <v>202</v>
      </c>
      <c r="C127" s="17" t="n">
        <f aca="false">COUNTIF(Firmware!$C$5:$C$94,B127)</f>
        <v>4</v>
      </c>
      <c r="D127" s="19" t="n">
        <f aca="false">IF(COUNTA(Firmware!$A$5:$A$94)=0,0,C127/COUNTA(Firmware!$A$5:$A$94))</f>
        <v>0.0444444444444444</v>
      </c>
    </row>
    <row r="128" customFormat="false" ht="15" hidden="false" customHeight="false" outlineLevel="0" collapsed="false">
      <c r="A128" s="17" t="s">
        <v>69</v>
      </c>
      <c r="B128" s="17" t="s">
        <v>203</v>
      </c>
      <c r="C128" s="17" t="n">
        <f aca="false">COUNTIF(Firmware!$C$5:$C$94,B128)</f>
        <v>8</v>
      </c>
      <c r="D128" s="19" t="n">
        <f aca="false">IF(COUNTA(Firmware!$A$5:$A$94)=0,0,C128/COUNTA(Firmware!$A$5:$A$94))</f>
        <v>0.0888888888888889</v>
      </c>
    </row>
    <row r="129" customFormat="false" ht="15" hidden="false" customHeight="false" outlineLevel="0" collapsed="false">
      <c r="A129" s="17" t="s">
        <v>69</v>
      </c>
      <c r="B129" s="17" t="s">
        <v>204</v>
      </c>
      <c r="C129" s="17" t="n">
        <f aca="false">COUNTIF(Firmware!$C$5:$C$94,B129)</f>
        <v>10</v>
      </c>
      <c r="D129" s="19" t="n">
        <f aca="false">IF(COUNTA(Firmware!$A$5:$A$94)=0,0,C129/COUNTA(Firmware!$A$5:$A$94))</f>
        <v>0.111111111111111</v>
      </c>
    </row>
    <row r="130" customFormat="false" ht="15" hidden="false" customHeight="false" outlineLevel="0" collapsed="false">
      <c r="A130" s="17" t="s">
        <v>69</v>
      </c>
      <c r="B130" s="17" t="s">
        <v>205</v>
      </c>
      <c r="C130" s="17" t="n">
        <f aca="false">COUNTIF(Firmware!$C$5:$C$94,B130)</f>
        <v>20</v>
      </c>
      <c r="D130" s="19" t="n">
        <f aca="false">IF(COUNTA(Firmware!$A$5:$A$94)=0,0,C130/COUNTA(Firmware!$A$5:$A$94))</f>
        <v>0.222222222222222</v>
      </c>
    </row>
    <row r="131" customFormat="false" ht="15" hidden="false" customHeight="false" outlineLevel="0" collapsed="false">
      <c r="A131" s="17" t="s">
        <v>71</v>
      </c>
      <c r="B131" s="17" t="s">
        <v>206</v>
      </c>
      <c r="C131" s="17" t="n">
        <f aca="false">COUNTIF('PCIe Control'!$C$5:$C$107,B131)</f>
        <v>10</v>
      </c>
      <c r="D131" s="19" t="n">
        <f aca="false">IF(COUNTA('PCIe Control'!$A$5:$A$107)=0,0,C131/COUNTA('PCIe Control'!$A$5:$A$107))</f>
        <v>0.0970873786407767</v>
      </c>
    </row>
    <row r="132" customFormat="false" ht="15" hidden="false" customHeight="false" outlineLevel="0" collapsed="false">
      <c r="A132" s="17" t="s">
        <v>71</v>
      </c>
      <c r="B132" s="17" t="s">
        <v>196</v>
      </c>
      <c r="C132" s="17" t="n">
        <f aca="false">COUNTIF('PCIe Control'!$C$5:$C$107,B132)</f>
        <v>3</v>
      </c>
      <c r="D132" s="19" t="n">
        <f aca="false">IF(COUNTA('PCIe Control'!$A$5:$A$107)=0,0,C132/COUNTA('PCIe Control'!$A$5:$A$107))</f>
        <v>0.029126213592233</v>
      </c>
    </row>
    <row r="133" customFormat="false" ht="15" hidden="false" customHeight="false" outlineLevel="0" collapsed="false">
      <c r="A133" s="17" t="s">
        <v>71</v>
      </c>
      <c r="B133" s="17" t="s">
        <v>207</v>
      </c>
      <c r="C133" s="17" t="n">
        <f aca="false">COUNTIF('PCIe Control'!$C$5:$C$107,B133)</f>
        <v>11</v>
      </c>
      <c r="D133" s="19" t="n">
        <f aca="false">IF(COUNTA('PCIe Control'!$A$5:$A$107)=0,0,C133/COUNTA('PCIe Control'!$A$5:$A$107))</f>
        <v>0.106796116504854</v>
      </c>
    </row>
    <row r="134" customFormat="false" ht="15" hidden="false" customHeight="false" outlineLevel="0" collapsed="false">
      <c r="A134" s="17" t="s">
        <v>71</v>
      </c>
      <c r="B134" s="17" t="s">
        <v>208</v>
      </c>
      <c r="C134" s="17" t="n">
        <f aca="false">COUNTIF('PCIe Control'!$C$5:$C$107,B134)</f>
        <v>12</v>
      </c>
      <c r="D134" s="19" t="n">
        <f aca="false">IF(COUNTA('PCIe Control'!$A$5:$A$107)=0,0,C134/COUNTA('PCIe Control'!$A$5:$A$107))</f>
        <v>0.116504854368932</v>
      </c>
    </row>
    <row r="135" customFormat="false" ht="15" hidden="false" customHeight="false" outlineLevel="0" collapsed="false">
      <c r="A135" s="17" t="s">
        <v>71</v>
      </c>
      <c r="B135" s="17" t="s">
        <v>209</v>
      </c>
      <c r="C135" s="17" t="n">
        <f aca="false">COUNTIF('PCIe Control'!$C$5:$C$107,B135)</f>
        <v>20</v>
      </c>
      <c r="D135" s="19" t="n">
        <f aca="false">IF(COUNTA('PCIe Control'!$A$5:$A$107)=0,0,C135/COUNTA('PCIe Control'!$A$5:$A$107))</f>
        <v>0.194174757281553</v>
      </c>
    </row>
    <row r="136" customFormat="false" ht="15" hidden="false" customHeight="false" outlineLevel="0" collapsed="false">
      <c r="A136" s="17" t="s">
        <v>71</v>
      </c>
      <c r="B136" s="17" t="s">
        <v>210</v>
      </c>
      <c r="C136" s="17" t="n">
        <f aca="false">COUNTIF('PCIe Control'!$C$5:$C$107,B136)</f>
        <v>5</v>
      </c>
      <c r="D136" s="19" t="n">
        <f aca="false">IF(COUNTA('PCIe Control'!$A$5:$A$107)=0,0,C136/COUNTA('PCIe Control'!$A$5:$A$107))</f>
        <v>0.0485436893203884</v>
      </c>
    </row>
    <row r="137" customFormat="false" ht="15" hidden="false" customHeight="false" outlineLevel="0" collapsed="false">
      <c r="A137" s="17" t="s">
        <v>71</v>
      </c>
      <c r="B137" s="17" t="s">
        <v>211</v>
      </c>
      <c r="C137" s="17" t="n">
        <f aca="false">COUNTIF('PCIe Control'!$C$5:$C$107,B137)</f>
        <v>20</v>
      </c>
      <c r="D137" s="19" t="n">
        <f aca="false">IF(COUNTA('PCIe Control'!$A$5:$A$107)=0,0,C137/COUNTA('PCIe Control'!$A$5:$A$107))</f>
        <v>0.194174757281553</v>
      </c>
    </row>
    <row r="138" customFormat="false" ht="15" hidden="false" customHeight="false" outlineLevel="0" collapsed="false">
      <c r="A138" s="17" t="s">
        <v>71</v>
      </c>
      <c r="B138" s="17" t="s">
        <v>212</v>
      </c>
      <c r="C138" s="17" t="n">
        <f aca="false">COUNTIF('PCIe Control'!$C$5:$C$107,B138)</f>
        <v>13</v>
      </c>
      <c r="D138" s="19" t="n">
        <f aca="false">IF(COUNTA('PCIe Control'!$A$5:$A$107)=0,0,C138/COUNTA('PCIe Control'!$A$5:$A$107))</f>
        <v>0.12621359223301</v>
      </c>
    </row>
    <row r="139" customFormat="false" ht="15" hidden="false" customHeight="false" outlineLevel="0" collapsed="false">
      <c r="A139" s="17" t="s">
        <v>71</v>
      </c>
      <c r="B139" s="17" t="s">
        <v>213</v>
      </c>
      <c r="C139" s="17" t="n">
        <f aca="false">COUNTIF('PCIe Control'!$C$5:$C$107,B139)</f>
        <v>9</v>
      </c>
      <c r="D139" s="19" t="n">
        <f aca="false">IF(COUNTA('PCIe Control'!$A$5:$A$107)=0,0,C139/COUNTA('PCIe Control'!$A$5:$A$107))</f>
        <v>0.087378640776699</v>
      </c>
    </row>
    <row r="140" customFormat="false" ht="15" hidden="false" customHeight="false" outlineLevel="0" collapsed="false">
      <c r="A140" s="17" t="s">
        <v>73</v>
      </c>
      <c r="B140" s="17" t="s">
        <v>214</v>
      </c>
      <c r="C140" s="17" t="n">
        <f aca="false">COUNTIF('Xilinx BSP'!$C$5:$C$63,B140)</f>
        <v>4</v>
      </c>
      <c r="D140" s="19" t="n">
        <f aca="false">IF(COUNTA('Xilinx BSP'!$A$5:$A$63)=0,0,C140/COUNTA('Xilinx BSP'!$A$5:$A$63))</f>
        <v>0.0677966101694915</v>
      </c>
    </row>
    <row r="141" customFormat="false" ht="15" hidden="false" customHeight="false" outlineLevel="0" collapsed="false">
      <c r="A141" s="17" t="s">
        <v>73</v>
      </c>
      <c r="B141" s="17" t="s">
        <v>193</v>
      </c>
      <c r="C141" s="17" t="n">
        <f aca="false">COUNTIF('Xilinx BSP'!$C$5:$C$63,B141)</f>
        <v>7</v>
      </c>
      <c r="D141" s="19" t="n">
        <f aca="false">IF(COUNTA('Xilinx BSP'!$A$5:$A$63)=0,0,C141/COUNTA('Xilinx BSP'!$A$5:$A$63))</f>
        <v>0.11864406779661</v>
      </c>
    </row>
    <row r="142" customFormat="false" ht="15" hidden="false" customHeight="false" outlineLevel="0" collapsed="false">
      <c r="A142" s="17" t="s">
        <v>73</v>
      </c>
      <c r="B142" s="17" t="s">
        <v>194</v>
      </c>
      <c r="C142" s="17" t="n">
        <f aca="false">COUNTIF('Xilinx BSP'!$C$5:$C$63,B142)</f>
        <v>7</v>
      </c>
      <c r="D142" s="19" t="n">
        <f aca="false">IF(COUNTA('Xilinx BSP'!$A$5:$A$63)=0,0,C142/COUNTA('Xilinx BSP'!$A$5:$A$63))</f>
        <v>0.11864406779661</v>
      </c>
    </row>
    <row r="143" customFormat="false" ht="15" hidden="false" customHeight="false" outlineLevel="0" collapsed="false">
      <c r="A143" s="17" t="s">
        <v>73</v>
      </c>
      <c r="B143" s="17" t="s">
        <v>195</v>
      </c>
      <c r="C143" s="17" t="n">
        <f aca="false">COUNTIF('Xilinx BSP'!$C$5:$C$63,B143)</f>
        <v>2</v>
      </c>
      <c r="D143" s="19" t="n">
        <f aca="false">IF(COUNTA('Xilinx BSP'!$A$5:$A$63)=0,0,C143/COUNTA('Xilinx BSP'!$A$5:$A$63))</f>
        <v>0.0338983050847458</v>
      </c>
    </row>
    <row r="144" customFormat="false" ht="15" hidden="false" customHeight="false" outlineLevel="0" collapsed="false">
      <c r="A144" s="17" t="s">
        <v>73</v>
      </c>
      <c r="B144" s="17" t="s">
        <v>198</v>
      </c>
      <c r="C144" s="17" t="n">
        <f aca="false">COUNTIF('Xilinx BSP'!$C$5:$C$63,B144)</f>
        <v>5</v>
      </c>
      <c r="D144" s="19" t="n">
        <f aca="false">IF(COUNTA('Xilinx BSP'!$A$5:$A$63)=0,0,C144/COUNTA('Xilinx BSP'!$A$5:$A$63))</f>
        <v>0.0847457627118644</v>
      </c>
    </row>
    <row r="145" customFormat="false" ht="15" hidden="false" customHeight="false" outlineLevel="0" collapsed="false">
      <c r="A145" s="17" t="s">
        <v>73</v>
      </c>
      <c r="B145" s="17" t="s">
        <v>200</v>
      </c>
      <c r="C145" s="17" t="n">
        <f aca="false">COUNTIF('Xilinx BSP'!$C$5:$C$63,B145)</f>
        <v>3</v>
      </c>
      <c r="D145" s="19" t="n">
        <f aca="false">IF(COUNTA('Xilinx BSP'!$A$5:$A$63)=0,0,C145/COUNTA('Xilinx BSP'!$A$5:$A$63))</f>
        <v>0.0508474576271187</v>
      </c>
    </row>
    <row r="146" customFormat="false" ht="15" hidden="false" customHeight="false" outlineLevel="0" collapsed="false">
      <c r="A146" s="17" t="s">
        <v>73</v>
      </c>
      <c r="B146" s="17" t="s">
        <v>201</v>
      </c>
      <c r="C146" s="17" t="n">
        <f aca="false">COUNTIF('Xilinx BSP'!$C$5:$C$63,B146)</f>
        <v>3</v>
      </c>
      <c r="D146" s="19" t="n">
        <f aca="false">IF(COUNTA('Xilinx BSP'!$A$5:$A$63)=0,0,C146/COUNTA('Xilinx BSP'!$A$5:$A$63))</f>
        <v>0.0508474576271187</v>
      </c>
    </row>
    <row r="147" customFormat="false" ht="15" hidden="false" customHeight="false" outlineLevel="0" collapsed="false">
      <c r="A147" s="17" t="s">
        <v>73</v>
      </c>
      <c r="B147" s="17" t="s">
        <v>202</v>
      </c>
      <c r="C147" s="17" t="n">
        <f aca="false">COUNTIF('Xilinx BSP'!$C$5:$C$63,B147)</f>
        <v>2</v>
      </c>
      <c r="D147" s="19" t="n">
        <f aca="false">IF(COUNTA('Xilinx BSP'!$A$5:$A$63)=0,0,C147/COUNTA('Xilinx BSP'!$A$5:$A$63))</f>
        <v>0.0338983050847458</v>
      </c>
    </row>
    <row r="148" customFormat="false" ht="15" hidden="false" customHeight="false" outlineLevel="0" collapsed="false">
      <c r="A148" s="17" t="s">
        <v>73</v>
      </c>
      <c r="B148" s="17" t="s">
        <v>204</v>
      </c>
      <c r="C148" s="17" t="n">
        <f aca="false">COUNTIF('Xilinx BSP'!$C$5:$C$63,B148)</f>
        <v>22</v>
      </c>
      <c r="D148" s="19" t="n">
        <f aca="false">IF(COUNTA('Xilinx BSP'!$A$5:$A$63)=0,0,C148/COUNTA('Xilinx BSP'!$A$5:$A$63))</f>
        <v>0.372881355932203</v>
      </c>
    </row>
    <row r="149" customFormat="false" ht="15" hidden="false" customHeight="false" outlineLevel="0" collapsed="false">
      <c r="A149" s="17" t="s">
        <v>73</v>
      </c>
      <c r="B149" s="17" t="s">
        <v>215</v>
      </c>
      <c r="C149" s="17" t="n">
        <f aca="false">COUNTIF('Xilinx BSP'!$C$5:$C$63,B149)</f>
        <v>2</v>
      </c>
      <c r="D149" s="19" t="n">
        <f aca="false">IF(COUNTA('Xilinx BSP'!$A$5:$A$63)=0,0,C149/COUNTA('Xilinx BSP'!$A$5:$A$63))</f>
        <v>0.0338983050847458</v>
      </c>
    </row>
    <row r="150" customFormat="false" ht="15" hidden="false" customHeight="false" outlineLevel="0" collapsed="false">
      <c r="A150" s="17" t="s">
        <v>73</v>
      </c>
      <c r="B150" s="17" t="s">
        <v>216</v>
      </c>
      <c r="C150" s="17" t="n">
        <f aca="false">COUNTIF('Xilinx BSP'!$C$5:$C$63,B150)</f>
        <v>2</v>
      </c>
      <c r="D150" s="19" t="n">
        <f aca="false">IF(COUNTA('Xilinx BSP'!$A$5:$A$63)=0,0,C150/COUNTA('Xilinx BSP'!$A$5:$A$63))</f>
        <v>0.0338983050847458</v>
      </c>
    </row>
    <row r="151" customFormat="false" ht="15" hidden="false" customHeight="false" outlineLevel="0" collapsed="false">
      <c r="A151" s="17" t="s">
        <v>75</v>
      </c>
      <c r="B151" s="17" t="s">
        <v>154</v>
      </c>
      <c r="C151" s="17" t="n">
        <f aca="false">COUNTIF('Host CLI Client'!$C$5:$C$68,B151)</f>
        <v>33</v>
      </c>
      <c r="D151" s="19" t="n">
        <f aca="false">IF(COUNTA('Host CLI Client'!$A$5:$A$68)=0,0,C151/COUNTA('Host CLI Client'!$A$5:$A$68))</f>
        <v>0.515625</v>
      </c>
    </row>
    <row r="152" customFormat="false" ht="15" hidden="false" customHeight="false" outlineLevel="0" collapsed="false">
      <c r="A152" s="17" t="s">
        <v>75</v>
      </c>
      <c r="B152" s="17" t="s">
        <v>217</v>
      </c>
      <c r="C152" s="17" t="n">
        <f aca="false">COUNTIF('Host CLI Client'!$C$5:$C$68,B152)</f>
        <v>6</v>
      </c>
      <c r="D152" s="19" t="n">
        <f aca="false">IF(COUNTA('Host CLI Client'!$A$5:$A$68)=0,0,C152/COUNTA('Host CLI Client'!$A$5:$A$68))</f>
        <v>0.09375</v>
      </c>
    </row>
    <row r="153" customFormat="false" ht="15" hidden="false" customHeight="false" outlineLevel="0" collapsed="false">
      <c r="A153" s="17" t="s">
        <v>75</v>
      </c>
      <c r="B153" s="17" t="s">
        <v>218</v>
      </c>
      <c r="C153" s="17" t="n">
        <f aca="false">COUNTIF('Host CLI Client'!$C$5:$C$68,B153)</f>
        <v>25</v>
      </c>
      <c r="D153" s="19" t="n">
        <f aca="false">IF(COUNTA('Host CLI Client'!$A$5:$A$68)=0,0,C153/COUNTA('Host CLI Client'!$A$5:$A$68))</f>
        <v>0.390625</v>
      </c>
    </row>
    <row r="155" customFormat="false" ht="19.5" hidden="false" customHeight="true" outlineLevel="0" collapsed="false">
      <c r="A155" s="21" t="s">
        <v>219</v>
      </c>
      <c r="B155" s="21"/>
      <c r="C155" s="21"/>
      <c r="D155" s="21"/>
      <c r="E155" s="21"/>
      <c r="F155" s="21"/>
    </row>
    <row r="156" customFormat="false" ht="30" hidden="false" customHeight="true" outlineLevel="0" collapsed="false">
      <c r="A156" s="14" t="s">
        <v>220</v>
      </c>
      <c r="B156" s="14" t="s">
        <v>86</v>
      </c>
      <c r="C156" s="14"/>
      <c r="D156" s="14"/>
      <c r="E156" s="14"/>
      <c r="F156" s="14"/>
    </row>
    <row r="157" customFormat="false" ht="15" hidden="false" customHeight="false" outlineLevel="0" collapsed="false">
      <c r="A157" s="17" t="s">
        <v>221</v>
      </c>
      <c r="B157" s="17" t="n">
        <f aca="false">COUNTIF('Math DSP'!$E$5:$E$242,A157)+COUNTIF('GUI Qt'!$E$5:$E$201,A157)+COUNTIF('App Core'!$E$5:$E$307,A157)+COUNTIF('Platform Libs'!$E$5:$E$47,A157)+COUNTIF('QDMA Driver'!$E$5:$E$318,A157)+COUNTIF('QDMA Registers'!$E$5:$E$137,A157)+COUNTIF('QDMA Helpers'!$E$5:$E$105,A157)+COUNTIF('QDMA Host'!$E$5:$E$96,A157)+COUNTIF(Firmware!$E$5:$E$94,A157)+COUNTIF('PCIe Control'!$E$5:$E$107,A157)+COUNTIF('Xilinx BSP'!$E$5:$E$63,A157)+COUNTIF('Host CLI Client'!$E$5:$E$68,A157)</f>
        <v>359</v>
      </c>
    </row>
    <row r="158" customFormat="false" ht="15" hidden="false" customHeight="false" outlineLevel="0" collapsed="false">
      <c r="A158" s="17" t="s">
        <v>222</v>
      </c>
      <c r="B158" s="17" t="n">
        <f aca="false">COUNTIF('Math DSP'!$E$5:$E$242,A158)+COUNTIF('GUI Qt'!$E$5:$E$201,A158)+COUNTIF('App Core'!$E$5:$E$307,A158)+COUNTIF('Platform Libs'!$E$5:$E$47,A158)+COUNTIF('QDMA Driver'!$E$5:$E$318,A158)+COUNTIF('QDMA Registers'!$E$5:$E$137,A158)+COUNTIF('QDMA Helpers'!$E$5:$E$105,A158)+COUNTIF('QDMA Host'!$E$5:$E$96,A158)+COUNTIF(Firmware!$E$5:$E$94,A158)+COUNTIF('PCIe Control'!$E$5:$E$107,A158)+COUNTIF('Xilinx BSP'!$E$5:$E$63,A158)+COUNTIF('Host CLI Client'!$E$5:$E$68,A158)</f>
        <v>182</v>
      </c>
    </row>
    <row r="159" customFormat="false" ht="15" hidden="false" customHeight="false" outlineLevel="0" collapsed="false">
      <c r="A159" s="17" t="s">
        <v>223</v>
      </c>
      <c r="B159" s="17" t="n">
        <f aca="false">COUNTIF('Math DSP'!$E$5:$E$242,A159)+COUNTIF('GUI Qt'!$E$5:$E$201,A159)+COUNTIF('App Core'!$E$5:$E$307,A159)+COUNTIF('Platform Libs'!$E$5:$E$47,A159)+COUNTIF('QDMA Driver'!$E$5:$E$318,A159)+COUNTIF('QDMA Registers'!$E$5:$E$137,A159)+COUNTIF('QDMA Helpers'!$E$5:$E$105,A159)+COUNTIF('QDMA Host'!$E$5:$E$96,A159)+COUNTIF(Firmware!$E$5:$E$94,A159)+COUNTIF('PCIe Control'!$E$5:$E$107,A159)+COUNTIF('Xilinx BSP'!$E$5:$E$63,A159)+COUNTIF('Host CLI Client'!$E$5:$E$68,A159)</f>
        <v>181</v>
      </c>
    </row>
    <row r="160" customFormat="false" ht="15" hidden="false" customHeight="false" outlineLevel="0" collapsed="false">
      <c r="A160" s="17" t="s">
        <v>224</v>
      </c>
      <c r="B160" s="17" t="n">
        <f aca="false">COUNTIF('Math DSP'!$E$5:$E$242,A160)+COUNTIF('GUI Qt'!$E$5:$E$201,A160)+COUNTIF('App Core'!$E$5:$E$307,A160)+COUNTIF('Platform Libs'!$E$5:$E$47,A160)+COUNTIF('QDMA Driver'!$E$5:$E$318,A160)+COUNTIF('QDMA Registers'!$E$5:$E$137,A160)+COUNTIF('QDMA Helpers'!$E$5:$E$105,A160)+COUNTIF('QDMA Host'!$E$5:$E$96,A160)+COUNTIF(Firmware!$E$5:$E$94,A160)+COUNTIF('PCIe Control'!$E$5:$E$107,A160)+COUNTIF('Xilinx BSP'!$E$5:$E$63,A160)+COUNTIF('Host CLI Client'!$E$5:$E$68,A160)</f>
        <v>124</v>
      </c>
    </row>
    <row r="161" customFormat="false" ht="15" hidden="false" customHeight="false" outlineLevel="0" collapsed="false">
      <c r="A161" s="17" t="s">
        <v>225</v>
      </c>
      <c r="B161" s="17" t="n">
        <f aca="false">COUNTIF('Math DSP'!$E$5:$E$242,A161)+COUNTIF('GUI Qt'!$E$5:$E$201,A161)+COUNTIF('App Core'!$E$5:$E$307,A161)+COUNTIF('Platform Libs'!$E$5:$E$47,A161)+COUNTIF('QDMA Driver'!$E$5:$E$318,A161)+COUNTIF('QDMA Registers'!$E$5:$E$137,A161)+COUNTIF('QDMA Helpers'!$E$5:$E$105,A161)+COUNTIF('QDMA Host'!$E$5:$E$96,A161)+COUNTIF(Firmware!$E$5:$E$94,A161)+COUNTIF('PCIe Control'!$E$5:$E$107,A161)+COUNTIF('Xilinx BSP'!$E$5:$E$63,A161)+COUNTIF('Host CLI Client'!$E$5:$E$68,A161)</f>
        <v>113</v>
      </c>
    </row>
    <row r="162" customFormat="false" ht="15" hidden="false" customHeight="false" outlineLevel="0" collapsed="false">
      <c r="A162" s="17" t="s">
        <v>226</v>
      </c>
      <c r="B162" s="17" t="n">
        <f aca="false">COUNTIF('Math DSP'!$E$5:$E$242,A162)+COUNTIF('GUI Qt'!$E$5:$E$201,A162)+COUNTIF('App Core'!$E$5:$E$307,A162)+COUNTIF('Platform Libs'!$E$5:$E$47,A162)+COUNTIF('QDMA Driver'!$E$5:$E$318,A162)+COUNTIF('QDMA Registers'!$E$5:$E$137,A162)+COUNTIF('QDMA Helpers'!$E$5:$E$105,A162)+COUNTIF('QDMA Host'!$E$5:$E$96,A162)+COUNTIF(Firmware!$E$5:$E$94,A162)+COUNTIF('PCIe Control'!$E$5:$E$107,A162)+COUNTIF('Xilinx BSP'!$E$5:$E$63,A162)+COUNTIF('Host CLI Client'!$E$5:$E$68,A162)</f>
        <v>88</v>
      </c>
    </row>
    <row r="163" customFormat="false" ht="15" hidden="false" customHeight="false" outlineLevel="0" collapsed="false">
      <c r="A163" s="17" t="s">
        <v>227</v>
      </c>
      <c r="B163" s="17" t="n">
        <f aca="false">COUNTIF('Math DSP'!$E$5:$E$242,A163)+COUNTIF('GUI Qt'!$E$5:$E$201,A163)+COUNTIF('App Core'!$E$5:$E$307,A163)+COUNTIF('Platform Libs'!$E$5:$E$47,A163)+COUNTIF('QDMA Driver'!$E$5:$E$318,A163)+COUNTIF('QDMA Registers'!$E$5:$E$137,A163)+COUNTIF('QDMA Helpers'!$E$5:$E$105,A163)+COUNTIF('QDMA Host'!$E$5:$E$96,A163)+COUNTIF(Firmware!$E$5:$E$94,A163)+COUNTIF('PCIe Control'!$E$5:$E$107,A163)+COUNTIF('Xilinx BSP'!$E$5:$E$63,A163)+COUNTIF('Host CLI Client'!$E$5:$E$68,A163)</f>
        <v>70</v>
      </c>
    </row>
    <row r="164" customFormat="false" ht="15" hidden="false" customHeight="false" outlineLevel="0" collapsed="false">
      <c r="A164" s="17" t="s">
        <v>228</v>
      </c>
      <c r="B164" s="17" t="n">
        <f aca="false">COUNTIF('Math DSP'!$E$5:$E$242,A164)+COUNTIF('GUI Qt'!$E$5:$E$201,A164)+COUNTIF('App Core'!$E$5:$E$307,A164)+COUNTIF('Platform Libs'!$E$5:$E$47,A164)+COUNTIF('QDMA Driver'!$E$5:$E$318,A164)+COUNTIF('QDMA Registers'!$E$5:$E$137,A164)+COUNTIF('QDMA Helpers'!$E$5:$E$105,A164)+COUNTIF('QDMA Host'!$E$5:$E$96,A164)+COUNTIF(Firmware!$E$5:$E$94,A164)+COUNTIF('PCIe Control'!$E$5:$E$107,A164)+COUNTIF('Xilinx BSP'!$E$5:$E$63,A164)+COUNTIF('Host CLI Client'!$E$5:$E$68,A164)</f>
        <v>70</v>
      </c>
    </row>
    <row r="165" customFormat="false" ht="15" hidden="false" customHeight="false" outlineLevel="0" collapsed="false">
      <c r="A165" s="17" t="s">
        <v>229</v>
      </c>
      <c r="B165" s="17" t="n">
        <f aca="false">COUNTIF('Math DSP'!$E$5:$E$242,A165)+COUNTIF('GUI Qt'!$E$5:$E$201,A165)+COUNTIF('App Core'!$E$5:$E$307,A165)+COUNTIF('Platform Libs'!$E$5:$E$47,A165)+COUNTIF('QDMA Driver'!$E$5:$E$318,A165)+COUNTIF('QDMA Registers'!$E$5:$E$137,A165)+COUNTIF('QDMA Helpers'!$E$5:$E$105,A165)+COUNTIF('QDMA Host'!$E$5:$E$96,A165)+COUNTIF(Firmware!$E$5:$E$94,A165)+COUNTIF('PCIe Control'!$E$5:$E$107,A165)+COUNTIF('Xilinx BSP'!$E$5:$E$63,A165)+COUNTIF('Host CLI Client'!$E$5:$E$68,A165)</f>
        <v>67</v>
      </c>
    </row>
    <row r="166" customFormat="false" ht="15" hidden="false" customHeight="false" outlineLevel="0" collapsed="false">
      <c r="A166" s="17" t="s">
        <v>230</v>
      </c>
      <c r="B166" s="17" t="n">
        <f aca="false">COUNTIF('Math DSP'!$E$5:$E$242,A166)+COUNTIF('GUI Qt'!$E$5:$E$201,A166)+COUNTIF('App Core'!$E$5:$E$307,A166)+COUNTIF('Platform Libs'!$E$5:$E$47,A166)+COUNTIF('QDMA Driver'!$E$5:$E$318,A166)+COUNTIF('QDMA Registers'!$E$5:$E$137,A166)+COUNTIF('QDMA Helpers'!$E$5:$E$105,A166)+COUNTIF('QDMA Host'!$E$5:$E$96,A166)+COUNTIF(Firmware!$E$5:$E$94,A166)+COUNTIF('PCIe Control'!$E$5:$E$107,A166)+COUNTIF('Xilinx BSP'!$E$5:$E$63,A166)+COUNTIF('Host CLI Client'!$E$5:$E$68,A166)</f>
        <v>59</v>
      </c>
    </row>
    <row r="167" customFormat="false" ht="15" hidden="false" customHeight="false" outlineLevel="0" collapsed="false">
      <c r="A167" s="17" t="s">
        <v>231</v>
      </c>
      <c r="B167" s="17" t="n">
        <f aca="false">COUNTIF('Math DSP'!$E$5:$E$242,A167)+COUNTIF('GUI Qt'!$E$5:$E$201,A167)+COUNTIF('App Core'!$E$5:$E$307,A167)+COUNTIF('Platform Libs'!$E$5:$E$47,A167)+COUNTIF('QDMA Driver'!$E$5:$E$318,A167)+COUNTIF('QDMA Registers'!$E$5:$E$137,A167)+COUNTIF('QDMA Helpers'!$E$5:$E$105,A167)+COUNTIF('QDMA Host'!$E$5:$E$96,A167)+COUNTIF(Firmware!$E$5:$E$94,A167)+COUNTIF('PCIe Control'!$E$5:$E$107,A167)+COUNTIF('Xilinx BSP'!$E$5:$E$63,A167)+COUNTIF('Host CLI Client'!$E$5:$E$68,A167)</f>
        <v>52</v>
      </c>
    </row>
    <row r="168" customFormat="false" ht="15" hidden="false" customHeight="false" outlineLevel="0" collapsed="false">
      <c r="A168" s="17" t="s">
        <v>232</v>
      </c>
      <c r="B168" s="17" t="n">
        <f aca="false">COUNTIF('Math DSP'!$E$5:$E$242,A168)+COUNTIF('GUI Qt'!$E$5:$E$201,A168)+COUNTIF('App Core'!$E$5:$E$307,A168)+COUNTIF('Platform Libs'!$E$5:$E$47,A168)+COUNTIF('QDMA Driver'!$E$5:$E$318,A168)+COUNTIF('QDMA Registers'!$E$5:$E$137,A168)+COUNTIF('QDMA Helpers'!$E$5:$E$105,A168)+COUNTIF('QDMA Host'!$E$5:$E$96,A168)+COUNTIF(Firmware!$E$5:$E$94,A168)+COUNTIF('PCIe Control'!$E$5:$E$107,A168)+COUNTIF('Xilinx BSP'!$E$5:$E$63,A168)+COUNTIF('Host CLI Client'!$E$5:$E$68,A168)</f>
        <v>43</v>
      </c>
    </row>
    <row r="169" customFormat="false" ht="15" hidden="false" customHeight="false" outlineLevel="0" collapsed="false">
      <c r="A169" s="17" t="s">
        <v>233</v>
      </c>
      <c r="B169" s="17" t="n">
        <f aca="false">COUNTIF('Math DSP'!$E$5:$E$242,A169)+COUNTIF('GUI Qt'!$E$5:$E$201,A169)+COUNTIF('App Core'!$E$5:$E$307,A169)+COUNTIF('Platform Libs'!$E$5:$E$47,A169)+COUNTIF('QDMA Driver'!$E$5:$E$318,A169)+COUNTIF('QDMA Registers'!$E$5:$E$137,A169)+COUNTIF('QDMA Helpers'!$E$5:$E$105,A169)+COUNTIF('QDMA Host'!$E$5:$E$96,A169)+COUNTIF(Firmware!$E$5:$E$94,A169)+COUNTIF('PCIe Control'!$E$5:$E$107,A169)+COUNTIF('Xilinx BSP'!$E$5:$E$63,A169)+COUNTIF('Host CLI Client'!$E$5:$E$68,A169)</f>
        <v>42</v>
      </c>
    </row>
    <row r="170" customFormat="false" ht="15" hidden="false" customHeight="false" outlineLevel="0" collapsed="false">
      <c r="A170" s="17" t="s">
        <v>234</v>
      </c>
      <c r="B170" s="17" t="n">
        <f aca="false">COUNTIF('Math DSP'!$E$5:$E$242,A170)+COUNTIF('GUI Qt'!$E$5:$E$201,A170)+COUNTIF('App Core'!$E$5:$E$307,A170)+COUNTIF('Platform Libs'!$E$5:$E$47,A170)+COUNTIF('QDMA Driver'!$E$5:$E$318,A170)+COUNTIF('QDMA Registers'!$E$5:$E$137,A170)+COUNTIF('QDMA Helpers'!$E$5:$E$105,A170)+COUNTIF('QDMA Host'!$E$5:$E$96,A170)+COUNTIF(Firmware!$E$5:$E$94,A170)+COUNTIF('PCIe Control'!$E$5:$E$107,A170)+COUNTIF('Xilinx BSP'!$E$5:$E$63,A170)+COUNTIF('Host CLI Client'!$E$5:$E$68,A170)</f>
        <v>41</v>
      </c>
    </row>
    <row r="171" customFormat="false" ht="15" hidden="false" customHeight="false" outlineLevel="0" collapsed="false">
      <c r="A171" s="17" t="s">
        <v>235</v>
      </c>
      <c r="B171" s="17" t="n">
        <f aca="false">COUNTIF('Math DSP'!$E$5:$E$242,A171)+COUNTIF('GUI Qt'!$E$5:$E$201,A171)+COUNTIF('App Core'!$E$5:$E$307,A171)+COUNTIF('Platform Libs'!$E$5:$E$47,A171)+COUNTIF('QDMA Driver'!$E$5:$E$318,A171)+COUNTIF('QDMA Registers'!$E$5:$E$137,A171)+COUNTIF('QDMA Helpers'!$E$5:$E$105,A171)+COUNTIF('QDMA Host'!$E$5:$E$96,A171)+COUNTIF(Firmware!$E$5:$E$94,A171)+COUNTIF('PCIe Control'!$E$5:$E$107,A171)+COUNTIF('Xilinx BSP'!$E$5:$E$63,A171)+COUNTIF('Host CLI Client'!$E$5:$E$68,A171)</f>
        <v>39</v>
      </c>
    </row>
    <row r="172" customFormat="false" ht="15" hidden="false" customHeight="false" outlineLevel="0" collapsed="false">
      <c r="A172" s="17" t="s">
        <v>236</v>
      </c>
      <c r="B172" s="17" t="n">
        <f aca="false">COUNTIF('Math DSP'!$E$5:$E$242,A172)+COUNTIF('GUI Qt'!$E$5:$E$201,A172)+COUNTIF('App Core'!$E$5:$E$307,A172)+COUNTIF('Platform Libs'!$E$5:$E$47,A172)+COUNTIF('QDMA Driver'!$E$5:$E$318,A172)+COUNTIF('QDMA Registers'!$E$5:$E$137,A172)+COUNTIF('QDMA Helpers'!$E$5:$E$105,A172)+COUNTIF('QDMA Host'!$E$5:$E$96,A172)+COUNTIF(Firmware!$E$5:$E$94,A172)+COUNTIF('PCIe Control'!$E$5:$E$107,A172)+COUNTIF('Xilinx BSP'!$E$5:$E$63,A172)+COUNTIF('Host CLI Client'!$E$5:$E$68,A172)</f>
        <v>33</v>
      </c>
    </row>
    <row r="173" customFormat="false" ht="15" hidden="false" customHeight="false" outlineLevel="0" collapsed="false">
      <c r="A173" s="17" t="s">
        <v>237</v>
      </c>
      <c r="B173" s="17" t="n">
        <f aca="false">COUNTIF('Math DSP'!$E$5:$E$242,A173)+COUNTIF('GUI Qt'!$E$5:$E$201,A173)+COUNTIF('App Core'!$E$5:$E$307,A173)+COUNTIF('Platform Libs'!$E$5:$E$47,A173)+COUNTIF('QDMA Driver'!$E$5:$E$318,A173)+COUNTIF('QDMA Registers'!$E$5:$E$137,A173)+COUNTIF('QDMA Helpers'!$E$5:$E$105,A173)+COUNTIF('QDMA Host'!$E$5:$E$96,A173)+COUNTIF(Firmware!$E$5:$E$94,A173)+COUNTIF('PCIe Control'!$E$5:$E$107,A173)+COUNTIF('Xilinx BSP'!$E$5:$E$63,A173)+COUNTIF('Host CLI Client'!$E$5:$E$68,A173)</f>
        <v>23</v>
      </c>
    </row>
    <row r="174" customFormat="false" ht="15" hidden="false" customHeight="false" outlineLevel="0" collapsed="false">
      <c r="A174" s="17" t="s">
        <v>238</v>
      </c>
      <c r="B174" s="17" t="n">
        <f aca="false">COUNTIF('Math DSP'!$E$5:$E$242,A174)+COUNTIF('GUI Qt'!$E$5:$E$201,A174)+COUNTIF('App Core'!$E$5:$E$307,A174)+COUNTIF('Platform Libs'!$E$5:$E$47,A174)+COUNTIF('QDMA Driver'!$E$5:$E$318,A174)+COUNTIF('QDMA Registers'!$E$5:$E$137,A174)+COUNTIF('QDMA Helpers'!$E$5:$E$105,A174)+COUNTIF('QDMA Host'!$E$5:$E$96,A174)+COUNTIF(Firmware!$E$5:$E$94,A174)+COUNTIF('PCIe Control'!$E$5:$E$107,A174)+COUNTIF('Xilinx BSP'!$E$5:$E$63,A174)+COUNTIF('Host CLI Client'!$E$5:$E$68,A174)</f>
        <v>20</v>
      </c>
    </row>
    <row r="175" customFormat="false" ht="15" hidden="false" customHeight="false" outlineLevel="0" collapsed="false">
      <c r="A175" s="17" t="s">
        <v>239</v>
      </c>
      <c r="B175" s="17" t="n">
        <f aca="false">COUNTIF('Math DSP'!$E$5:$E$242,A175)+COUNTIF('GUI Qt'!$E$5:$E$201,A175)+COUNTIF('App Core'!$E$5:$E$307,A175)+COUNTIF('Platform Libs'!$E$5:$E$47,A175)+COUNTIF('QDMA Driver'!$E$5:$E$318,A175)+COUNTIF('QDMA Registers'!$E$5:$E$137,A175)+COUNTIF('QDMA Helpers'!$E$5:$E$105,A175)+COUNTIF('QDMA Host'!$E$5:$E$96,A175)+COUNTIF(Firmware!$E$5:$E$94,A175)+COUNTIF('PCIe Control'!$E$5:$E$107,A175)+COUNTIF('Xilinx BSP'!$E$5:$E$63,A175)+COUNTIF('Host CLI Client'!$E$5:$E$68,A175)</f>
        <v>20</v>
      </c>
    </row>
    <row r="176" customFormat="false" ht="15" hidden="false" customHeight="false" outlineLevel="0" collapsed="false">
      <c r="A176" s="17" t="s">
        <v>240</v>
      </c>
      <c r="B176" s="17" t="n">
        <f aca="false">COUNTIF('Math DSP'!$E$5:$E$242,A176)+COUNTIF('GUI Qt'!$E$5:$E$201,A176)+COUNTIF('App Core'!$E$5:$E$307,A176)+COUNTIF('Platform Libs'!$E$5:$E$47,A176)+COUNTIF('QDMA Driver'!$E$5:$E$318,A176)+COUNTIF('QDMA Registers'!$E$5:$E$137,A176)+COUNTIF('QDMA Helpers'!$E$5:$E$105,A176)+COUNTIF('QDMA Host'!$E$5:$E$96,A176)+COUNTIF(Firmware!$E$5:$E$94,A176)+COUNTIF('PCIe Control'!$E$5:$E$107,A176)+COUNTIF('Xilinx BSP'!$E$5:$E$63,A176)+COUNTIF('Host CLI Client'!$E$5:$E$68,A176)</f>
        <v>19</v>
      </c>
    </row>
    <row r="177" customFormat="false" ht="15" hidden="false" customHeight="false" outlineLevel="0" collapsed="false">
      <c r="A177" s="17" t="s">
        <v>241</v>
      </c>
      <c r="B177" s="17" t="n">
        <f aca="false">COUNTIF('Math DSP'!$E$5:$E$242,A177)+COUNTIF('GUI Qt'!$E$5:$E$201,A177)+COUNTIF('App Core'!$E$5:$E$307,A177)+COUNTIF('Platform Libs'!$E$5:$E$47,A177)+COUNTIF('QDMA Driver'!$E$5:$E$318,A177)+COUNTIF('QDMA Registers'!$E$5:$E$137,A177)+COUNTIF('QDMA Helpers'!$E$5:$E$105,A177)+COUNTIF('QDMA Host'!$E$5:$E$96,A177)+COUNTIF(Firmware!$E$5:$E$94,A177)+COUNTIF('PCIe Control'!$E$5:$E$107,A177)+COUNTIF('Xilinx BSP'!$E$5:$E$63,A177)+COUNTIF('Host CLI Client'!$E$5:$E$68,A177)</f>
        <v>18</v>
      </c>
    </row>
    <row r="178" customFormat="false" ht="15" hidden="false" customHeight="false" outlineLevel="0" collapsed="false">
      <c r="A178" s="17" t="s">
        <v>242</v>
      </c>
      <c r="B178" s="17" t="n">
        <f aca="false">COUNTIF('Math DSP'!$E$5:$E$242,A178)+COUNTIF('GUI Qt'!$E$5:$E$201,A178)+COUNTIF('App Core'!$E$5:$E$307,A178)+COUNTIF('Platform Libs'!$E$5:$E$47,A178)+COUNTIF('QDMA Driver'!$E$5:$E$318,A178)+COUNTIF('QDMA Registers'!$E$5:$E$137,A178)+COUNTIF('QDMA Helpers'!$E$5:$E$105,A178)+COUNTIF('QDMA Host'!$E$5:$E$96,A178)+COUNTIF(Firmware!$E$5:$E$94,A178)+COUNTIF('PCIe Control'!$E$5:$E$107,A178)+COUNTIF('Xilinx BSP'!$E$5:$E$63,A178)+COUNTIF('Host CLI Client'!$E$5:$E$68,A178)</f>
        <v>17</v>
      </c>
    </row>
    <row r="179" customFormat="false" ht="15" hidden="false" customHeight="false" outlineLevel="0" collapsed="false">
      <c r="A179" s="17" t="s">
        <v>243</v>
      </c>
      <c r="B179" s="17" t="n">
        <f aca="false">COUNTIF('Math DSP'!$E$5:$E$242,A179)+COUNTIF('GUI Qt'!$E$5:$E$201,A179)+COUNTIF('App Core'!$E$5:$E$307,A179)+COUNTIF('Platform Libs'!$E$5:$E$47,A179)+COUNTIF('QDMA Driver'!$E$5:$E$318,A179)+COUNTIF('QDMA Registers'!$E$5:$E$137,A179)+COUNTIF('QDMA Helpers'!$E$5:$E$105,A179)+COUNTIF('QDMA Host'!$E$5:$E$96,A179)+COUNTIF(Firmware!$E$5:$E$94,A179)+COUNTIF('PCIe Control'!$E$5:$E$107,A179)+COUNTIF('Xilinx BSP'!$E$5:$E$63,A179)+COUNTIF('Host CLI Client'!$E$5:$E$68,A179)</f>
        <v>16</v>
      </c>
    </row>
    <row r="180" customFormat="false" ht="15" hidden="false" customHeight="false" outlineLevel="0" collapsed="false">
      <c r="A180" s="17" t="s">
        <v>244</v>
      </c>
      <c r="B180" s="17" t="n">
        <f aca="false">COUNTIF('Math DSP'!$E$5:$E$242,A180)+COUNTIF('GUI Qt'!$E$5:$E$201,A180)+COUNTIF('App Core'!$E$5:$E$307,A180)+COUNTIF('Platform Libs'!$E$5:$E$47,A180)+COUNTIF('QDMA Driver'!$E$5:$E$318,A180)+COUNTIF('QDMA Registers'!$E$5:$E$137,A180)+COUNTIF('QDMA Helpers'!$E$5:$E$105,A180)+COUNTIF('QDMA Host'!$E$5:$E$96,A180)+COUNTIF(Firmware!$E$5:$E$94,A180)+COUNTIF('PCIe Control'!$E$5:$E$107,A180)+COUNTIF('Xilinx BSP'!$E$5:$E$63,A180)+COUNTIF('Host CLI Client'!$E$5:$E$68,A180)</f>
        <v>12</v>
      </c>
    </row>
    <row r="181" customFormat="false" ht="15" hidden="false" customHeight="false" outlineLevel="0" collapsed="false">
      <c r="A181" s="17" t="s">
        <v>245</v>
      </c>
      <c r="B181" s="17" t="n">
        <f aca="false">COUNTIF('Math DSP'!$E$5:$E$242,A181)+COUNTIF('GUI Qt'!$E$5:$E$201,A181)+COUNTIF('App Core'!$E$5:$E$307,A181)+COUNTIF('Platform Libs'!$E$5:$E$47,A181)+COUNTIF('QDMA Driver'!$E$5:$E$318,A181)+COUNTIF('QDMA Registers'!$E$5:$E$137,A181)+COUNTIF('QDMA Helpers'!$E$5:$E$105,A181)+COUNTIF('QDMA Host'!$E$5:$E$96,A181)+COUNTIF(Firmware!$E$5:$E$94,A181)+COUNTIF('PCIe Control'!$E$5:$E$107,A181)+COUNTIF('Xilinx BSP'!$E$5:$E$63,A181)+COUNTIF('Host CLI Client'!$E$5:$E$68,A181)</f>
        <v>11</v>
      </c>
    </row>
    <row r="182" customFormat="false" ht="15" hidden="false" customHeight="false" outlineLevel="0" collapsed="false">
      <c r="A182" s="17" t="s">
        <v>246</v>
      </c>
      <c r="B182" s="17" t="n">
        <f aca="false">COUNTIF('Math DSP'!$E$5:$E$242,A182)+COUNTIF('GUI Qt'!$E$5:$E$201,A182)+COUNTIF('App Core'!$E$5:$E$307,A182)+COUNTIF('Platform Libs'!$E$5:$E$47,A182)+COUNTIF('QDMA Driver'!$E$5:$E$318,A182)+COUNTIF('QDMA Registers'!$E$5:$E$137,A182)+COUNTIF('QDMA Helpers'!$E$5:$E$105,A182)+COUNTIF('QDMA Host'!$E$5:$E$96,A182)+COUNTIF(Firmware!$E$5:$E$94,A182)+COUNTIF('PCIe Control'!$E$5:$E$107,A182)+COUNTIF('Xilinx BSP'!$E$5:$E$63,A182)+COUNTIF('Host CLI Client'!$E$5:$E$68,A182)</f>
        <v>8</v>
      </c>
    </row>
    <row r="183" customFormat="false" ht="15" hidden="false" customHeight="false" outlineLevel="0" collapsed="false">
      <c r="A183" s="17" t="s">
        <v>247</v>
      </c>
      <c r="B183" s="17" t="n">
        <f aca="false">COUNTIF('Math DSP'!$E$5:$E$242,A183)+COUNTIF('GUI Qt'!$E$5:$E$201,A183)+COUNTIF('App Core'!$E$5:$E$307,A183)+COUNTIF('Platform Libs'!$E$5:$E$47,A183)+COUNTIF('QDMA Driver'!$E$5:$E$318,A183)+COUNTIF('QDMA Registers'!$E$5:$E$137,A183)+COUNTIF('QDMA Helpers'!$E$5:$E$105,A183)+COUNTIF('QDMA Host'!$E$5:$E$96,A183)+COUNTIF(Firmware!$E$5:$E$94,A183)+COUNTIF('PCIe Control'!$E$5:$E$107,A183)+COUNTIF('Xilinx BSP'!$E$5:$E$63,A183)+COUNTIF('Host CLI Client'!$E$5:$E$68,A183)</f>
        <v>5</v>
      </c>
    </row>
    <row r="184" customFormat="false" ht="15" hidden="false" customHeight="false" outlineLevel="0" collapsed="false">
      <c r="A184" s="17" t="s">
        <v>248</v>
      </c>
      <c r="B184" s="17" t="n">
        <f aca="false">COUNTIF('Math DSP'!$E$5:$E$242,A184)+COUNTIF('GUI Qt'!$E$5:$E$201,A184)+COUNTIF('App Core'!$E$5:$E$307,A184)+COUNTIF('Platform Libs'!$E$5:$E$47,A184)+COUNTIF('QDMA Driver'!$E$5:$E$318,A184)+COUNTIF('QDMA Registers'!$E$5:$E$137,A184)+COUNTIF('QDMA Helpers'!$E$5:$E$105,A184)+COUNTIF('QDMA Host'!$E$5:$E$96,A184)+COUNTIF(Firmware!$E$5:$E$94,A184)+COUNTIF('PCIe Control'!$E$5:$E$107,A184)+COUNTIF('Xilinx BSP'!$E$5:$E$63,A184)+COUNTIF('Host CLI Client'!$E$5:$E$68,A184)</f>
        <v>5</v>
      </c>
    </row>
  </sheetData>
  <mergeCells count="3">
    <mergeCell ref="A2:F2"/>
    <mergeCell ref="A21:F21"/>
    <mergeCell ref="A155:F155"/>
  </mergeCells>
  <hyperlinks>
    <hyperlink ref="A6" r:id="rId1" location="'Math%20DSP'!A1" display="Math DSP"/>
    <hyperlink ref="A7" r:id="rId2" location="'GUI%20Qt'!A1" display="GUI Qt"/>
    <hyperlink ref="A8" r:id="rId3" location="'App%20Core'!A1" display="App Core"/>
    <hyperlink ref="A9" r:id="rId4" location="'Platform%20Libs'!A1" display="Platform Libs"/>
    <hyperlink ref="A10" r:id="rId5" location="'QDMA%20Driver'!A1" display="QDMA Driver"/>
    <hyperlink ref="A11" r:id="rId6" location="'QDMA%20Registers'!A1" display="QDMA Registers"/>
    <hyperlink ref="A12" r:id="rId7" location="'QDMA%20Helpers'!A1" display="QDMA Helpers"/>
    <hyperlink ref="A13" r:id="rId8" location="'QDMA%20Host'!A1" display="QDMA Host"/>
    <hyperlink ref="A14" r:id="rId9" location="'Firmware'!A1" display="Firmware"/>
    <hyperlink ref="A15" r:id="rId10" location="'PCIe%20Control'!A1" display="PCIe Control"/>
    <hyperlink ref="A16" r:id="rId11" location="'Xilinx%20BSP'!A1" display="Xilinx BSP"/>
    <hyperlink ref="A17" r:id="rId12" location="'Host%20CLI%20Client'!A1" display="Host CLI Client"/>
  </hyperlinks>
  <printOptions headings="false" gridLines="false" gridLinesSet="true" horizontalCentered="true" verticalCentered="false"/>
  <pageMargins left="0.4" right="0.4" top="0.5" bottom="0.5"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&amp;LiW-ASCEJ-01-API-Reference-R1.0-REL1.0&amp;C&amp;A&amp;RPage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7"/>
    <col collapsed="false" customWidth="true" hidden="false" outlineLevel="0" max="3" min="3" style="0" width="38"/>
    <col collapsed="false" customWidth="true" hidden="false" outlineLevel="0" max="4" min="4" style="0" width="26"/>
    <col collapsed="false" customWidth="true" hidden="false" outlineLevel="0" max="5" min="5" style="0" width="110"/>
  </cols>
  <sheetData>
    <row r="1" customFormat="false" ht="25.5" hidden="false" customHeight="true" outlineLevel="0" collapsed="false">
      <c r="A1" s="12" t="s">
        <v>45</v>
      </c>
    </row>
    <row r="2" customFormat="false" ht="30" hidden="false" customHeight="true" outlineLevel="0" collapsed="false">
      <c r="A2" s="13" t="s">
        <v>249</v>
      </c>
      <c r="B2" s="13"/>
      <c r="C2" s="13"/>
      <c r="D2" s="13"/>
      <c r="E2" s="13"/>
    </row>
    <row r="4" customFormat="false" ht="30" hidden="false" customHeight="true" outlineLevel="0" collapsed="false">
      <c r="A4" s="14" t="s">
        <v>250</v>
      </c>
      <c r="B4" s="14" t="s">
        <v>251</v>
      </c>
      <c r="C4" s="14" t="s">
        <v>252</v>
      </c>
      <c r="D4" s="14" t="s">
        <v>253</v>
      </c>
      <c r="E4" s="14" t="s">
        <v>37</v>
      </c>
    </row>
    <row r="5" customFormat="false" ht="15" hidden="false" customHeight="false" outlineLevel="0" collapsed="false">
      <c r="A5" s="22" t="s">
        <v>254</v>
      </c>
      <c r="B5" s="15" t="n">
        <v>0</v>
      </c>
      <c r="C5" s="23" t="s">
        <v>12</v>
      </c>
      <c r="D5" s="17" t="s">
        <v>255</v>
      </c>
      <c r="E5" s="17" t="s">
        <v>256</v>
      </c>
    </row>
    <row r="6" customFormat="false" ht="22.35" hidden="false" customHeight="false" outlineLevel="0" collapsed="false">
      <c r="A6" s="22" t="s">
        <v>257</v>
      </c>
      <c r="B6" s="15" t="n">
        <v>1</v>
      </c>
      <c r="C6" s="23" t="s">
        <v>258</v>
      </c>
      <c r="D6" s="17" t="s">
        <v>259</v>
      </c>
      <c r="E6" s="17" t="s">
        <v>260</v>
      </c>
    </row>
    <row r="7" customFormat="false" ht="32.8" hidden="false" customHeight="false" outlineLevel="0" collapsed="false">
      <c r="A7" s="22" t="s">
        <v>94</v>
      </c>
      <c r="B7" s="15" t="n">
        <v>1</v>
      </c>
      <c r="C7" s="23" t="s">
        <v>261</v>
      </c>
      <c r="D7" s="17" t="s">
        <v>262</v>
      </c>
      <c r="E7" s="17" t="s">
        <v>263</v>
      </c>
    </row>
    <row r="8" customFormat="false" ht="15" hidden="false" customHeight="false" outlineLevel="0" collapsed="false">
      <c r="A8" s="22" t="s">
        <v>264</v>
      </c>
      <c r="B8" s="15" t="n">
        <v>1</v>
      </c>
      <c r="C8" s="23" t="s">
        <v>265</v>
      </c>
      <c r="D8" s="17" t="s">
        <v>266</v>
      </c>
      <c r="E8" s="17" t="s">
        <v>267</v>
      </c>
    </row>
    <row r="9" customFormat="false" ht="22.35" hidden="false" customHeight="false" outlineLevel="0" collapsed="false">
      <c r="A9" s="22" t="s">
        <v>268</v>
      </c>
      <c r="B9" s="15" t="n">
        <v>2</v>
      </c>
      <c r="C9" s="24" t="s">
        <v>269</v>
      </c>
      <c r="D9" s="17" t="s">
        <v>270</v>
      </c>
      <c r="E9" s="17" t="s">
        <v>271</v>
      </c>
    </row>
    <row r="10" customFormat="false" ht="22.35" hidden="false" customHeight="false" outlineLevel="0" collapsed="false">
      <c r="A10" s="22" t="s">
        <v>91</v>
      </c>
      <c r="B10" s="15" t="n">
        <v>2</v>
      </c>
      <c r="C10" s="24" t="s">
        <v>272</v>
      </c>
      <c r="D10" s="17" t="s">
        <v>273</v>
      </c>
      <c r="E10" s="17" t="s">
        <v>274</v>
      </c>
    </row>
    <row r="11" customFormat="false" ht="22.35" hidden="false" customHeight="false" outlineLevel="0" collapsed="false">
      <c r="A11" s="22" t="s">
        <v>275</v>
      </c>
      <c r="B11" s="15" t="n">
        <v>2</v>
      </c>
      <c r="C11" s="24" t="s">
        <v>276</v>
      </c>
      <c r="D11" s="17" t="s">
        <v>277</v>
      </c>
      <c r="E11" s="17" t="s">
        <v>278</v>
      </c>
    </row>
    <row r="12" customFormat="false" ht="22.35" hidden="false" customHeight="false" outlineLevel="0" collapsed="false">
      <c r="A12" s="22" t="s">
        <v>279</v>
      </c>
      <c r="B12" s="15" t="n">
        <v>2</v>
      </c>
      <c r="C12" s="24" t="s">
        <v>280</v>
      </c>
      <c r="D12" s="17" t="s">
        <v>281</v>
      </c>
      <c r="E12" s="17" t="s">
        <v>282</v>
      </c>
    </row>
    <row r="13" customFormat="false" ht="22.35" hidden="false" customHeight="false" outlineLevel="0" collapsed="false">
      <c r="A13" s="22" t="s">
        <v>283</v>
      </c>
      <c r="B13" s="15" t="n">
        <v>2</v>
      </c>
      <c r="C13" s="24" t="s">
        <v>284</v>
      </c>
      <c r="D13" s="17" t="s">
        <v>285</v>
      </c>
      <c r="E13" s="17" t="s">
        <v>286</v>
      </c>
    </row>
    <row r="15" customFormat="false" ht="15" hidden="false" customHeight="false" outlineLevel="0" collapsed="false">
      <c r="A15" s="18" t="s">
        <v>287</v>
      </c>
    </row>
    <row r="16" customFormat="false" ht="189.75" hidden="false" customHeight="true" outlineLevel="0" collapsed="false">
      <c r="C16" s="25" t="s">
        <v>288</v>
      </c>
      <c r="D16" s="25"/>
      <c r="E16" s="25"/>
    </row>
  </sheetData>
  <mergeCells count="2">
    <mergeCell ref="A2:E2"/>
    <mergeCell ref="C16:E16"/>
  </mergeCells>
  <printOptions headings="false" gridLines="false" gridLinesSet="true" horizontalCentered="true" verticalCentered="false"/>
  <pageMargins left="0.4" right="0.4" top="0.5" bottom="0.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&amp;LiW-ASCEJ-01-API-Reference-R1.0-REL1.0&amp;C&amp;A&amp;RPage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G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6"/>
    <col collapsed="false" customWidth="true" hidden="false" outlineLevel="0" max="4" min="3" style="0" width="22"/>
    <col collapsed="false" customWidth="true" hidden="false" outlineLevel="0" max="6" min="5" style="0" width="56"/>
    <col collapsed="false" customWidth="true" hidden="false" outlineLevel="0" max="7" min="7" style="0" width="34"/>
  </cols>
  <sheetData>
    <row r="1" customFormat="false" ht="25.5" hidden="false" customHeight="true" outlineLevel="0" collapsed="false">
      <c r="A1" s="12" t="s">
        <v>47</v>
      </c>
    </row>
    <row r="2" customFormat="false" ht="30" hidden="false" customHeight="true" outlineLevel="0" collapsed="false">
      <c r="A2" s="13" t="s">
        <v>289</v>
      </c>
      <c r="B2" s="13"/>
      <c r="C2" s="13"/>
      <c r="D2" s="13"/>
      <c r="E2" s="13"/>
      <c r="F2" s="13"/>
      <c r="G2" s="13"/>
    </row>
    <row r="4" customFormat="false" ht="30" hidden="false" customHeight="true" outlineLevel="0" collapsed="false">
      <c r="A4" s="14" t="s">
        <v>290</v>
      </c>
      <c r="B4" s="14" t="s">
        <v>291</v>
      </c>
      <c r="C4" s="14" t="s">
        <v>292</v>
      </c>
      <c r="D4" s="14" t="s">
        <v>293</v>
      </c>
      <c r="E4" s="14" t="s">
        <v>294</v>
      </c>
      <c r="F4" s="14" t="s">
        <v>295</v>
      </c>
      <c r="G4" s="14" t="s">
        <v>296</v>
      </c>
    </row>
    <row r="5" customFormat="false" ht="19.5" hidden="false" customHeight="true" outlineLevel="0" collapsed="false">
      <c r="A5" s="21" t="s">
        <v>297</v>
      </c>
      <c r="B5" s="21"/>
      <c r="C5" s="21"/>
      <c r="D5" s="21"/>
      <c r="E5" s="21"/>
      <c r="F5" s="21"/>
      <c r="G5" s="21"/>
    </row>
    <row r="6" customFormat="false" ht="15" hidden="false" customHeight="false" outlineLevel="0" collapsed="false">
      <c r="A6" s="17" t="s">
        <v>298</v>
      </c>
      <c r="B6" s="15" t="n">
        <v>1</v>
      </c>
      <c r="C6" s="17" t="s">
        <v>115</v>
      </c>
      <c r="D6" s="17" t="s">
        <v>299</v>
      </c>
      <c r="E6" s="17" t="s">
        <v>300</v>
      </c>
      <c r="F6" s="17" t="s">
        <v>301</v>
      </c>
      <c r="G6" s="17" t="s">
        <v>302</v>
      </c>
    </row>
    <row r="7" customFormat="false" ht="15" hidden="false" customHeight="false" outlineLevel="0" collapsed="false">
      <c r="A7" s="17" t="s">
        <v>298</v>
      </c>
      <c r="B7" s="15" t="n">
        <v>2</v>
      </c>
      <c r="C7" s="17" t="s">
        <v>100</v>
      </c>
      <c r="D7" s="17" t="s">
        <v>299</v>
      </c>
      <c r="E7" s="17" t="s">
        <v>303</v>
      </c>
      <c r="F7" s="17" t="s">
        <v>304</v>
      </c>
      <c r="G7" s="17" t="s">
        <v>302</v>
      </c>
    </row>
    <row r="8" customFormat="false" ht="15" hidden="false" customHeight="false" outlineLevel="0" collapsed="false">
      <c r="A8" s="17" t="s">
        <v>298</v>
      </c>
      <c r="B8" s="15" t="n">
        <v>3</v>
      </c>
      <c r="C8" s="17" t="s">
        <v>305</v>
      </c>
      <c r="D8" s="17" t="s">
        <v>306</v>
      </c>
      <c r="E8" s="17" t="s">
        <v>307</v>
      </c>
      <c r="F8" s="17" t="s">
        <v>308</v>
      </c>
      <c r="G8" s="17" t="s">
        <v>302</v>
      </c>
    </row>
    <row r="9" customFormat="false" ht="15" hidden="false" customHeight="false" outlineLevel="0" collapsed="false">
      <c r="A9" s="17" t="s">
        <v>298</v>
      </c>
      <c r="B9" s="15" t="n">
        <v>4</v>
      </c>
      <c r="C9" s="17" t="s">
        <v>309</v>
      </c>
      <c r="D9" s="17" t="s">
        <v>192</v>
      </c>
      <c r="E9" s="17" t="s">
        <v>310</v>
      </c>
      <c r="F9" s="17" t="s">
        <v>311</v>
      </c>
      <c r="G9" s="17" t="s">
        <v>312</v>
      </c>
    </row>
    <row r="10" customFormat="false" ht="22.35" hidden="false" customHeight="false" outlineLevel="0" collapsed="false">
      <c r="A10" s="17" t="s">
        <v>298</v>
      </c>
      <c r="B10" s="15" t="n">
        <v>5</v>
      </c>
      <c r="C10" s="17" t="s">
        <v>313</v>
      </c>
      <c r="D10" s="17" t="s">
        <v>314</v>
      </c>
      <c r="E10" s="17" t="s">
        <v>315</v>
      </c>
      <c r="F10" s="17" t="s">
        <v>316</v>
      </c>
      <c r="G10" s="17" t="s">
        <v>317</v>
      </c>
    </row>
    <row r="11" customFormat="false" ht="15" hidden="false" customHeight="false" outlineLevel="0" collapsed="false">
      <c r="A11" s="17" t="s">
        <v>298</v>
      </c>
      <c r="B11" s="15" t="n">
        <v>6</v>
      </c>
      <c r="C11" s="17" t="s">
        <v>318</v>
      </c>
      <c r="D11" s="17" t="s">
        <v>319</v>
      </c>
      <c r="E11" s="17" t="s">
        <v>320</v>
      </c>
      <c r="F11" s="17" t="s">
        <v>321</v>
      </c>
      <c r="G11" s="17" t="s">
        <v>322</v>
      </c>
    </row>
    <row r="12" customFormat="false" ht="15" hidden="false" customHeight="false" outlineLevel="0" collapsed="false">
      <c r="A12" s="17" t="s">
        <v>298</v>
      </c>
      <c r="B12" s="15" t="n">
        <v>7</v>
      </c>
      <c r="C12" s="17" t="s">
        <v>323</v>
      </c>
      <c r="D12" s="17" t="s">
        <v>324</v>
      </c>
      <c r="E12" s="17" t="s">
        <v>325</v>
      </c>
      <c r="F12" s="17" t="s">
        <v>326</v>
      </c>
      <c r="G12" s="17" t="s">
        <v>327</v>
      </c>
    </row>
    <row r="13" customFormat="false" ht="19.5" hidden="false" customHeight="true" outlineLevel="0" collapsed="false">
      <c r="A13" s="21" t="s">
        <v>328</v>
      </c>
      <c r="B13" s="21"/>
      <c r="C13" s="21"/>
      <c r="D13" s="21"/>
      <c r="E13" s="21"/>
      <c r="F13" s="21"/>
      <c r="G13" s="21"/>
    </row>
    <row r="14" customFormat="false" ht="15" hidden="false" customHeight="false" outlineLevel="0" collapsed="false">
      <c r="A14" s="17" t="s">
        <v>329</v>
      </c>
      <c r="B14" s="15" t="n">
        <v>1</v>
      </c>
      <c r="C14" s="17" t="s">
        <v>330</v>
      </c>
      <c r="D14" s="17" t="s">
        <v>324</v>
      </c>
      <c r="E14" s="17" t="s">
        <v>331</v>
      </c>
      <c r="F14" s="17" t="s">
        <v>332</v>
      </c>
      <c r="G14" s="17" t="s">
        <v>327</v>
      </c>
    </row>
    <row r="15" customFormat="false" ht="15" hidden="false" customHeight="false" outlineLevel="0" collapsed="false">
      <c r="A15" s="17" t="s">
        <v>329</v>
      </c>
      <c r="B15" s="15" t="n">
        <v>2</v>
      </c>
      <c r="C15" s="17" t="s">
        <v>333</v>
      </c>
      <c r="D15" s="17" t="s">
        <v>319</v>
      </c>
      <c r="E15" s="17" t="s">
        <v>334</v>
      </c>
      <c r="F15" s="17" t="s">
        <v>335</v>
      </c>
      <c r="G15" s="17" t="s">
        <v>336</v>
      </c>
    </row>
    <row r="16" customFormat="false" ht="22.35" hidden="false" customHeight="false" outlineLevel="0" collapsed="false">
      <c r="A16" s="17" t="s">
        <v>329</v>
      </c>
      <c r="B16" s="15" t="n">
        <v>3</v>
      </c>
      <c r="C16" s="17" t="s">
        <v>337</v>
      </c>
      <c r="D16" s="17" t="s">
        <v>338</v>
      </c>
      <c r="E16" s="17" t="s">
        <v>339</v>
      </c>
      <c r="F16" s="17" t="s">
        <v>340</v>
      </c>
      <c r="G16" s="17" t="s">
        <v>317</v>
      </c>
    </row>
    <row r="17" customFormat="false" ht="15" hidden="false" customHeight="false" outlineLevel="0" collapsed="false">
      <c r="A17" s="17" t="s">
        <v>329</v>
      </c>
      <c r="B17" s="15" t="n">
        <v>4</v>
      </c>
      <c r="C17" s="17" t="s">
        <v>341</v>
      </c>
      <c r="D17" s="17" t="s">
        <v>191</v>
      </c>
      <c r="E17" s="17" t="s">
        <v>342</v>
      </c>
      <c r="F17" s="17" t="s">
        <v>343</v>
      </c>
      <c r="G17" s="17" t="s">
        <v>344</v>
      </c>
    </row>
    <row r="18" customFormat="false" ht="15" hidden="false" customHeight="false" outlineLevel="0" collapsed="false">
      <c r="A18" s="17" t="s">
        <v>329</v>
      </c>
      <c r="B18" s="15" t="n">
        <v>5</v>
      </c>
      <c r="C18" s="17" t="s">
        <v>345</v>
      </c>
      <c r="D18" s="17" t="s">
        <v>346</v>
      </c>
      <c r="E18" s="17" t="s">
        <v>347</v>
      </c>
      <c r="F18" s="17" t="s">
        <v>348</v>
      </c>
      <c r="G18" s="17" t="s">
        <v>349</v>
      </c>
    </row>
    <row r="19" customFormat="false" ht="15" hidden="false" customHeight="false" outlineLevel="0" collapsed="false">
      <c r="A19" s="17" t="s">
        <v>329</v>
      </c>
      <c r="B19" s="15" t="n">
        <v>6</v>
      </c>
      <c r="C19" s="17" t="s">
        <v>350</v>
      </c>
      <c r="D19" s="17" t="s">
        <v>351</v>
      </c>
      <c r="E19" s="17" t="s">
        <v>352</v>
      </c>
      <c r="F19" s="17" t="s">
        <v>353</v>
      </c>
      <c r="G19" s="17" t="s">
        <v>354</v>
      </c>
    </row>
    <row r="20" customFormat="false" ht="22.35" hidden="false" customHeight="false" outlineLevel="0" collapsed="false">
      <c r="A20" s="17" t="s">
        <v>329</v>
      </c>
      <c r="B20" s="15" t="n">
        <v>7</v>
      </c>
      <c r="C20" s="17" t="s">
        <v>355</v>
      </c>
      <c r="D20" s="17" t="s">
        <v>356</v>
      </c>
      <c r="E20" s="17" t="s">
        <v>357</v>
      </c>
      <c r="F20" s="17" t="s">
        <v>358</v>
      </c>
      <c r="G20" s="17" t="s">
        <v>359</v>
      </c>
    </row>
    <row r="21" customFormat="false" ht="19.5" hidden="false" customHeight="true" outlineLevel="0" collapsed="false">
      <c r="A21" s="21" t="s">
        <v>360</v>
      </c>
      <c r="B21" s="21"/>
      <c r="C21" s="21"/>
      <c r="D21" s="21"/>
      <c r="E21" s="21"/>
      <c r="F21" s="21"/>
      <c r="G21" s="21"/>
    </row>
    <row r="22" customFormat="false" ht="15" hidden="false" customHeight="false" outlineLevel="0" collapsed="false">
      <c r="A22" s="17" t="s">
        <v>361</v>
      </c>
      <c r="B22" s="15" t="n">
        <v>1</v>
      </c>
      <c r="C22" s="17" t="s">
        <v>362</v>
      </c>
      <c r="D22" s="17" t="s">
        <v>363</v>
      </c>
      <c r="E22" s="17" t="s">
        <v>364</v>
      </c>
      <c r="F22" s="17" t="s">
        <v>365</v>
      </c>
      <c r="G22" s="17" t="s">
        <v>366</v>
      </c>
    </row>
    <row r="23" customFormat="false" ht="22.35" hidden="false" customHeight="false" outlineLevel="0" collapsed="false">
      <c r="A23" s="17" t="s">
        <v>361</v>
      </c>
      <c r="B23" s="15" t="n">
        <v>2</v>
      </c>
      <c r="C23" s="17" t="s">
        <v>367</v>
      </c>
      <c r="D23" s="17" t="s">
        <v>368</v>
      </c>
      <c r="E23" s="17" t="s">
        <v>369</v>
      </c>
      <c r="F23" s="17" t="s">
        <v>370</v>
      </c>
      <c r="G23" s="17" t="s">
        <v>371</v>
      </c>
    </row>
    <row r="24" customFormat="false" ht="15" hidden="false" customHeight="false" outlineLevel="0" collapsed="false">
      <c r="A24" s="17" t="s">
        <v>361</v>
      </c>
      <c r="B24" s="15" t="n">
        <v>3</v>
      </c>
      <c r="C24" s="17" t="s">
        <v>372</v>
      </c>
      <c r="D24" s="17" t="s">
        <v>373</v>
      </c>
      <c r="E24" s="17" t="s">
        <v>374</v>
      </c>
      <c r="F24" s="17" t="s">
        <v>375</v>
      </c>
      <c r="G24" s="17" t="s">
        <v>376</v>
      </c>
    </row>
    <row r="25" customFormat="false" ht="15" hidden="false" customHeight="false" outlineLevel="0" collapsed="false">
      <c r="A25" s="17" t="s">
        <v>361</v>
      </c>
      <c r="B25" s="15" t="n">
        <v>4</v>
      </c>
      <c r="C25" s="17" t="s">
        <v>377</v>
      </c>
      <c r="D25" s="17" t="s">
        <v>378</v>
      </c>
      <c r="E25" s="17" t="s">
        <v>379</v>
      </c>
      <c r="F25" s="17" t="s">
        <v>380</v>
      </c>
      <c r="G25" s="17" t="s">
        <v>381</v>
      </c>
    </row>
    <row r="26" customFormat="false" ht="15" hidden="false" customHeight="false" outlineLevel="0" collapsed="false">
      <c r="A26" s="17" t="s">
        <v>361</v>
      </c>
      <c r="B26" s="15" t="n">
        <v>5</v>
      </c>
      <c r="C26" s="17" t="s">
        <v>211</v>
      </c>
      <c r="D26" s="17" t="s">
        <v>368</v>
      </c>
      <c r="E26" s="17" t="s">
        <v>382</v>
      </c>
      <c r="F26" s="17" t="s">
        <v>383</v>
      </c>
      <c r="G26" s="17" t="s">
        <v>376</v>
      </c>
    </row>
    <row r="28" customFormat="false" ht="19.5" hidden="false" customHeight="true" outlineLevel="0" collapsed="false">
      <c r="A28" s="21" t="s">
        <v>384</v>
      </c>
      <c r="B28" s="21"/>
      <c r="C28" s="21"/>
      <c r="D28" s="21"/>
      <c r="E28" s="21"/>
      <c r="F28" s="21"/>
      <c r="G28" s="21"/>
    </row>
    <row r="29" customFormat="false" ht="15" hidden="false" customHeight="true" outlineLevel="0" collapsed="false">
      <c r="C29" s="17" t="s">
        <v>385</v>
      </c>
      <c r="D29" s="17"/>
      <c r="E29" s="26" t="n">
        <f aca="false">Calculations!$C$79</f>
        <v>762.939453125</v>
      </c>
    </row>
    <row r="30" customFormat="false" ht="15" hidden="false" customHeight="true" outlineLevel="0" collapsed="false">
      <c r="C30" s="17" t="s">
        <v>386</v>
      </c>
      <c r="D30" s="17"/>
      <c r="E30" s="26" t="n">
        <f aca="false">Calculations!$C$10</f>
        <v>200</v>
      </c>
    </row>
    <row r="31" customFormat="false" ht="15" hidden="false" customHeight="true" outlineLevel="0" collapsed="false">
      <c r="C31" s="17" t="s">
        <v>387</v>
      </c>
      <c r="D31" s="17"/>
      <c r="E31" s="26" t="n">
        <f aca="false">Calculations!$C$61</f>
        <v>3051.7578125</v>
      </c>
    </row>
    <row r="32" customFormat="false" ht="15" hidden="false" customHeight="true" outlineLevel="0" collapsed="false">
      <c r="C32" s="17" t="s">
        <v>388</v>
      </c>
      <c r="D32" s="17"/>
      <c r="E32" s="26" t="n">
        <f aca="false">Calculations!$C$59</f>
        <v>1600</v>
      </c>
    </row>
    <row r="33" customFormat="false" ht="15" hidden="false" customHeight="true" outlineLevel="0" collapsed="false">
      <c r="C33" s="17" t="s">
        <v>389</v>
      </c>
      <c r="D33" s="17"/>
      <c r="E33" s="26" t="n">
        <f aca="false">Calculations!$C$65</f>
        <v>2</v>
      </c>
    </row>
    <row r="34" customFormat="false" ht="15" hidden="false" customHeight="true" outlineLevel="0" collapsed="false">
      <c r="C34" s="17" t="s">
        <v>390</v>
      </c>
      <c r="D34" s="17"/>
      <c r="E34" s="26" t="n">
        <f aca="false">Calculations!$C$83</f>
        <v>762.939453125</v>
      </c>
    </row>
    <row r="35" customFormat="false" ht="15" hidden="false" customHeight="true" outlineLevel="0" collapsed="false">
      <c r="C35" s="17" t="s">
        <v>391</v>
      </c>
      <c r="D35" s="17"/>
      <c r="E35" s="27" t="n">
        <f aca="false">Calculations!$C$91</f>
        <v>0.997033363253259</v>
      </c>
    </row>
  </sheetData>
  <mergeCells count="12">
    <mergeCell ref="A2:G2"/>
    <mergeCell ref="A5:G5"/>
    <mergeCell ref="A13:G13"/>
    <mergeCell ref="A21:G21"/>
    <mergeCell ref="A28:G28"/>
    <mergeCell ref="C29:D29"/>
    <mergeCell ref="C30:D30"/>
    <mergeCell ref="C31:D31"/>
    <mergeCell ref="C32:D32"/>
    <mergeCell ref="C33:D33"/>
    <mergeCell ref="C34:D34"/>
    <mergeCell ref="C35:D35"/>
  </mergeCells>
  <printOptions headings="false" gridLines="false" gridLinesSet="true" horizontalCentered="true" verticalCentered="false"/>
  <pageMargins left="0.4" right="0.4" top="0.5" bottom="0.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&amp;LiW-ASCEJ-01-API-Reference-R1.0-REL1.0&amp;C&amp;A&amp;RPage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G1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4"/>
    <col collapsed="false" customWidth="true" hidden="false" outlineLevel="0" max="3" min="3" style="0" width="18"/>
    <col collapsed="false" customWidth="true" hidden="false" outlineLevel="0" max="4" min="4" style="0" width="9"/>
    <col collapsed="false" customWidth="true" hidden="false" outlineLevel="0" max="5" min="5" style="0" width="58"/>
    <col collapsed="false" customWidth="true" hidden="false" outlineLevel="0" max="6" min="6" style="0" width="52"/>
    <col collapsed="false" customWidth="true" hidden="false" outlineLevel="0" max="7" min="7" style="0" width="8"/>
  </cols>
  <sheetData>
    <row r="1" customFormat="false" ht="25.5" hidden="false" customHeight="true" outlineLevel="0" collapsed="false">
      <c r="A1" s="12" t="s">
        <v>392</v>
      </c>
    </row>
    <row r="2" customFormat="false" ht="30" hidden="false" customHeight="true" outlineLevel="0" collapsed="false">
      <c r="A2" s="13" t="s">
        <v>393</v>
      </c>
      <c r="B2" s="13"/>
      <c r="C2" s="13"/>
      <c r="D2" s="13"/>
      <c r="E2" s="13"/>
      <c r="F2" s="13"/>
      <c r="G2" s="13"/>
    </row>
    <row r="3" customFormat="false" ht="15" hidden="false" customHeight="false" outlineLevel="0" collapsed="false">
      <c r="A3" s="18" t="s">
        <v>394</v>
      </c>
      <c r="B3" s="28" t="s">
        <v>395</v>
      </c>
      <c r="C3" s="29" t="s">
        <v>396</v>
      </c>
      <c r="D3" s="30" t="s">
        <v>397</v>
      </c>
    </row>
    <row r="5" customFormat="false" ht="30" hidden="false" customHeight="true" outlineLevel="0" collapsed="false">
      <c r="A5" s="14" t="s">
        <v>398</v>
      </c>
      <c r="B5" s="14" t="s">
        <v>399</v>
      </c>
      <c r="C5" s="14" t="s">
        <v>400</v>
      </c>
      <c r="D5" s="14" t="s">
        <v>401</v>
      </c>
      <c r="E5" s="14" t="s">
        <v>402</v>
      </c>
      <c r="F5" s="14" t="s">
        <v>403</v>
      </c>
      <c r="G5" s="14" t="s">
        <v>220</v>
      </c>
    </row>
    <row r="6" customFormat="false" ht="19.5" hidden="false" customHeight="true" outlineLevel="0" collapsed="false">
      <c r="A6" s="21" t="s">
        <v>404</v>
      </c>
      <c r="B6" s="21"/>
      <c r="C6" s="21"/>
      <c r="D6" s="21"/>
      <c r="E6" s="21"/>
      <c r="F6" s="21"/>
      <c r="G6" s="21"/>
    </row>
    <row r="7" customFormat="false" ht="15" hidden="false" customHeight="false" outlineLevel="0" collapsed="false">
      <c r="A7" s="17" t="s">
        <v>405</v>
      </c>
      <c r="B7" s="17" t="s">
        <v>406</v>
      </c>
      <c r="C7" s="31" t="n">
        <v>4800</v>
      </c>
      <c r="D7" s="17" t="s">
        <v>407</v>
      </c>
      <c r="E7" s="17" t="s">
        <v>408</v>
      </c>
      <c r="F7" s="17" t="s">
        <v>409</v>
      </c>
      <c r="G7" s="17" t="s">
        <v>410</v>
      </c>
    </row>
    <row r="8" customFormat="false" ht="15" hidden="false" customHeight="false" outlineLevel="0" collapsed="false">
      <c r="A8" s="17" t="s">
        <v>411</v>
      </c>
      <c r="B8" s="17" t="s">
        <v>412</v>
      </c>
      <c r="C8" s="31" t="n">
        <v>24</v>
      </c>
      <c r="D8" s="17" t="s">
        <v>413</v>
      </c>
      <c r="E8" s="17" t="s">
        <v>414</v>
      </c>
      <c r="F8" s="17" t="s">
        <v>415</v>
      </c>
      <c r="G8" s="17" t="s">
        <v>410</v>
      </c>
    </row>
    <row r="9" customFormat="false" ht="15" hidden="false" customHeight="false" outlineLevel="0" collapsed="false">
      <c r="A9" s="17" t="s">
        <v>416</v>
      </c>
      <c r="B9" s="17" t="s">
        <v>417</v>
      </c>
      <c r="C9" s="32" t="str">
        <f aca="false">IF(OR($C$8=4,$C$8=5,$C$8=6,$C$8=8,$C$8=10,$C$8=12,$C$8=16,$C$8=20,$C$8=24,$C$8=40),"VALID","INVALID")</f>
        <v>VALID</v>
      </c>
      <c r="D9" s="17" t="s">
        <v>418</v>
      </c>
      <c r="E9" s="17" t="s">
        <v>419</v>
      </c>
      <c r="F9" s="17" t="s">
        <v>420</v>
      </c>
      <c r="G9" s="17" t="s">
        <v>396</v>
      </c>
    </row>
    <row r="10" customFormat="false" ht="15" hidden="false" customHeight="false" outlineLevel="0" collapsed="false">
      <c r="A10" s="17" t="s">
        <v>421</v>
      </c>
      <c r="B10" s="17" t="s">
        <v>422</v>
      </c>
      <c r="C10" s="33" t="n">
        <f aca="false">$C$7/$C$8</f>
        <v>200</v>
      </c>
      <c r="D10" s="17" t="s">
        <v>407</v>
      </c>
      <c r="E10" s="17" t="s">
        <v>423</v>
      </c>
      <c r="F10" s="17" t="s">
        <v>424</v>
      </c>
      <c r="G10" s="17" t="s">
        <v>396</v>
      </c>
    </row>
    <row r="11" customFormat="false" ht="15" hidden="false" customHeight="false" outlineLevel="0" collapsed="false">
      <c r="A11" s="17" t="s">
        <v>425</v>
      </c>
      <c r="B11" s="17" t="s">
        <v>426</v>
      </c>
      <c r="C11" s="34" t="n">
        <f aca="false">ROUND($C$7*1000/$C$8,0)</f>
        <v>200000</v>
      </c>
      <c r="D11" s="17" t="s">
        <v>427</v>
      </c>
      <c r="E11" s="17" t="s">
        <v>428</v>
      </c>
      <c r="F11" s="17" t="s">
        <v>424</v>
      </c>
      <c r="G11" s="17" t="s">
        <v>396</v>
      </c>
    </row>
    <row r="12" customFormat="false" ht="15" hidden="false" customHeight="false" outlineLevel="0" collapsed="false">
      <c r="A12" s="17" t="s">
        <v>429</v>
      </c>
      <c r="B12" s="17" t="s">
        <v>430</v>
      </c>
      <c r="C12" s="31" t="n">
        <v>9600</v>
      </c>
      <c r="D12" s="17" t="s">
        <v>407</v>
      </c>
      <c r="E12" s="17" t="s">
        <v>431</v>
      </c>
      <c r="F12" s="17" t="s">
        <v>432</v>
      </c>
      <c r="G12" s="17" t="s">
        <v>410</v>
      </c>
    </row>
    <row r="13" customFormat="false" ht="15" hidden="false" customHeight="false" outlineLevel="0" collapsed="false">
      <c r="A13" s="17" t="s">
        <v>433</v>
      </c>
      <c r="B13" s="17" t="s">
        <v>434</v>
      </c>
      <c r="C13" s="31" t="n">
        <v>24</v>
      </c>
      <c r="D13" s="17" t="s">
        <v>413</v>
      </c>
      <c r="E13" s="17" t="s">
        <v>435</v>
      </c>
      <c r="F13" s="17" t="s">
        <v>436</v>
      </c>
      <c r="G13" s="17" t="s">
        <v>410</v>
      </c>
    </row>
    <row r="14" customFormat="false" ht="22.35" hidden="false" customHeight="false" outlineLevel="0" collapsed="false">
      <c r="A14" s="17" t="s">
        <v>437</v>
      </c>
      <c r="B14" s="17" t="s">
        <v>438</v>
      </c>
      <c r="C14" s="31" t="n">
        <v>200</v>
      </c>
      <c r="D14" s="17" t="s">
        <v>439</v>
      </c>
      <c r="E14" s="17" t="s">
        <v>440</v>
      </c>
      <c r="F14" s="17" t="s">
        <v>441</v>
      </c>
      <c r="G14" s="17" t="s">
        <v>410</v>
      </c>
    </row>
    <row r="15" customFormat="false" ht="15" hidden="false" customHeight="false" outlineLevel="0" collapsed="false">
      <c r="A15" s="17" t="s">
        <v>442</v>
      </c>
      <c r="B15" s="17" t="s">
        <v>443</v>
      </c>
      <c r="C15" s="31" t="n">
        <v>1</v>
      </c>
      <c r="D15" s="17" t="s">
        <v>413</v>
      </c>
      <c r="E15" s="17" t="s">
        <v>444</v>
      </c>
      <c r="F15" s="17" t="s">
        <v>445</v>
      </c>
      <c r="G15" s="17" t="s">
        <v>410</v>
      </c>
    </row>
    <row r="16" customFormat="false" ht="15" hidden="false" customHeight="false" outlineLevel="0" collapsed="false">
      <c r="A16" s="17" t="s">
        <v>446</v>
      </c>
      <c r="B16" s="17" t="s">
        <v>447</v>
      </c>
      <c r="C16" s="31" t="n">
        <v>1</v>
      </c>
      <c r="D16" s="17" t="s">
        <v>413</v>
      </c>
      <c r="E16" s="17" t="s">
        <v>448</v>
      </c>
      <c r="F16" s="17" t="s">
        <v>445</v>
      </c>
      <c r="G16" s="17" t="s">
        <v>410</v>
      </c>
    </row>
    <row r="17" customFormat="false" ht="15" hidden="false" customHeight="false" outlineLevel="0" collapsed="false">
      <c r="A17" s="17" t="s">
        <v>449</v>
      </c>
      <c r="B17" s="17" t="s">
        <v>450</v>
      </c>
      <c r="C17" s="33" t="n">
        <f aca="false">$C$10*$C$16/$C$15</f>
        <v>200</v>
      </c>
      <c r="D17" s="17" t="s">
        <v>407</v>
      </c>
      <c r="E17" s="17" t="s">
        <v>451</v>
      </c>
      <c r="F17" s="17" t="s">
        <v>452</v>
      </c>
      <c r="G17" s="17" t="s">
        <v>396</v>
      </c>
    </row>
    <row r="18" customFormat="false" ht="15" hidden="false" customHeight="false" outlineLevel="0" collapsed="false">
      <c r="A18" s="17" t="s">
        <v>453</v>
      </c>
      <c r="B18" s="17" t="s">
        <v>454</v>
      </c>
      <c r="C18" s="31" t="n">
        <v>3100</v>
      </c>
      <c r="D18" s="17" t="s">
        <v>439</v>
      </c>
      <c r="E18" s="17" t="s">
        <v>455</v>
      </c>
      <c r="F18" s="17" t="s">
        <v>456</v>
      </c>
      <c r="G18" s="17" t="s">
        <v>410</v>
      </c>
    </row>
    <row r="19" customFormat="false" ht="15" hidden="false" customHeight="false" outlineLevel="0" collapsed="false">
      <c r="A19" s="17" t="s">
        <v>457</v>
      </c>
      <c r="B19" s="17" t="s">
        <v>458</v>
      </c>
      <c r="C19" s="34" t="n">
        <f aca="false">INT($C$18/($C$7/2))+1</f>
        <v>2</v>
      </c>
      <c r="D19" s="17" t="s">
        <v>459</v>
      </c>
      <c r="E19" s="17" t="s">
        <v>460</v>
      </c>
      <c r="F19" s="17" t="s">
        <v>461</v>
      </c>
      <c r="G19" s="17" t="s">
        <v>396</v>
      </c>
    </row>
    <row r="20" customFormat="false" ht="15" hidden="false" customHeight="false" outlineLevel="0" collapsed="false">
      <c r="A20" s="17" t="s">
        <v>462</v>
      </c>
      <c r="B20" s="17" t="s">
        <v>463</v>
      </c>
      <c r="C20" s="34" t="n">
        <f aca="false">INT($C$18/($C$12/2))+1</f>
        <v>1</v>
      </c>
      <c r="D20" s="17" t="s">
        <v>459</v>
      </c>
      <c r="E20" s="17" t="s">
        <v>464</v>
      </c>
      <c r="F20" s="17" t="s">
        <v>461</v>
      </c>
      <c r="G20" s="17" t="s">
        <v>396</v>
      </c>
    </row>
    <row r="21" customFormat="false" ht="19.5" hidden="false" customHeight="true" outlineLevel="0" collapsed="false">
      <c r="A21" s="21" t="s">
        <v>465</v>
      </c>
      <c r="B21" s="21"/>
      <c r="C21" s="21"/>
      <c r="D21" s="21"/>
      <c r="E21" s="21"/>
      <c r="F21" s="21"/>
      <c r="G21" s="21"/>
    </row>
    <row r="22" customFormat="false" ht="15" hidden="false" customHeight="false" outlineLevel="0" collapsed="false">
      <c r="A22" s="17" t="s">
        <v>466</v>
      </c>
      <c r="B22" s="17" t="s">
        <v>467</v>
      </c>
      <c r="C22" s="34" t="n">
        <f aca="false">ROUND(ABS($C$18)*1000,0)+IF($C$18&lt;0,2^31,0)</f>
        <v>3100000</v>
      </c>
      <c r="D22" s="17" t="s">
        <v>468</v>
      </c>
      <c r="E22" s="17" t="s">
        <v>469</v>
      </c>
      <c r="F22" s="17" t="s">
        <v>470</v>
      </c>
      <c r="G22" s="17" t="s">
        <v>396</v>
      </c>
    </row>
    <row r="23" customFormat="false" ht="15" hidden="false" customHeight="false" outlineLevel="0" collapsed="false">
      <c r="A23" s="17" t="s">
        <v>471</v>
      </c>
      <c r="B23" s="17" t="s">
        <v>472</v>
      </c>
      <c r="C23" s="32" t="str">
        <f aca="false">DEC2HEX($C$22,8)</f>
        <v>002F4D60</v>
      </c>
      <c r="D23" s="17" t="s">
        <v>473</v>
      </c>
      <c r="E23" s="17" t="s">
        <v>474</v>
      </c>
      <c r="F23" s="17"/>
      <c r="G23" s="17" t="s">
        <v>396</v>
      </c>
    </row>
    <row r="24" customFormat="false" ht="15" hidden="false" customHeight="false" outlineLevel="0" collapsed="false">
      <c r="A24" s="17" t="s">
        <v>475</v>
      </c>
      <c r="B24" s="17" t="s">
        <v>476</v>
      </c>
      <c r="C24" s="33" t="n">
        <f aca="false">IF($C$22&gt;=2^31,-1,1)*MOD($C$22,2^31)/1000</f>
        <v>3100</v>
      </c>
      <c r="D24" s="17" t="s">
        <v>439</v>
      </c>
      <c r="E24" s="17" t="s">
        <v>477</v>
      </c>
      <c r="F24" s="17" t="s">
        <v>478</v>
      </c>
      <c r="G24" s="17" t="s">
        <v>396</v>
      </c>
    </row>
    <row r="25" customFormat="false" ht="15" hidden="false" customHeight="false" outlineLevel="0" collapsed="false">
      <c r="A25" s="17" t="s">
        <v>479</v>
      </c>
      <c r="B25" s="17" t="s">
        <v>480</v>
      </c>
      <c r="C25" s="31" t="n">
        <v>10</v>
      </c>
      <c r="D25" s="17" t="s">
        <v>439</v>
      </c>
      <c r="E25" s="17" t="s">
        <v>481</v>
      </c>
      <c r="F25" s="17" t="s">
        <v>482</v>
      </c>
      <c r="G25" s="17" t="s">
        <v>410</v>
      </c>
    </row>
    <row r="26" customFormat="false" ht="15" hidden="false" customHeight="false" outlineLevel="0" collapsed="false">
      <c r="A26" s="17" t="s">
        <v>483</v>
      </c>
      <c r="B26" s="17" t="s">
        <v>484</v>
      </c>
      <c r="C26" s="34" t="n">
        <f aca="false">ROUND($C$25*1000000,0)</f>
        <v>10000000</v>
      </c>
      <c r="D26" s="17" t="s">
        <v>485</v>
      </c>
      <c r="E26" s="17" t="s">
        <v>486</v>
      </c>
      <c r="F26" s="17" t="s">
        <v>487</v>
      </c>
      <c r="G26" s="17" t="s">
        <v>396</v>
      </c>
    </row>
    <row r="27" customFormat="false" ht="15" hidden="false" customHeight="false" outlineLevel="0" collapsed="false">
      <c r="A27" s="17" t="s">
        <v>488</v>
      </c>
      <c r="B27" s="17" t="s">
        <v>489</v>
      </c>
      <c r="C27" s="32" t="str">
        <f aca="false">DEC2HEX($C$26,8)</f>
        <v>00989680</v>
      </c>
      <c r="D27" s="17" t="s">
        <v>473</v>
      </c>
      <c r="E27" s="17"/>
      <c r="F27" s="17"/>
      <c r="G27" s="17" t="s">
        <v>396</v>
      </c>
    </row>
    <row r="28" customFormat="false" ht="15" hidden="false" customHeight="false" outlineLevel="0" collapsed="false">
      <c r="A28" s="17" t="s">
        <v>490</v>
      </c>
      <c r="B28" s="17" t="s">
        <v>491</v>
      </c>
      <c r="C28" s="31" t="n">
        <v>0</v>
      </c>
      <c r="D28" s="17" t="s">
        <v>492</v>
      </c>
      <c r="E28" s="17" t="s">
        <v>493</v>
      </c>
      <c r="F28" s="17" t="s">
        <v>494</v>
      </c>
      <c r="G28" s="17" t="s">
        <v>410</v>
      </c>
    </row>
    <row r="29" customFormat="false" ht="15" hidden="false" customHeight="false" outlineLevel="0" collapsed="false">
      <c r="A29" s="17" t="s">
        <v>495</v>
      </c>
      <c r="B29" s="17" t="s">
        <v>496</v>
      </c>
      <c r="C29" s="34" t="n">
        <f aca="false">ROUND($C$28*10,0)</f>
        <v>0</v>
      </c>
      <c r="D29" s="17" t="s">
        <v>497</v>
      </c>
      <c r="E29" s="17" t="s">
        <v>498</v>
      </c>
      <c r="F29" s="17" t="s">
        <v>494</v>
      </c>
      <c r="G29" s="17" t="s">
        <v>396</v>
      </c>
    </row>
    <row r="30" customFormat="false" ht="15" hidden="false" customHeight="false" outlineLevel="0" collapsed="false">
      <c r="A30" s="17" t="s">
        <v>499</v>
      </c>
      <c r="B30" s="17" t="s">
        <v>500</v>
      </c>
      <c r="C30" s="32" t="str">
        <f aca="false">IF(AND($C$29&gt;=0,$C$29&lt;=270),"OK","OUT OF RANGE")</f>
        <v>OK</v>
      </c>
      <c r="D30" s="17" t="s">
        <v>418</v>
      </c>
      <c r="E30" s="17" t="s">
        <v>501</v>
      </c>
      <c r="F30" s="17"/>
      <c r="G30" s="17" t="s">
        <v>396</v>
      </c>
    </row>
    <row r="31" customFormat="false" ht="22.35" hidden="false" customHeight="false" outlineLevel="0" collapsed="false">
      <c r="A31" s="17" t="s">
        <v>502</v>
      </c>
      <c r="B31" s="17" t="s">
        <v>503</v>
      </c>
      <c r="C31" s="31" t="n">
        <v>1</v>
      </c>
      <c r="D31" s="17" t="s">
        <v>418</v>
      </c>
      <c r="E31" s="17" t="s">
        <v>504</v>
      </c>
      <c r="F31" s="17" t="s">
        <v>505</v>
      </c>
      <c r="G31" s="17" t="s">
        <v>410</v>
      </c>
    </row>
    <row r="32" customFormat="false" ht="15" hidden="false" customHeight="false" outlineLevel="0" collapsed="false">
      <c r="A32" s="17" t="s">
        <v>506</v>
      </c>
      <c r="B32" s="17" t="s">
        <v>507</v>
      </c>
      <c r="C32" s="34" t="n">
        <f aca="false">ROUND($C$31*10000,0)</f>
        <v>10000</v>
      </c>
      <c r="D32" s="17" t="s">
        <v>508</v>
      </c>
      <c r="E32" s="17"/>
      <c r="F32" s="17" t="s">
        <v>509</v>
      </c>
      <c r="G32" s="17" t="s">
        <v>396</v>
      </c>
    </row>
    <row r="33" customFormat="false" ht="15" hidden="false" customHeight="false" outlineLevel="0" collapsed="false">
      <c r="A33" s="17" t="s">
        <v>510</v>
      </c>
      <c r="B33" s="17" t="s">
        <v>511</v>
      </c>
      <c r="C33" s="35" t="n">
        <v>32000</v>
      </c>
      <c r="D33" s="17" t="s">
        <v>512</v>
      </c>
      <c r="E33" s="17" t="s">
        <v>513</v>
      </c>
      <c r="F33" s="17" t="s">
        <v>514</v>
      </c>
      <c r="G33" s="17" t="s">
        <v>410</v>
      </c>
    </row>
    <row r="34" customFormat="false" ht="15" hidden="false" customHeight="false" outlineLevel="0" collapsed="false">
      <c r="A34" s="17" t="s">
        <v>515</v>
      </c>
      <c r="B34" s="17" t="s">
        <v>516</v>
      </c>
      <c r="C34" s="33" t="n">
        <f aca="false">$C$33/1000</f>
        <v>32</v>
      </c>
      <c r="D34" s="17" t="s">
        <v>517</v>
      </c>
      <c r="E34" s="17"/>
      <c r="F34" s="17"/>
      <c r="G34" s="17" t="s">
        <v>396</v>
      </c>
    </row>
    <row r="35" customFormat="false" ht="15" hidden="false" customHeight="false" outlineLevel="0" collapsed="false">
      <c r="A35" s="17" t="s">
        <v>518</v>
      </c>
      <c r="B35" s="17" t="s">
        <v>519</v>
      </c>
      <c r="C35" s="31" t="n">
        <v>1</v>
      </c>
      <c r="D35" s="17" t="s">
        <v>520</v>
      </c>
      <c r="E35" s="17" t="s">
        <v>521</v>
      </c>
      <c r="F35" s="17" t="s">
        <v>522</v>
      </c>
      <c r="G35" s="17" t="s">
        <v>410</v>
      </c>
    </row>
    <row r="36" customFormat="false" ht="15" hidden="false" customHeight="false" outlineLevel="0" collapsed="false">
      <c r="A36" s="17" t="s">
        <v>523</v>
      </c>
      <c r="B36" s="17" t="s">
        <v>524</v>
      </c>
      <c r="C36" s="31" t="n">
        <v>0</v>
      </c>
      <c r="D36" s="17" t="s">
        <v>525</v>
      </c>
      <c r="E36" s="17" t="s">
        <v>526</v>
      </c>
      <c r="F36" s="17" t="s">
        <v>527</v>
      </c>
      <c r="G36" s="17" t="s">
        <v>410</v>
      </c>
    </row>
    <row r="37" customFormat="false" ht="15" hidden="false" customHeight="false" outlineLevel="0" collapsed="false">
      <c r="A37" s="17" t="s">
        <v>528</v>
      </c>
      <c r="B37" s="17" t="s">
        <v>529</v>
      </c>
      <c r="C37" s="31" t="n">
        <v>1</v>
      </c>
      <c r="D37" s="17" t="s">
        <v>520</v>
      </c>
      <c r="E37" s="17" t="s">
        <v>530</v>
      </c>
      <c r="F37" s="17" t="s">
        <v>531</v>
      </c>
      <c r="G37" s="17" t="s">
        <v>410</v>
      </c>
    </row>
    <row r="38" customFormat="false" ht="15" hidden="false" customHeight="false" outlineLevel="0" collapsed="false">
      <c r="A38" s="17" t="s">
        <v>532</v>
      </c>
      <c r="B38" s="17" t="s">
        <v>533</v>
      </c>
      <c r="C38" s="31" t="n">
        <v>0</v>
      </c>
      <c r="D38" s="17" t="s">
        <v>525</v>
      </c>
      <c r="E38" s="17" t="s">
        <v>534</v>
      </c>
      <c r="F38" s="17" t="s">
        <v>535</v>
      </c>
      <c r="G38" s="17" t="s">
        <v>410</v>
      </c>
    </row>
    <row r="39" customFormat="false" ht="15" hidden="false" customHeight="false" outlineLevel="0" collapsed="false">
      <c r="A39" s="17" t="s">
        <v>536</v>
      </c>
      <c r="B39" s="17" t="s">
        <v>537</v>
      </c>
      <c r="C39" s="31" t="n">
        <v>0</v>
      </c>
      <c r="D39" s="17" t="s">
        <v>525</v>
      </c>
      <c r="E39" s="17" t="s">
        <v>538</v>
      </c>
      <c r="F39" s="17" t="s">
        <v>539</v>
      </c>
      <c r="G39" s="17" t="s">
        <v>410</v>
      </c>
    </row>
    <row r="40" customFormat="false" ht="15" hidden="false" customHeight="false" outlineLevel="0" collapsed="false">
      <c r="A40" s="17" t="s">
        <v>540</v>
      </c>
      <c r="B40" s="17" t="s">
        <v>541</v>
      </c>
      <c r="C40" s="31" t="n">
        <v>1</v>
      </c>
      <c r="D40" s="17" t="s">
        <v>525</v>
      </c>
      <c r="E40" s="17" t="s">
        <v>542</v>
      </c>
      <c r="F40" s="17" t="s">
        <v>543</v>
      </c>
      <c r="G40" s="17" t="s">
        <v>410</v>
      </c>
    </row>
    <row r="41" customFormat="false" ht="15" hidden="false" customHeight="false" outlineLevel="0" collapsed="false">
      <c r="A41" s="17" t="s">
        <v>544</v>
      </c>
      <c r="B41" s="17" t="s">
        <v>545</v>
      </c>
      <c r="C41" s="34" t="n">
        <f aca="false">$C$35*2^31+$C$36*2^28+$C$37*2^27+$C$38*2^24+$C$39*2^20+$C$40</f>
        <v>2281701377</v>
      </c>
      <c r="D41" s="17" t="s">
        <v>468</v>
      </c>
      <c r="E41" s="17" t="s">
        <v>546</v>
      </c>
      <c r="F41" s="17" t="s">
        <v>547</v>
      </c>
      <c r="G41" s="17" t="s">
        <v>396</v>
      </c>
    </row>
    <row r="42" customFormat="false" ht="15" hidden="false" customHeight="false" outlineLevel="0" collapsed="false">
      <c r="A42" s="17" t="s">
        <v>548</v>
      </c>
      <c r="B42" s="17" t="s">
        <v>549</v>
      </c>
      <c r="C42" s="32" t="str">
        <f aca="false">DEC2HEX($C$41,8)</f>
        <v>88000001</v>
      </c>
      <c r="D42" s="17" t="s">
        <v>473</v>
      </c>
      <c r="E42" s="17"/>
      <c r="F42" s="17"/>
      <c r="G42" s="17" t="s">
        <v>396</v>
      </c>
    </row>
    <row r="43" customFormat="false" ht="15" hidden="false" customHeight="false" outlineLevel="0" collapsed="false">
      <c r="A43" s="17" t="s">
        <v>550</v>
      </c>
      <c r="B43" s="17" t="s">
        <v>551</v>
      </c>
      <c r="C43" s="31" t="n">
        <v>0</v>
      </c>
      <c r="D43" s="17" t="s">
        <v>525</v>
      </c>
      <c r="E43" s="17" t="s">
        <v>552</v>
      </c>
      <c r="F43" s="17" t="s">
        <v>553</v>
      </c>
      <c r="G43" s="17" t="s">
        <v>410</v>
      </c>
    </row>
    <row r="44" customFormat="false" ht="15" hidden="false" customHeight="false" outlineLevel="0" collapsed="false">
      <c r="A44" s="17" t="s">
        <v>554</v>
      </c>
      <c r="B44" s="17" t="s">
        <v>555</v>
      </c>
      <c r="C44" s="34" t="n">
        <f aca="false">42*2^24+$C$43*2^20+$C$40</f>
        <v>704643073</v>
      </c>
      <c r="D44" s="17" t="s">
        <v>468</v>
      </c>
      <c r="E44" s="17" t="s">
        <v>556</v>
      </c>
      <c r="F44" s="17" t="s">
        <v>557</v>
      </c>
      <c r="G44" s="17" t="s">
        <v>396</v>
      </c>
    </row>
    <row r="45" customFormat="false" ht="15" hidden="false" customHeight="false" outlineLevel="0" collapsed="false">
      <c r="A45" s="17" t="s">
        <v>558</v>
      </c>
      <c r="B45" s="17" t="s">
        <v>559</v>
      </c>
      <c r="C45" s="32" t="str">
        <f aca="false">DEC2HEX($C$44,8)</f>
        <v>2A000001</v>
      </c>
      <c r="D45" s="17" t="s">
        <v>473</v>
      </c>
      <c r="E45" s="17" t="s">
        <v>560</v>
      </c>
      <c r="F45" s="17" t="s">
        <v>366</v>
      </c>
      <c r="G45" s="17" t="s">
        <v>396</v>
      </c>
    </row>
    <row r="46" customFormat="false" ht="15" hidden="false" customHeight="false" outlineLevel="0" collapsed="false">
      <c r="A46" s="17" t="s">
        <v>561</v>
      </c>
      <c r="B46" s="17" t="s">
        <v>562</v>
      </c>
      <c r="C46" s="31" t="n">
        <v>13</v>
      </c>
      <c r="D46" s="17" t="s">
        <v>563</v>
      </c>
      <c r="E46" s="17" t="s">
        <v>564</v>
      </c>
      <c r="F46" s="17" t="s">
        <v>565</v>
      </c>
      <c r="G46" s="17" t="s">
        <v>410</v>
      </c>
    </row>
    <row r="47" customFormat="false" ht="15" hidden="false" customHeight="false" outlineLevel="0" collapsed="false">
      <c r="A47" s="17" t="s">
        <v>566</v>
      </c>
      <c r="B47" s="17" t="s">
        <v>567</v>
      </c>
      <c r="C47" s="34" t="n">
        <f aca="false">21058*2^16+$C$46</f>
        <v>1380057101</v>
      </c>
      <c r="D47" s="17" t="s">
        <v>468</v>
      </c>
      <c r="E47" s="17" t="s">
        <v>568</v>
      </c>
      <c r="F47" s="17" t="s">
        <v>569</v>
      </c>
      <c r="G47" s="17" t="s">
        <v>396</v>
      </c>
    </row>
    <row r="48" customFormat="false" ht="15" hidden="false" customHeight="false" outlineLevel="0" collapsed="false">
      <c r="A48" s="17" t="s">
        <v>570</v>
      </c>
      <c r="B48" s="17" t="s">
        <v>571</v>
      </c>
      <c r="C48" s="32" t="str">
        <f aca="false">DEC2HEX($C$47,8)</f>
        <v>5242000D</v>
      </c>
      <c r="D48" s="17" t="s">
        <v>473</v>
      </c>
      <c r="E48" s="17"/>
      <c r="F48" s="17"/>
      <c r="G48" s="17" t="s">
        <v>396</v>
      </c>
    </row>
    <row r="49" customFormat="false" ht="15" hidden="false" customHeight="false" outlineLevel="0" collapsed="false">
      <c r="A49" s="17" t="s">
        <v>572</v>
      </c>
      <c r="B49" s="17" t="s">
        <v>573</v>
      </c>
      <c r="C49" s="31" t="n">
        <v>7</v>
      </c>
      <c r="D49" s="17" t="s">
        <v>525</v>
      </c>
      <c r="E49" s="17" t="s">
        <v>574</v>
      </c>
      <c r="F49" s="17" t="s">
        <v>575</v>
      </c>
      <c r="G49" s="17" t="s">
        <v>410</v>
      </c>
    </row>
    <row r="50" customFormat="false" ht="15" hidden="false" customHeight="false" outlineLevel="0" collapsed="false">
      <c r="A50" s="17" t="s">
        <v>576</v>
      </c>
      <c r="B50" s="17" t="s">
        <v>577</v>
      </c>
      <c r="C50" s="31" t="n">
        <v>3</v>
      </c>
      <c r="D50" s="17" t="s">
        <v>525</v>
      </c>
      <c r="E50" s="17" t="s">
        <v>578</v>
      </c>
      <c r="F50" s="17"/>
      <c r="G50" s="17" t="s">
        <v>410</v>
      </c>
    </row>
    <row r="51" customFormat="false" ht="15" hidden="false" customHeight="false" outlineLevel="0" collapsed="false">
      <c r="A51" s="17" t="s">
        <v>579</v>
      </c>
      <c r="B51" s="17" t="s">
        <v>580</v>
      </c>
      <c r="C51" s="31" t="n">
        <v>2</v>
      </c>
      <c r="D51" s="17" t="s">
        <v>525</v>
      </c>
      <c r="E51" s="17" t="s">
        <v>581</v>
      </c>
      <c r="F51" s="17"/>
      <c r="G51" s="17" t="s">
        <v>410</v>
      </c>
    </row>
    <row r="52" customFormat="false" ht="15" hidden="false" customHeight="false" outlineLevel="0" collapsed="false">
      <c r="A52" s="17" t="s">
        <v>582</v>
      </c>
      <c r="B52" s="17" t="s">
        <v>583</v>
      </c>
      <c r="C52" s="31" t="n">
        <v>1</v>
      </c>
      <c r="D52" s="17" t="s">
        <v>525</v>
      </c>
      <c r="E52" s="17" t="s">
        <v>584</v>
      </c>
      <c r="F52" s="17"/>
      <c r="G52" s="17" t="s">
        <v>410</v>
      </c>
    </row>
    <row r="53" customFormat="false" ht="15" hidden="false" customHeight="false" outlineLevel="0" collapsed="false">
      <c r="A53" s="17" t="s">
        <v>585</v>
      </c>
      <c r="B53" s="17" t="s">
        <v>586</v>
      </c>
      <c r="C53" s="34" t="n">
        <f aca="false">$C$49+$C$50*16+$C$51*256+$C$52*4096</f>
        <v>4663</v>
      </c>
      <c r="D53" s="17" t="s">
        <v>468</v>
      </c>
      <c r="E53" s="17" t="s">
        <v>587</v>
      </c>
      <c r="F53" s="17" t="s">
        <v>588</v>
      </c>
      <c r="G53" s="17" t="s">
        <v>396</v>
      </c>
    </row>
    <row r="54" customFormat="false" ht="15" hidden="false" customHeight="false" outlineLevel="0" collapsed="false">
      <c r="A54" s="17" t="s">
        <v>589</v>
      </c>
      <c r="B54" s="17" t="s">
        <v>590</v>
      </c>
      <c r="C54" s="32" t="str">
        <f aca="false">DEC2HEX($C$53,4)</f>
        <v>1237</v>
      </c>
      <c r="D54" s="17" t="s">
        <v>473</v>
      </c>
      <c r="E54" s="17"/>
      <c r="F54" s="17"/>
      <c r="G54" s="17" t="s">
        <v>396</v>
      </c>
    </row>
    <row r="55" customFormat="false" ht="19.5" hidden="false" customHeight="true" outlineLevel="0" collapsed="false">
      <c r="A55" s="21" t="s">
        <v>591</v>
      </c>
      <c r="B55" s="21"/>
      <c r="C55" s="21"/>
      <c r="D55" s="21"/>
      <c r="E55" s="21"/>
      <c r="F55" s="21"/>
      <c r="G55" s="21"/>
    </row>
    <row r="56" customFormat="false" ht="15" hidden="false" customHeight="false" outlineLevel="0" collapsed="false">
      <c r="A56" s="17" t="s">
        <v>592</v>
      </c>
      <c r="B56" s="17" t="s">
        <v>593</v>
      </c>
      <c r="C56" s="31" t="n">
        <v>4</v>
      </c>
      <c r="D56" s="17" t="s">
        <v>594</v>
      </c>
      <c r="E56" s="17" t="s">
        <v>595</v>
      </c>
      <c r="F56" s="17" t="s">
        <v>596</v>
      </c>
      <c r="G56" s="17" t="s">
        <v>410</v>
      </c>
    </row>
    <row r="57" customFormat="false" ht="15" hidden="false" customHeight="false" outlineLevel="0" collapsed="false">
      <c r="A57" s="17" t="s">
        <v>597</v>
      </c>
      <c r="B57" s="17" t="s">
        <v>598</v>
      </c>
      <c r="C57" s="36" t="n">
        <f aca="false">$C$10</f>
        <v>200</v>
      </c>
      <c r="D57" s="17" t="s">
        <v>407</v>
      </c>
      <c r="E57" s="17" t="s">
        <v>599</v>
      </c>
      <c r="F57" s="17"/>
      <c r="G57" s="17" t="s">
        <v>397</v>
      </c>
    </row>
    <row r="58" customFormat="false" ht="15" hidden="false" customHeight="false" outlineLevel="0" collapsed="false">
      <c r="A58" s="17" t="s">
        <v>600</v>
      </c>
      <c r="B58" s="17" t="s">
        <v>601</v>
      </c>
      <c r="C58" s="31" t="n">
        <v>4</v>
      </c>
      <c r="D58" s="17" t="s">
        <v>602</v>
      </c>
      <c r="E58" s="17" t="s">
        <v>603</v>
      </c>
      <c r="F58" s="17" t="s">
        <v>604</v>
      </c>
      <c r="G58" s="17" t="s">
        <v>410</v>
      </c>
    </row>
    <row r="59" customFormat="false" ht="15" hidden="false" customHeight="false" outlineLevel="0" collapsed="false">
      <c r="A59" s="17" t="s">
        <v>605</v>
      </c>
      <c r="B59" s="17" t="s">
        <v>606</v>
      </c>
      <c r="C59" s="31" t="n">
        <v>1600</v>
      </c>
      <c r="D59" s="17" t="s">
        <v>607</v>
      </c>
      <c r="E59" s="17" t="s">
        <v>608</v>
      </c>
      <c r="F59" s="17" t="s">
        <v>609</v>
      </c>
      <c r="G59" s="17" t="s">
        <v>410</v>
      </c>
    </row>
    <row r="60" customFormat="false" ht="15" hidden="false" customHeight="false" outlineLevel="0" collapsed="false">
      <c r="A60" s="17" t="s">
        <v>610</v>
      </c>
      <c r="B60" s="17" t="s">
        <v>611</v>
      </c>
      <c r="C60" s="31" t="n">
        <v>2400</v>
      </c>
      <c r="D60" s="17" t="s">
        <v>607</v>
      </c>
      <c r="E60" s="17" t="s">
        <v>612</v>
      </c>
      <c r="F60" s="17" t="s">
        <v>613</v>
      </c>
      <c r="G60" s="17" t="s">
        <v>410</v>
      </c>
    </row>
    <row r="61" customFormat="false" ht="15" hidden="false" customHeight="false" outlineLevel="0" collapsed="false">
      <c r="A61" s="17" t="s">
        <v>614</v>
      </c>
      <c r="B61" s="17" t="s">
        <v>615</v>
      </c>
      <c r="C61" s="33" t="n">
        <f aca="false">$C$56*$C$57*1000000*$C$58/1048576</f>
        <v>3051.7578125</v>
      </c>
      <c r="D61" s="17" t="s">
        <v>607</v>
      </c>
      <c r="E61" s="17" t="s">
        <v>616</v>
      </c>
      <c r="F61" s="17" t="s">
        <v>617</v>
      </c>
      <c r="G61" s="17" t="s">
        <v>396</v>
      </c>
    </row>
    <row r="62" customFormat="false" ht="15" hidden="false" customHeight="false" outlineLevel="0" collapsed="false">
      <c r="A62" s="17" t="s">
        <v>618</v>
      </c>
      <c r="B62" s="17" t="s">
        <v>619</v>
      </c>
      <c r="C62" s="33" t="n">
        <f aca="false">2*$C$57*1000000*$C$58/1048576</f>
        <v>1525.87890625</v>
      </c>
      <c r="D62" s="17" t="s">
        <v>607</v>
      </c>
      <c r="E62" s="17"/>
      <c r="F62" s="17"/>
      <c r="G62" s="17" t="s">
        <v>396</v>
      </c>
    </row>
    <row r="63" customFormat="false" ht="15" hidden="false" customHeight="false" outlineLevel="0" collapsed="false">
      <c r="A63" s="17" t="s">
        <v>620</v>
      </c>
      <c r="B63" s="17" t="s">
        <v>621</v>
      </c>
      <c r="C63" s="33" t="n">
        <f aca="false">1*$C$57*1000000*$C$58/1048576</f>
        <v>762.939453125</v>
      </c>
      <c r="D63" s="17" t="s">
        <v>607</v>
      </c>
      <c r="E63" s="17"/>
      <c r="F63" s="17"/>
      <c r="G63" s="17" t="s">
        <v>396</v>
      </c>
    </row>
    <row r="64" customFormat="false" ht="15" hidden="false" customHeight="false" outlineLevel="0" collapsed="false">
      <c r="A64" s="17" t="s">
        <v>622</v>
      </c>
      <c r="B64" s="17" t="s">
        <v>623</v>
      </c>
      <c r="C64" s="32" t="str">
        <f aca="false">IF($C$61&lt;=$C$59,"YES","NO - guard reduces channels")</f>
        <v>NO - guard reduces channels</v>
      </c>
      <c r="D64" s="17" t="s">
        <v>418</v>
      </c>
      <c r="E64" s="17" t="s">
        <v>624</v>
      </c>
      <c r="F64" s="17"/>
      <c r="G64" s="17" t="s">
        <v>396</v>
      </c>
    </row>
    <row r="65" customFormat="false" ht="15" hidden="false" customHeight="false" outlineLevel="0" collapsed="false">
      <c r="A65" s="17" t="s">
        <v>625</v>
      </c>
      <c r="B65" s="17" t="s">
        <v>626</v>
      </c>
      <c r="C65" s="34" t="n">
        <f aca="false">IF($C$61&lt;=$C$59,$C$56,IF(AND(2&lt;$C$56,$C$62&lt;=$C$59),2,1))</f>
        <v>2</v>
      </c>
      <c r="D65" s="17" t="s">
        <v>594</v>
      </c>
      <c r="E65" s="17" t="s">
        <v>627</v>
      </c>
      <c r="F65" s="17" t="s">
        <v>628</v>
      </c>
      <c r="G65" s="17" t="s">
        <v>396</v>
      </c>
    </row>
    <row r="66" customFormat="false" ht="15" hidden="false" customHeight="false" outlineLevel="0" collapsed="false">
      <c r="A66" s="17" t="s">
        <v>629</v>
      </c>
      <c r="B66" s="17" t="s">
        <v>630</v>
      </c>
      <c r="C66" s="34" t="n">
        <f aca="false">IF($C$65&gt;=4,3,IF($C$65&gt;=2,2,1))</f>
        <v>2</v>
      </c>
      <c r="D66" s="17" t="s">
        <v>631</v>
      </c>
      <c r="E66" s="17" t="s">
        <v>632</v>
      </c>
      <c r="F66" s="17" t="s">
        <v>633</v>
      </c>
      <c r="G66" s="17" t="s">
        <v>396</v>
      </c>
    </row>
    <row r="67" customFormat="false" ht="15" hidden="false" customHeight="false" outlineLevel="0" collapsed="false">
      <c r="A67" s="17" t="s">
        <v>634</v>
      </c>
      <c r="B67" s="17" t="s">
        <v>635</v>
      </c>
      <c r="C67" s="33" t="n">
        <f aca="false">$C$60-$C$61</f>
        <v>-651.7578125</v>
      </c>
      <c r="D67" s="17" t="s">
        <v>607</v>
      </c>
      <c r="E67" s="17" t="s">
        <v>636</v>
      </c>
      <c r="F67" s="17"/>
      <c r="G67" s="17" t="s">
        <v>396</v>
      </c>
    </row>
    <row r="68" customFormat="false" ht="15" hidden="false" customHeight="false" outlineLevel="0" collapsed="false">
      <c r="A68" s="17" t="s">
        <v>637</v>
      </c>
      <c r="B68" s="17" t="s">
        <v>638</v>
      </c>
      <c r="C68" s="32" t="str">
        <f aca="false">IF($C$61&gt;$C$60,"OVERFLOW - driver resets QDMA (H2C hit)","OK")</f>
        <v>OVERFLOW - driver resets QDMA (H2C hit)</v>
      </c>
      <c r="D68" s="17" t="s">
        <v>418</v>
      </c>
      <c r="E68" s="17" t="s">
        <v>639</v>
      </c>
      <c r="F68" s="17" t="s">
        <v>640</v>
      </c>
      <c r="G68" s="17" t="s">
        <v>396</v>
      </c>
    </row>
    <row r="69" customFormat="false" ht="15" hidden="false" customHeight="false" outlineLevel="0" collapsed="false">
      <c r="A69" s="17" t="s">
        <v>641</v>
      </c>
      <c r="B69" s="17" t="s">
        <v>642</v>
      </c>
      <c r="C69" s="31" t="n">
        <v>1526</v>
      </c>
      <c r="D69" s="17" t="s">
        <v>607</v>
      </c>
      <c r="E69" s="17" t="s">
        <v>643</v>
      </c>
      <c r="F69" s="17"/>
      <c r="G69" s="17" t="s">
        <v>410</v>
      </c>
    </row>
    <row r="70" customFormat="false" ht="15" hidden="false" customHeight="false" outlineLevel="0" collapsed="false">
      <c r="A70" s="17" t="s">
        <v>644</v>
      </c>
      <c r="B70" s="17" t="s">
        <v>645</v>
      </c>
      <c r="C70" s="33" t="n">
        <f aca="false">$C$69/$C$63</f>
        <v>2.00015872</v>
      </c>
      <c r="D70" s="17" t="s">
        <v>413</v>
      </c>
      <c r="E70" s="17"/>
      <c r="F70" s="17"/>
      <c r="G70" s="17" t="s">
        <v>396</v>
      </c>
    </row>
    <row r="71" customFormat="false" ht="15" hidden="false" customHeight="false" outlineLevel="0" collapsed="false">
      <c r="A71" s="17" t="s">
        <v>646</v>
      </c>
      <c r="B71" s="17" t="s">
        <v>647</v>
      </c>
      <c r="C71" s="32" t="n">
        <f aca="false">IF(ABS($C$70-1)&lt;=0.15,1,IF(ABS($C$70-2)&lt;=0.3,2,IF(ABS($C$70-4)&lt;=0.6,4,IF(ABS($C$70-8)&lt;=1.2,8,"none - overloaded"))))</f>
        <v>2</v>
      </c>
      <c r="D71" s="17" t="s">
        <v>594</v>
      </c>
      <c r="E71" s="17" t="s">
        <v>648</v>
      </c>
      <c r="F71" s="17" t="s">
        <v>649</v>
      </c>
      <c r="G71" s="17" t="s">
        <v>396</v>
      </c>
    </row>
    <row r="72" customFormat="false" ht="15" hidden="false" customHeight="false" outlineLevel="0" collapsed="false">
      <c r="A72" s="17" t="s">
        <v>650</v>
      </c>
      <c r="B72" s="17" t="s">
        <v>651</v>
      </c>
      <c r="C72" s="31" t="n">
        <v>64</v>
      </c>
      <c r="D72" s="17" t="s">
        <v>652</v>
      </c>
      <c r="E72" s="17" t="s">
        <v>653</v>
      </c>
      <c r="F72" s="17" t="s">
        <v>344</v>
      </c>
      <c r="G72" s="17" t="s">
        <v>410</v>
      </c>
    </row>
    <row r="73" customFormat="false" ht="15" hidden="false" customHeight="false" outlineLevel="0" collapsed="false">
      <c r="A73" s="17" t="s">
        <v>654</v>
      </c>
      <c r="B73" s="17" t="s">
        <v>655</v>
      </c>
      <c r="C73" s="33" t="n">
        <f aca="false">$C$72/$C$61*1000</f>
        <v>20.97152</v>
      </c>
      <c r="D73" s="17" t="s">
        <v>656</v>
      </c>
      <c r="E73" s="17" t="s">
        <v>657</v>
      </c>
      <c r="F73" s="17"/>
      <c r="G73" s="17" t="s">
        <v>396</v>
      </c>
    </row>
    <row r="74" customFormat="false" ht="15" hidden="false" customHeight="false" outlineLevel="0" collapsed="false">
      <c r="A74" s="17" t="s">
        <v>658</v>
      </c>
      <c r="B74" s="17" t="s">
        <v>659</v>
      </c>
      <c r="C74" s="31" t="n">
        <v>1024</v>
      </c>
      <c r="D74" s="17" t="s">
        <v>660</v>
      </c>
      <c r="E74" s="17" t="s">
        <v>661</v>
      </c>
      <c r="F74" s="17" t="s">
        <v>662</v>
      </c>
      <c r="G74" s="17" t="s">
        <v>410</v>
      </c>
    </row>
    <row r="75" customFormat="false" ht="15" hidden="false" customHeight="false" outlineLevel="0" collapsed="false">
      <c r="A75" s="17" t="s">
        <v>663</v>
      </c>
      <c r="B75" s="17" t="s">
        <v>664</v>
      </c>
      <c r="C75" s="33" t="n">
        <f aca="false">$C$74/1024/$C$61*1000000</f>
        <v>327.68</v>
      </c>
      <c r="D75" s="17" t="s">
        <v>665</v>
      </c>
      <c r="E75" s="17"/>
      <c r="F75" s="17"/>
      <c r="G75" s="17" t="s">
        <v>396</v>
      </c>
    </row>
    <row r="76" customFormat="false" ht="19.5" hidden="false" customHeight="true" outlineLevel="0" collapsed="false">
      <c r="A76" s="21" t="s">
        <v>666</v>
      </c>
      <c r="B76" s="21"/>
      <c r="C76" s="21"/>
      <c r="D76" s="21"/>
      <c r="E76" s="21"/>
      <c r="F76" s="21"/>
      <c r="G76" s="21"/>
    </row>
    <row r="77" customFormat="false" ht="15" hidden="false" customHeight="false" outlineLevel="0" collapsed="false">
      <c r="A77" s="17" t="s">
        <v>667</v>
      </c>
      <c r="B77" s="17" t="s">
        <v>668</v>
      </c>
      <c r="C77" s="31" t="n">
        <v>4</v>
      </c>
      <c r="D77" s="17" t="s">
        <v>602</v>
      </c>
      <c r="E77" s="17" t="s">
        <v>603</v>
      </c>
      <c r="F77" s="17" t="s">
        <v>669</v>
      </c>
      <c r="G77" s="17" t="s">
        <v>410</v>
      </c>
    </row>
    <row r="78" customFormat="false" ht="15" hidden="false" customHeight="false" outlineLevel="0" collapsed="false">
      <c r="A78" s="17" t="s">
        <v>670</v>
      </c>
      <c r="B78" s="17" t="s">
        <v>671</v>
      </c>
      <c r="C78" s="36" t="n">
        <f aca="false">$C$14*1000000</f>
        <v>200000000</v>
      </c>
      <c r="D78" s="17" t="s">
        <v>672</v>
      </c>
      <c r="E78" s="17" t="s">
        <v>673</v>
      </c>
      <c r="F78" s="17"/>
      <c r="G78" s="17" t="s">
        <v>397</v>
      </c>
    </row>
    <row r="79" customFormat="false" ht="15" hidden="false" customHeight="false" outlineLevel="0" collapsed="false">
      <c r="A79" s="17" t="s">
        <v>674</v>
      </c>
      <c r="B79" s="17" t="s">
        <v>675</v>
      </c>
      <c r="C79" s="33" t="n">
        <f aca="false">$C$78*$C$77/1048576</f>
        <v>762.939453125</v>
      </c>
      <c r="D79" s="17" t="s">
        <v>607</v>
      </c>
      <c r="E79" s="17" t="s">
        <v>676</v>
      </c>
      <c r="F79" s="17" t="s">
        <v>677</v>
      </c>
      <c r="G79" s="17" t="s">
        <v>396</v>
      </c>
    </row>
    <row r="80" customFormat="false" ht="15" hidden="false" customHeight="false" outlineLevel="0" collapsed="false">
      <c r="A80" s="17" t="s">
        <v>678</v>
      </c>
      <c r="B80" s="17" t="s">
        <v>679</v>
      </c>
      <c r="C80" s="35" t="n">
        <v>1048576</v>
      </c>
      <c r="D80" s="17" t="s">
        <v>602</v>
      </c>
      <c r="E80" s="17" t="s">
        <v>680</v>
      </c>
      <c r="F80" s="17" t="s">
        <v>681</v>
      </c>
      <c r="G80" s="17" t="s">
        <v>410</v>
      </c>
    </row>
    <row r="81" customFormat="false" ht="15" hidden="false" customHeight="false" outlineLevel="0" collapsed="false">
      <c r="A81" s="17" t="s">
        <v>682</v>
      </c>
      <c r="B81" s="17" t="s">
        <v>683</v>
      </c>
      <c r="C81" s="34" t="n">
        <f aca="false">MIN(MAX($C$80-MOD($C$80,4),1024),67108864)</f>
        <v>1048576</v>
      </c>
      <c r="D81" s="17" t="s">
        <v>602</v>
      </c>
      <c r="E81" s="17" t="s">
        <v>684</v>
      </c>
      <c r="F81" s="17" t="s">
        <v>685</v>
      </c>
      <c r="G81" s="17" t="s">
        <v>396</v>
      </c>
    </row>
    <row r="82" customFormat="false" ht="15" hidden="false" customHeight="false" outlineLevel="0" collapsed="false">
      <c r="A82" s="17" t="s">
        <v>686</v>
      </c>
      <c r="B82" s="17" t="s">
        <v>687</v>
      </c>
      <c r="C82" s="34" t="n">
        <f aca="false">$C$81/$C$77</f>
        <v>262144</v>
      </c>
      <c r="D82" s="17" t="s">
        <v>688</v>
      </c>
      <c r="E82" s="17" t="s">
        <v>689</v>
      </c>
      <c r="F82" s="17" t="s">
        <v>690</v>
      </c>
      <c r="G82" s="17" t="s">
        <v>396</v>
      </c>
    </row>
    <row r="83" customFormat="false" ht="15" hidden="false" customHeight="false" outlineLevel="0" collapsed="false">
      <c r="A83" s="17" t="s">
        <v>691</v>
      </c>
      <c r="B83" s="17" t="s">
        <v>692</v>
      </c>
      <c r="C83" s="33" t="n">
        <f aca="false">$C$78/$C$82</f>
        <v>762.939453125</v>
      </c>
      <c r="D83" s="17" t="s">
        <v>485</v>
      </c>
      <c r="E83" s="17" t="s">
        <v>693</v>
      </c>
      <c r="F83" s="17" t="s">
        <v>694</v>
      </c>
      <c r="G83" s="17" t="s">
        <v>396</v>
      </c>
    </row>
    <row r="84" customFormat="false" ht="15" hidden="false" customHeight="false" outlineLevel="0" collapsed="false">
      <c r="A84" s="17" t="s">
        <v>695</v>
      </c>
      <c r="B84" s="17" t="s">
        <v>696</v>
      </c>
      <c r="C84" s="33" t="n">
        <f aca="false">$C$82/$C$78*1000</f>
        <v>1.31072</v>
      </c>
      <c r="D84" s="17" t="s">
        <v>656</v>
      </c>
      <c r="E84" s="17" t="s">
        <v>697</v>
      </c>
      <c r="F84" s="17"/>
      <c r="G84" s="17" t="s">
        <v>396</v>
      </c>
    </row>
    <row r="85" customFormat="false" ht="15" hidden="false" customHeight="false" outlineLevel="0" collapsed="false">
      <c r="A85" s="17" t="s">
        <v>698</v>
      </c>
      <c r="B85" s="17" t="s">
        <v>699</v>
      </c>
      <c r="C85" s="34" t="n">
        <f aca="false">$C$81/4096</f>
        <v>256</v>
      </c>
      <c r="D85" s="17" t="s">
        <v>700</v>
      </c>
      <c r="E85" s="17" t="s">
        <v>701</v>
      </c>
      <c r="F85" s="17" t="s">
        <v>677</v>
      </c>
      <c r="G85" s="17" t="s">
        <v>396</v>
      </c>
    </row>
    <row r="86" customFormat="false" ht="15" hidden="false" customHeight="false" outlineLevel="0" collapsed="false">
      <c r="A86" s="17" t="s">
        <v>702</v>
      </c>
      <c r="B86" s="17" t="s">
        <v>703</v>
      </c>
      <c r="C86" s="35" t="n">
        <v>10000000</v>
      </c>
      <c r="D86" s="17" t="s">
        <v>485</v>
      </c>
      <c r="E86" s="17" t="s">
        <v>704</v>
      </c>
      <c r="F86" s="17" t="s">
        <v>669</v>
      </c>
      <c r="G86" s="17" t="s">
        <v>410</v>
      </c>
    </row>
    <row r="87" customFormat="false" ht="15" hidden="false" customHeight="false" outlineLevel="0" collapsed="false">
      <c r="A87" s="17" t="s">
        <v>705</v>
      </c>
      <c r="B87" s="17" t="s">
        <v>706</v>
      </c>
      <c r="C87" s="34" t="n">
        <f aca="false">ROUND($C$86*$C$82/$C$78,0)</f>
        <v>13107</v>
      </c>
      <c r="D87" s="17" t="s">
        <v>707</v>
      </c>
      <c r="E87" s="17" t="s">
        <v>708</v>
      </c>
      <c r="F87" s="17" t="s">
        <v>709</v>
      </c>
      <c r="G87" s="17" t="s">
        <v>396</v>
      </c>
    </row>
    <row r="88" customFormat="false" ht="15" hidden="false" customHeight="false" outlineLevel="0" collapsed="false">
      <c r="A88" s="17" t="s">
        <v>710</v>
      </c>
      <c r="B88" s="17" t="s">
        <v>711</v>
      </c>
      <c r="C88" s="33" t="n">
        <f aca="false">$C$87*$C$78/$C$82</f>
        <v>9999847.41210938</v>
      </c>
      <c r="D88" s="17" t="s">
        <v>485</v>
      </c>
      <c r="E88" s="17" t="s">
        <v>712</v>
      </c>
      <c r="F88" s="17" t="s">
        <v>713</v>
      </c>
      <c r="G88" s="17" t="s">
        <v>396</v>
      </c>
    </row>
    <row r="89" customFormat="false" ht="15" hidden="false" customHeight="false" outlineLevel="0" collapsed="false">
      <c r="A89" s="17" t="s">
        <v>714</v>
      </c>
      <c r="B89" s="17" t="s">
        <v>715</v>
      </c>
      <c r="C89" s="33" t="n">
        <f aca="false">$C$88-$C$86</f>
        <v>-152.587890625</v>
      </c>
      <c r="D89" s="17" t="s">
        <v>485</v>
      </c>
      <c r="E89" s="17" t="s">
        <v>716</v>
      </c>
      <c r="F89" s="17"/>
      <c r="G89" s="17" t="s">
        <v>396</v>
      </c>
    </row>
    <row r="90" customFormat="false" ht="22.35" hidden="false" customHeight="false" outlineLevel="0" collapsed="false">
      <c r="A90" s="17" t="s">
        <v>717</v>
      </c>
      <c r="B90" s="17" t="s">
        <v>718</v>
      </c>
      <c r="C90" s="31" t="n">
        <v>3.9</v>
      </c>
      <c r="D90" s="17" t="s">
        <v>665</v>
      </c>
      <c r="E90" s="17" t="s">
        <v>719</v>
      </c>
      <c r="F90" s="17" t="s">
        <v>677</v>
      </c>
      <c r="G90" s="17" t="s">
        <v>410</v>
      </c>
    </row>
    <row r="91" customFormat="false" ht="15" hidden="false" customHeight="false" outlineLevel="0" collapsed="false">
      <c r="A91" s="17" t="s">
        <v>720</v>
      </c>
      <c r="B91" s="17" t="s">
        <v>721</v>
      </c>
      <c r="C91" s="37" t="n">
        <f aca="false">($C$81/($C$79*1048576))/($C$81/($C$79*1048576)+$C$90/1000000)</f>
        <v>0.997033363253259</v>
      </c>
      <c r="D91" s="17" t="s">
        <v>722</v>
      </c>
      <c r="E91" s="17" t="s">
        <v>723</v>
      </c>
      <c r="F91" s="17"/>
      <c r="G91" s="17" t="s">
        <v>396</v>
      </c>
    </row>
    <row r="92" customFormat="false" ht="15" hidden="false" customHeight="false" outlineLevel="0" collapsed="false">
      <c r="A92" s="17" t="s">
        <v>724</v>
      </c>
      <c r="B92" s="17" t="s">
        <v>725</v>
      </c>
      <c r="C92" s="33" t="n">
        <f aca="false">$C$79*$C$91</f>
        <v>760.676088907821</v>
      </c>
      <c r="D92" s="17" t="s">
        <v>607</v>
      </c>
      <c r="E92" s="17" t="s">
        <v>726</v>
      </c>
      <c r="F92" s="17"/>
      <c r="G92" s="17" t="s">
        <v>396</v>
      </c>
    </row>
    <row r="93" customFormat="false" ht="15" hidden="false" customHeight="false" outlineLevel="0" collapsed="false">
      <c r="A93" s="17" t="s">
        <v>727</v>
      </c>
      <c r="B93" s="17" t="s">
        <v>728</v>
      </c>
      <c r="C93" s="33" t="n">
        <f aca="false">$C$79-$C$92</f>
        <v>2.26336421717883</v>
      </c>
      <c r="D93" s="17" t="s">
        <v>607</v>
      </c>
      <c r="E93" s="17" t="s">
        <v>729</v>
      </c>
      <c r="F93" s="17"/>
      <c r="G93" s="17" t="s">
        <v>396</v>
      </c>
    </row>
    <row r="94" customFormat="false" ht="15" hidden="false" customHeight="false" outlineLevel="0" collapsed="false">
      <c r="A94" s="17" t="s">
        <v>730</v>
      </c>
      <c r="B94" s="17" t="s">
        <v>731</v>
      </c>
      <c r="C94" s="32" t="str">
        <f aca="false">IF($C$91&gt;=0.995,"YES","NO - starves (raise chunk size)")</f>
        <v>YES</v>
      </c>
      <c r="D94" s="17" t="s">
        <v>418</v>
      </c>
      <c r="E94" s="17"/>
      <c r="F94" s="17"/>
      <c r="G94" s="17" t="s">
        <v>396</v>
      </c>
    </row>
    <row r="95" customFormat="false" ht="15" hidden="false" customHeight="false" outlineLevel="0" collapsed="false">
      <c r="A95" s="17" t="s">
        <v>732</v>
      </c>
      <c r="B95" s="17" t="s">
        <v>733</v>
      </c>
      <c r="C95" s="31" t="n">
        <v>100</v>
      </c>
      <c r="D95" s="17" t="s">
        <v>656</v>
      </c>
      <c r="E95" s="17" t="s">
        <v>734</v>
      </c>
      <c r="F95" s="17" t="s">
        <v>735</v>
      </c>
      <c r="G95" s="17" t="s">
        <v>410</v>
      </c>
    </row>
    <row r="96" customFormat="false" ht="15" hidden="false" customHeight="false" outlineLevel="0" collapsed="false">
      <c r="A96" s="17" t="s">
        <v>736</v>
      </c>
      <c r="B96" s="17" t="s">
        <v>737</v>
      </c>
      <c r="C96" s="31" t="n">
        <v>2000</v>
      </c>
      <c r="D96" s="17" t="s">
        <v>656</v>
      </c>
      <c r="E96" s="17" t="s">
        <v>530</v>
      </c>
      <c r="F96" s="17" t="s">
        <v>735</v>
      </c>
      <c r="G96" s="17" t="s">
        <v>410</v>
      </c>
    </row>
    <row r="97" customFormat="false" ht="15" hidden="false" customHeight="false" outlineLevel="0" collapsed="false">
      <c r="A97" s="17" t="s">
        <v>738</v>
      </c>
      <c r="B97" s="17" t="s">
        <v>739</v>
      </c>
      <c r="C97" s="34" t="n">
        <f aca="false">$C$96/$C$95</f>
        <v>20</v>
      </c>
      <c r="D97" s="17" t="s">
        <v>740</v>
      </c>
      <c r="E97" s="17"/>
      <c r="F97" s="17"/>
      <c r="G97" s="17" t="s">
        <v>396</v>
      </c>
    </row>
    <row r="98" customFormat="false" ht="15" hidden="false" customHeight="false" outlineLevel="0" collapsed="false">
      <c r="A98" s="17" t="s">
        <v>741</v>
      </c>
      <c r="B98" s="17" t="s">
        <v>742</v>
      </c>
      <c r="C98" s="31" t="n">
        <v>17</v>
      </c>
      <c r="D98" s="17" t="s">
        <v>656</v>
      </c>
      <c r="E98" s="17" t="s">
        <v>743</v>
      </c>
      <c r="F98" s="17" t="s">
        <v>744</v>
      </c>
      <c r="G98" s="17" t="s">
        <v>410</v>
      </c>
    </row>
    <row r="99" customFormat="false" ht="15" hidden="false" customHeight="false" outlineLevel="0" collapsed="false">
      <c r="A99" s="17" t="s">
        <v>745</v>
      </c>
      <c r="B99" s="17" t="s">
        <v>746</v>
      </c>
      <c r="C99" s="31" t="n">
        <v>5</v>
      </c>
      <c r="D99" s="17" t="s">
        <v>747</v>
      </c>
      <c r="E99" s="17" t="s">
        <v>748</v>
      </c>
      <c r="F99" s="17"/>
      <c r="G99" s="17" t="s">
        <v>410</v>
      </c>
    </row>
    <row r="100" customFormat="false" ht="15" hidden="false" customHeight="false" outlineLevel="0" collapsed="false">
      <c r="A100" s="17" t="s">
        <v>749</v>
      </c>
      <c r="B100" s="17" t="s">
        <v>750</v>
      </c>
      <c r="C100" s="37" t="n">
        <f aca="false">MIN(1,$C$99*$C$98/1000)</f>
        <v>0.085</v>
      </c>
      <c r="D100" s="17" t="s">
        <v>722</v>
      </c>
      <c r="E100" s="17"/>
      <c r="F100" s="17"/>
      <c r="G100" s="17" t="s">
        <v>396</v>
      </c>
    </row>
    <row r="101" customFormat="false" ht="15" hidden="false" customHeight="false" outlineLevel="0" collapsed="false">
      <c r="A101" s="17" t="s">
        <v>751</v>
      </c>
      <c r="B101" s="17" t="s">
        <v>752</v>
      </c>
      <c r="C101" s="34" t="n">
        <f aca="false">$C$98/1000*$C$78</f>
        <v>3400000</v>
      </c>
      <c r="D101" s="17" t="s">
        <v>753</v>
      </c>
      <c r="E101" s="17"/>
      <c r="F101" s="17"/>
      <c r="G101" s="17" t="s">
        <v>396</v>
      </c>
    </row>
    <row r="102" customFormat="false" ht="19.5" hidden="false" customHeight="true" outlineLevel="0" collapsed="false">
      <c r="A102" s="21" t="s">
        <v>754</v>
      </c>
      <c r="B102" s="21"/>
      <c r="C102" s="21"/>
      <c r="D102" s="21"/>
      <c r="E102" s="21"/>
      <c r="F102" s="21"/>
      <c r="G102" s="21"/>
    </row>
    <row r="103" customFormat="false" ht="15" hidden="false" customHeight="false" outlineLevel="0" collapsed="false">
      <c r="A103" s="17" t="s">
        <v>755</v>
      </c>
      <c r="B103" s="17" t="s">
        <v>756</v>
      </c>
      <c r="C103" s="31" t="n">
        <v>0.9</v>
      </c>
      <c r="D103" s="17" t="s">
        <v>757</v>
      </c>
      <c r="E103" s="17" t="s">
        <v>758</v>
      </c>
      <c r="F103" s="17" t="s">
        <v>669</v>
      </c>
      <c r="G103" s="17" t="s">
        <v>410</v>
      </c>
    </row>
    <row r="104" customFormat="false" ht="15" hidden="false" customHeight="false" outlineLevel="0" collapsed="false">
      <c r="A104" s="17" t="s">
        <v>759</v>
      </c>
      <c r="B104" s="17" t="s">
        <v>760</v>
      </c>
      <c r="C104" s="31" t="n">
        <v>1</v>
      </c>
      <c r="D104" s="17" t="s">
        <v>418</v>
      </c>
      <c r="E104" s="17" t="s">
        <v>761</v>
      </c>
      <c r="F104" s="17" t="s">
        <v>762</v>
      </c>
      <c r="G104" s="17" t="s">
        <v>410</v>
      </c>
    </row>
    <row r="105" customFormat="false" ht="15" hidden="false" customHeight="false" outlineLevel="0" collapsed="false">
      <c r="A105" s="17" t="s">
        <v>763</v>
      </c>
      <c r="B105" s="17" t="s">
        <v>764</v>
      </c>
      <c r="C105" s="34" t="n">
        <f aca="false">MAX(-8191,MIN(8191,ROUND($C$104*$C$103*8191,0)))</f>
        <v>7372</v>
      </c>
      <c r="D105" s="17" t="s">
        <v>765</v>
      </c>
      <c r="E105" s="17" t="s">
        <v>766</v>
      </c>
      <c r="F105" s="17" t="s">
        <v>767</v>
      </c>
      <c r="G105" s="17" t="s">
        <v>396</v>
      </c>
    </row>
    <row r="106" customFormat="false" ht="15" hidden="false" customHeight="false" outlineLevel="0" collapsed="false">
      <c r="A106" s="17" t="s">
        <v>768</v>
      </c>
      <c r="B106" s="17" t="s">
        <v>769</v>
      </c>
      <c r="C106" s="34" t="n">
        <f aca="false">$C$105*4</f>
        <v>29488</v>
      </c>
      <c r="D106" s="17" t="s">
        <v>770</v>
      </c>
      <c r="E106" s="17" t="s">
        <v>771</v>
      </c>
      <c r="F106" s="17" t="s">
        <v>767</v>
      </c>
      <c r="G106" s="17" t="s">
        <v>396</v>
      </c>
    </row>
    <row r="107" customFormat="false" ht="15" hidden="false" customHeight="false" outlineLevel="0" collapsed="false">
      <c r="A107" s="17" t="s">
        <v>772</v>
      </c>
      <c r="B107" s="17" t="s">
        <v>773</v>
      </c>
      <c r="C107" s="32" t="str">
        <f aca="false">DEC2HEX(IF($C$106&lt;0,65536+$C$106,$C$106),4)</f>
        <v>7330</v>
      </c>
      <c r="D107" s="17" t="s">
        <v>473</v>
      </c>
      <c r="E107" s="17"/>
      <c r="F107" s="17"/>
      <c r="G107" s="17" t="s">
        <v>396</v>
      </c>
    </row>
    <row r="108" customFormat="false" ht="15" hidden="false" customHeight="false" outlineLevel="0" collapsed="false">
      <c r="A108" s="17" t="s">
        <v>774</v>
      </c>
      <c r="B108" s="17" t="s">
        <v>775</v>
      </c>
      <c r="C108" s="34" t="n">
        <f aca="false">MOD(IF($C$106&lt;0,65536+$C$106,$C$106),4)</f>
        <v>0</v>
      </c>
      <c r="D108" s="17" t="s">
        <v>418</v>
      </c>
      <c r="E108" s="17" t="s">
        <v>776</v>
      </c>
      <c r="F108" s="17" t="s">
        <v>777</v>
      </c>
      <c r="G108" s="17" t="s">
        <v>396</v>
      </c>
    </row>
    <row r="109" customFormat="false" ht="15" hidden="false" customHeight="false" outlineLevel="0" collapsed="false">
      <c r="A109" s="17" t="s">
        <v>778</v>
      </c>
      <c r="B109" s="17" t="s">
        <v>779</v>
      </c>
      <c r="C109" s="34" t="n">
        <f aca="false">8191*4</f>
        <v>32764</v>
      </c>
      <c r="D109" s="17" t="s">
        <v>770</v>
      </c>
      <c r="E109" s="17" t="s">
        <v>780</v>
      </c>
      <c r="F109" s="17" t="s">
        <v>781</v>
      </c>
      <c r="G109" s="17" t="s">
        <v>396</v>
      </c>
    </row>
    <row r="110" customFormat="false" ht="15" hidden="false" customHeight="false" outlineLevel="0" collapsed="false">
      <c r="A110" s="17" t="s">
        <v>782</v>
      </c>
      <c r="B110" s="17" t="s">
        <v>783</v>
      </c>
      <c r="C110" s="33" t="n">
        <f aca="false">20*LOG10($C$103)</f>
        <v>-0.915149811213502</v>
      </c>
      <c r="D110" s="17" t="s">
        <v>784</v>
      </c>
      <c r="E110" s="17"/>
      <c r="F110" s="17"/>
      <c r="G110" s="17" t="s">
        <v>396</v>
      </c>
    </row>
    <row r="111" customFormat="false" ht="19.5" hidden="false" customHeight="true" outlineLevel="0" collapsed="false">
      <c r="A111" s="21" t="s">
        <v>785</v>
      </c>
      <c r="B111" s="21"/>
      <c r="C111" s="21"/>
      <c r="D111" s="21"/>
      <c r="E111" s="21"/>
      <c r="F111" s="21"/>
      <c r="G111" s="21"/>
    </row>
    <row r="112" customFormat="false" ht="15" hidden="false" customHeight="false" outlineLevel="0" collapsed="false">
      <c r="A112" s="17" t="s">
        <v>786</v>
      </c>
      <c r="B112" s="17" t="s">
        <v>787</v>
      </c>
      <c r="C112" s="31" t="n">
        <v>2048</v>
      </c>
      <c r="D112" s="17" t="s">
        <v>788</v>
      </c>
      <c r="E112" s="17" t="s">
        <v>789</v>
      </c>
      <c r="F112" s="17" t="s">
        <v>790</v>
      </c>
      <c r="G112" s="17" t="s">
        <v>410</v>
      </c>
    </row>
    <row r="113" customFormat="false" ht="15" hidden="false" customHeight="false" outlineLevel="0" collapsed="false">
      <c r="A113" s="17" t="s">
        <v>791</v>
      </c>
      <c r="B113" s="17" t="s">
        <v>792</v>
      </c>
      <c r="C113" s="32" t="str">
        <f aca="false">IF(AND($C$112&gt;=2,ROUND(LOG($C$112,2),9)=INT(ROUND(LOG($C$112,2),9))),"YES","NO")</f>
        <v>YES</v>
      </c>
      <c r="D113" s="17" t="s">
        <v>418</v>
      </c>
      <c r="E113" s="17" t="s">
        <v>793</v>
      </c>
      <c r="F113" s="17" t="s">
        <v>794</v>
      </c>
      <c r="G113" s="17" t="s">
        <v>396</v>
      </c>
    </row>
    <row r="114" customFormat="false" ht="15" hidden="false" customHeight="false" outlineLevel="0" collapsed="false">
      <c r="A114" s="17" t="s">
        <v>795</v>
      </c>
      <c r="B114" s="17" t="s">
        <v>796</v>
      </c>
      <c r="C114" s="31" t="s">
        <v>797</v>
      </c>
      <c r="D114" s="17" t="s">
        <v>418</v>
      </c>
      <c r="E114" s="17" t="s">
        <v>798</v>
      </c>
      <c r="F114" s="17" t="s">
        <v>799</v>
      </c>
      <c r="G114" s="17" t="s">
        <v>410</v>
      </c>
    </row>
    <row r="115" customFormat="false" ht="15" hidden="false" customHeight="false" outlineLevel="0" collapsed="false">
      <c r="A115" s="17" t="s">
        <v>800</v>
      </c>
      <c r="B115" s="17" t="s">
        <v>801</v>
      </c>
      <c r="C115" s="33" t="n">
        <f aca="false">$C$17*1000000/$C$112</f>
        <v>97656.25</v>
      </c>
      <c r="D115" s="17" t="s">
        <v>485</v>
      </c>
      <c r="E115" s="17" t="s">
        <v>802</v>
      </c>
      <c r="F115" s="17" t="s">
        <v>803</v>
      </c>
      <c r="G115" s="17" t="s">
        <v>396</v>
      </c>
    </row>
    <row r="116" customFormat="false" ht="15" hidden="false" customHeight="false" outlineLevel="0" collapsed="false">
      <c r="A116" s="17" t="s">
        <v>804</v>
      </c>
      <c r="B116" s="17" t="s">
        <v>805</v>
      </c>
      <c r="C116" s="33" t="n">
        <f aca="false">INDEX('Calc Tables'!$E$6:$E$11,MATCH($C$114,'Calc Tables'!$A$6:$A$11,0))</f>
        <v>2.00435293821705</v>
      </c>
      <c r="D116" s="17" t="s">
        <v>788</v>
      </c>
      <c r="E116" s="17" t="s">
        <v>806</v>
      </c>
      <c r="F116" s="17" t="s">
        <v>807</v>
      </c>
      <c r="G116" s="17" t="s">
        <v>396</v>
      </c>
    </row>
    <row r="117" customFormat="false" ht="15" hidden="false" customHeight="false" outlineLevel="0" collapsed="false">
      <c r="A117" s="17" t="s">
        <v>808</v>
      </c>
      <c r="B117" s="17" t="s">
        <v>809</v>
      </c>
      <c r="C117" s="33" t="n">
        <f aca="false">INDEX('Calc Tables'!$G$6:$G$11,MATCH($C$114,'Calc Tables'!$A$6:$A$11,0))</f>
        <v>0.35875</v>
      </c>
      <c r="D117" s="17" t="s">
        <v>418</v>
      </c>
      <c r="E117" s="17" t="s">
        <v>810</v>
      </c>
      <c r="F117" s="17" t="s">
        <v>811</v>
      </c>
      <c r="G117" s="17" t="s">
        <v>396</v>
      </c>
    </row>
    <row r="118" customFormat="false" ht="15" hidden="false" customHeight="false" outlineLevel="0" collapsed="false">
      <c r="A118" s="17" t="s">
        <v>812</v>
      </c>
      <c r="B118" s="17" t="s">
        <v>813</v>
      </c>
      <c r="C118" s="33" t="n">
        <f aca="false">$C$116*$C$115</f>
        <v>195737.591622759</v>
      </c>
      <c r="D118" s="17" t="s">
        <v>485</v>
      </c>
      <c r="E118" s="17"/>
      <c r="F118" s="17"/>
      <c r="G118" s="17" t="s">
        <v>396</v>
      </c>
    </row>
    <row r="119" customFormat="false" ht="15" hidden="false" customHeight="false" outlineLevel="0" collapsed="false">
      <c r="A119" s="17" t="s">
        <v>814</v>
      </c>
      <c r="B119" s="17" t="s">
        <v>815</v>
      </c>
      <c r="C119" s="33" t="n">
        <f aca="false">10*LOG10($C$112/$C$116)</f>
        <v>30.093557552562</v>
      </c>
      <c r="D119" s="17" t="s">
        <v>492</v>
      </c>
      <c r="E119" s="17" t="s">
        <v>816</v>
      </c>
      <c r="F119" s="17"/>
      <c r="G119" s="17" t="s">
        <v>396</v>
      </c>
    </row>
    <row r="120" customFormat="false" ht="15" hidden="false" customHeight="false" outlineLevel="0" collapsed="false">
      <c r="A120" s="17" t="s">
        <v>817</v>
      </c>
      <c r="B120" s="17" t="s">
        <v>818</v>
      </c>
      <c r="C120" s="34" t="n">
        <f aca="false">MAX(2,ROUNDUP(1.5*$C$116,0))+1</f>
        <v>5</v>
      </c>
      <c r="D120" s="17" t="s">
        <v>788</v>
      </c>
      <c r="E120" s="17" t="s">
        <v>819</v>
      </c>
      <c r="F120" s="17" t="s">
        <v>820</v>
      </c>
      <c r="G120" s="17" t="s">
        <v>396</v>
      </c>
    </row>
    <row r="121" customFormat="false" ht="15" hidden="false" customHeight="false" outlineLevel="0" collapsed="false">
      <c r="A121" s="17" t="s">
        <v>821</v>
      </c>
      <c r="B121" s="17" t="s">
        <v>822</v>
      </c>
      <c r="C121" s="35" t="n">
        <v>262144</v>
      </c>
      <c r="D121" s="17" t="s">
        <v>753</v>
      </c>
      <c r="E121" s="17" t="s">
        <v>530</v>
      </c>
      <c r="F121" s="17"/>
      <c r="G121" s="17" t="s">
        <v>410</v>
      </c>
    </row>
    <row r="122" customFormat="false" ht="15" hidden="false" customHeight="false" outlineLevel="0" collapsed="false">
      <c r="A122" s="17" t="s">
        <v>823</v>
      </c>
      <c r="B122" s="17" t="s">
        <v>824</v>
      </c>
      <c r="C122" s="34" t="n">
        <f aca="false">MIN($C$121,MAX(4*$C$112,16384))</f>
        <v>16384</v>
      </c>
      <c r="D122" s="17" t="s">
        <v>753</v>
      </c>
      <c r="E122" s="17" t="s">
        <v>825</v>
      </c>
      <c r="F122" s="17" t="s">
        <v>826</v>
      </c>
      <c r="G122" s="17" t="s">
        <v>396</v>
      </c>
    </row>
    <row r="123" customFormat="false" ht="15" hidden="false" customHeight="false" outlineLevel="0" collapsed="false">
      <c r="A123" s="17" t="s">
        <v>827</v>
      </c>
      <c r="B123" s="17" t="s">
        <v>828</v>
      </c>
      <c r="C123" s="33" t="n">
        <f aca="false">$C$112/($C$17*1000000)*1000000</f>
        <v>10.24</v>
      </c>
      <c r="D123" s="17" t="s">
        <v>665</v>
      </c>
      <c r="E123" s="17" t="s">
        <v>829</v>
      </c>
      <c r="F123" s="17"/>
      <c r="G123" s="17" t="s">
        <v>396</v>
      </c>
    </row>
    <row r="124" customFormat="false" ht="15" hidden="false" customHeight="false" outlineLevel="0" collapsed="false">
      <c r="A124" s="17" t="s">
        <v>830</v>
      </c>
      <c r="B124" s="17" t="s">
        <v>831</v>
      </c>
      <c r="C124" s="31" t="n">
        <v>30</v>
      </c>
      <c r="D124" s="17" t="s">
        <v>832</v>
      </c>
      <c r="E124" s="17" t="s">
        <v>833</v>
      </c>
      <c r="F124" s="17" t="s">
        <v>790</v>
      </c>
      <c r="G124" s="17" t="s">
        <v>410</v>
      </c>
    </row>
    <row r="125" customFormat="false" ht="15" hidden="false" customHeight="false" outlineLevel="0" collapsed="false">
      <c r="A125" s="17" t="s">
        <v>834</v>
      </c>
      <c r="B125" s="17" t="s">
        <v>835</v>
      </c>
      <c r="C125" s="34" t="n">
        <f aca="false">IF($C$124&gt;0,INT(1000/$C$124),0)</f>
        <v>33</v>
      </c>
      <c r="D125" s="17" t="s">
        <v>656</v>
      </c>
      <c r="E125" s="17" t="s">
        <v>836</v>
      </c>
      <c r="F125" s="17" t="s">
        <v>837</v>
      </c>
      <c r="G125" s="17" t="s">
        <v>396</v>
      </c>
    </row>
    <row r="126" customFormat="false" ht="15" hidden="false" customHeight="false" outlineLevel="0" collapsed="false">
      <c r="A126" s="17" t="s">
        <v>838</v>
      </c>
      <c r="B126" s="17" t="s">
        <v>839</v>
      </c>
      <c r="C126" s="33" t="n">
        <f aca="false">512/($C$17*1000000)*1000000</f>
        <v>2.56</v>
      </c>
      <c r="D126" s="17" t="s">
        <v>665</v>
      </c>
      <c r="E126" s="17" t="s">
        <v>840</v>
      </c>
      <c r="F126" s="17" t="s">
        <v>841</v>
      </c>
      <c r="G126" s="17" t="s">
        <v>396</v>
      </c>
    </row>
    <row r="127" customFormat="false" ht="15" hidden="false" customHeight="false" outlineLevel="0" collapsed="false">
      <c r="A127" s="17" t="s">
        <v>842</v>
      </c>
      <c r="B127" s="17" t="s">
        <v>843</v>
      </c>
      <c r="C127" s="31" t="n">
        <v>0.5</v>
      </c>
      <c r="D127" s="17" t="s">
        <v>757</v>
      </c>
      <c r="E127" s="17" t="s">
        <v>530</v>
      </c>
      <c r="F127" s="17"/>
      <c r="G127" s="17" t="s">
        <v>410</v>
      </c>
    </row>
    <row r="128" customFormat="false" ht="15" hidden="false" customHeight="false" outlineLevel="0" collapsed="false">
      <c r="A128" s="17" t="s">
        <v>844</v>
      </c>
      <c r="B128" s="17" t="s">
        <v>845</v>
      </c>
      <c r="C128" s="33" t="n">
        <f aca="false">10*LOG10(4*$C$127^2)</f>
        <v>0</v>
      </c>
      <c r="D128" s="17" t="s">
        <v>784</v>
      </c>
      <c r="E128" s="17" t="s">
        <v>846</v>
      </c>
      <c r="F128" s="17" t="s">
        <v>847</v>
      </c>
      <c r="G128" s="17" t="s">
        <v>396</v>
      </c>
    </row>
    <row r="129" customFormat="false" ht="15" hidden="false" customHeight="false" outlineLevel="0" collapsed="false">
      <c r="A129" s="17" t="s">
        <v>848</v>
      </c>
      <c r="B129" s="17" t="s">
        <v>849</v>
      </c>
      <c r="C129" s="33" t="n">
        <f aca="false">20*LOG10($C$127)</f>
        <v>-6.02059991327962</v>
      </c>
      <c r="D129" s="17" t="s">
        <v>784</v>
      </c>
      <c r="E129" s="17" t="s">
        <v>850</v>
      </c>
      <c r="F129" s="17"/>
      <c r="G129" s="17" t="s">
        <v>396</v>
      </c>
    </row>
    <row r="130" customFormat="false" ht="15" hidden="false" customHeight="false" outlineLevel="0" collapsed="false">
      <c r="A130" s="17" t="s">
        <v>851</v>
      </c>
      <c r="B130" s="17" t="s">
        <v>852</v>
      </c>
      <c r="C130" s="31" t="n">
        <v>14</v>
      </c>
      <c r="D130" s="17" t="s">
        <v>853</v>
      </c>
      <c r="E130" s="17" t="s">
        <v>854</v>
      </c>
      <c r="F130" s="17"/>
      <c r="G130" s="17" t="s">
        <v>410</v>
      </c>
    </row>
    <row r="131" customFormat="false" ht="15" hidden="false" customHeight="false" outlineLevel="0" collapsed="false">
      <c r="A131" s="17" t="s">
        <v>855</v>
      </c>
      <c r="B131" s="17" t="s">
        <v>856</v>
      </c>
      <c r="C131" s="33" t="n">
        <f aca="false">6.02*$C$130+1.76</f>
        <v>86.04</v>
      </c>
      <c r="D131" s="17" t="s">
        <v>492</v>
      </c>
      <c r="E131" s="17" t="s">
        <v>857</v>
      </c>
      <c r="F131" s="17"/>
      <c r="G131" s="17" t="s">
        <v>396</v>
      </c>
    </row>
    <row r="132" customFormat="false" ht="15" hidden="false" customHeight="false" outlineLevel="0" collapsed="false">
      <c r="A132" s="17" t="s">
        <v>858</v>
      </c>
      <c r="B132" s="17" t="s">
        <v>859</v>
      </c>
      <c r="C132" s="31" t="n">
        <v>60</v>
      </c>
      <c r="D132" s="17" t="s">
        <v>492</v>
      </c>
      <c r="E132" s="17" t="s">
        <v>860</v>
      </c>
      <c r="F132" s="17"/>
      <c r="G132" s="17" t="s">
        <v>410</v>
      </c>
    </row>
    <row r="133" customFormat="false" ht="15" hidden="false" customHeight="false" outlineLevel="0" collapsed="false">
      <c r="A133" s="17" t="s">
        <v>861</v>
      </c>
      <c r="B133" s="17" t="s">
        <v>862</v>
      </c>
      <c r="C133" s="33" t="n">
        <f aca="false">($C$132-1.76)/6.02</f>
        <v>9.67441860465116</v>
      </c>
      <c r="D133" s="17" t="s">
        <v>853</v>
      </c>
      <c r="E133" s="17" t="s">
        <v>863</v>
      </c>
      <c r="F133" s="17" t="s">
        <v>864</v>
      </c>
      <c r="G133" s="17" t="s">
        <v>396</v>
      </c>
    </row>
    <row r="134" customFormat="false" ht="15" hidden="false" customHeight="false" outlineLevel="0" collapsed="false">
      <c r="A134" s="17" t="s">
        <v>865</v>
      </c>
      <c r="B134" s="17" t="s">
        <v>866</v>
      </c>
      <c r="C134" s="31" t="n">
        <v>-70</v>
      </c>
      <c r="D134" s="17" t="s">
        <v>867</v>
      </c>
      <c r="E134" s="17" t="s">
        <v>530</v>
      </c>
      <c r="F134" s="17"/>
      <c r="G134" s="17" t="s">
        <v>410</v>
      </c>
    </row>
    <row r="135" customFormat="false" ht="15" hidden="false" customHeight="false" outlineLevel="0" collapsed="false">
      <c r="A135" s="17" t="s">
        <v>868</v>
      </c>
      <c r="B135" s="17" t="s">
        <v>869</v>
      </c>
      <c r="C135" s="31" t="n">
        <v>-75</v>
      </c>
      <c r="D135" s="17" t="s">
        <v>867</v>
      </c>
      <c r="E135" s="17" t="s">
        <v>530</v>
      </c>
      <c r="F135" s="17"/>
      <c r="G135" s="17" t="s">
        <v>410</v>
      </c>
    </row>
    <row r="136" customFormat="false" ht="15" hidden="false" customHeight="false" outlineLevel="0" collapsed="false">
      <c r="A136" s="17" t="s">
        <v>870</v>
      </c>
      <c r="B136" s="17" t="s">
        <v>871</v>
      </c>
      <c r="C136" s="31" t="n">
        <v>-85</v>
      </c>
      <c r="D136" s="17" t="s">
        <v>867</v>
      </c>
      <c r="E136" s="17" t="s">
        <v>530</v>
      </c>
      <c r="F136" s="17"/>
      <c r="G136" s="17" t="s">
        <v>410</v>
      </c>
    </row>
    <row r="137" customFormat="false" ht="15" hidden="false" customHeight="false" outlineLevel="0" collapsed="false">
      <c r="A137" s="17" t="s">
        <v>872</v>
      </c>
      <c r="B137" s="17" t="s">
        <v>873</v>
      </c>
      <c r="C137" s="31" t="n">
        <v>-88</v>
      </c>
      <c r="D137" s="17" t="s">
        <v>867</v>
      </c>
      <c r="E137" s="17" t="s">
        <v>530</v>
      </c>
      <c r="F137" s="17"/>
      <c r="G137" s="17" t="s">
        <v>410</v>
      </c>
    </row>
    <row r="138" customFormat="false" ht="15" hidden="false" customHeight="false" outlineLevel="0" collapsed="false">
      <c r="A138" s="17" t="s">
        <v>874</v>
      </c>
      <c r="B138" s="17" t="s">
        <v>875</v>
      </c>
      <c r="C138" s="31" t="n">
        <v>-90</v>
      </c>
      <c r="D138" s="17" t="s">
        <v>867</v>
      </c>
      <c r="E138" s="17" t="s">
        <v>530</v>
      </c>
      <c r="F138" s="17"/>
      <c r="G138" s="17" t="s">
        <v>410</v>
      </c>
    </row>
    <row r="139" customFormat="false" ht="15" hidden="false" customHeight="false" outlineLevel="0" collapsed="false">
      <c r="A139" s="17" t="s">
        <v>876</v>
      </c>
      <c r="B139" s="17" t="s">
        <v>877</v>
      </c>
      <c r="C139" s="33" t="n">
        <f aca="false">10*LOG10(10^($C$134/10)+10^($C$135/10)+10^($C$136/10)+10^($C$137/10)+10^($C$138/10))</f>
        <v>-68.6210826787556</v>
      </c>
      <c r="D139" s="17" t="s">
        <v>867</v>
      </c>
      <c r="E139" s="17" t="s">
        <v>878</v>
      </c>
      <c r="F139" s="17" t="s">
        <v>879</v>
      </c>
      <c r="G139" s="17" t="s">
        <v>396</v>
      </c>
    </row>
    <row r="140" customFormat="false" ht="15" hidden="false" customHeight="false" outlineLevel="0" collapsed="false">
      <c r="A140" s="17" t="s">
        <v>880</v>
      </c>
      <c r="B140" s="17" t="s">
        <v>881</v>
      </c>
      <c r="C140" s="38" t="n">
        <v>0.03</v>
      </c>
      <c r="D140" s="17" t="s">
        <v>722</v>
      </c>
      <c r="E140" s="17" t="s">
        <v>882</v>
      </c>
      <c r="F140" s="17"/>
      <c r="G140" s="17" t="s">
        <v>410</v>
      </c>
    </row>
    <row r="141" customFormat="false" ht="15" hidden="false" customHeight="false" outlineLevel="0" collapsed="false">
      <c r="A141" s="17" t="s">
        <v>883</v>
      </c>
      <c r="B141" s="17" t="s">
        <v>884</v>
      </c>
      <c r="C141" s="33" t="n">
        <f aca="false">20*LOG10($C$140)</f>
        <v>-30.4575749056068</v>
      </c>
      <c r="D141" s="17" t="s">
        <v>492</v>
      </c>
      <c r="E141" s="17"/>
      <c r="F141" s="17" t="s">
        <v>885</v>
      </c>
      <c r="G141" s="17" t="s">
        <v>396</v>
      </c>
    </row>
    <row r="142" customFormat="false" ht="15" hidden="false" customHeight="false" outlineLevel="0" collapsed="false">
      <c r="A142" s="17" t="s">
        <v>886</v>
      </c>
      <c r="B142" s="17" t="s">
        <v>887</v>
      </c>
      <c r="C142" s="33" t="n">
        <f aca="false">1/SQRT(2)</f>
        <v>0.707106781186548</v>
      </c>
      <c r="D142" s="17" t="s">
        <v>418</v>
      </c>
      <c r="E142" s="17" t="s">
        <v>888</v>
      </c>
      <c r="F142" s="17" t="s">
        <v>889</v>
      </c>
      <c r="G142" s="17" t="s">
        <v>396</v>
      </c>
    </row>
    <row r="143" customFormat="false" ht="15" hidden="false" customHeight="false" outlineLevel="0" collapsed="false">
      <c r="A143" s="17" t="s">
        <v>890</v>
      </c>
      <c r="B143" s="17" t="s">
        <v>891</v>
      </c>
      <c r="C143" s="33" t="n">
        <f aca="false">1/SQRT(10)</f>
        <v>0.316227766016838</v>
      </c>
      <c r="D143" s="17" t="s">
        <v>418</v>
      </c>
      <c r="E143" s="17" t="s">
        <v>892</v>
      </c>
      <c r="F143" s="17" t="s">
        <v>889</v>
      </c>
      <c r="G143" s="17" t="s">
        <v>396</v>
      </c>
    </row>
    <row r="144" customFormat="false" ht="15" hidden="false" customHeight="false" outlineLevel="0" collapsed="false">
      <c r="A144" s="17" t="s">
        <v>893</v>
      </c>
      <c r="B144" s="17" t="s">
        <v>894</v>
      </c>
      <c r="C144" s="33" t="n">
        <f aca="false">1/SQRT(42)</f>
        <v>0.154303349962092</v>
      </c>
      <c r="D144" s="17" t="s">
        <v>418</v>
      </c>
      <c r="E144" s="17" t="s">
        <v>895</v>
      </c>
      <c r="F144" s="17" t="s">
        <v>889</v>
      </c>
      <c r="G144" s="17" t="s">
        <v>396</v>
      </c>
    </row>
    <row r="145" customFormat="false" ht="19.5" hidden="false" customHeight="true" outlineLevel="0" collapsed="false">
      <c r="A145" s="21" t="s">
        <v>896</v>
      </c>
      <c r="B145" s="21"/>
      <c r="C145" s="21"/>
      <c r="D145" s="21"/>
      <c r="E145" s="21"/>
      <c r="F145" s="21"/>
      <c r="G145" s="21"/>
    </row>
    <row r="146" customFormat="false" ht="15" hidden="false" customHeight="false" outlineLevel="0" collapsed="false">
      <c r="A146" s="17" t="s">
        <v>897</v>
      </c>
      <c r="B146" s="17" t="s">
        <v>898</v>
      </c>
      <c r="C146" s="31" t="n">
        <v>1000</v>
      </c>
      <c r="D146" s="17" t="s">
        <v>899</v>
      </c>
      <c r="E146" s="17" t="s">
        <v>530</v>
      </c>
      <c r="F146" s="17"/>
      <c r="G146" s="17" t="s">
        <v>410</v>
      </c>
    </row>
    <row r="147" customFormat="false" ht="15" hidden="false" customHeight="false" outlineLevel="0" collapsed="false">
      <c r="A147" s="17" t="s">
        <v>900</v>
      </c>
      <c r="B147" s="17" t="s">
        <v>901</v>
      </c>
      <c r="C147" s="31" t="n">
        <v>400</v>
      </c>
      <c r="D147" s="17" t="s">
        <v>899</v>
      </c>
      <c r="E147" s="17" t="s">
        <v>530</v>
      </c>
      <c r="F147" s="17"/>
      <c r="G147" s="17" t="s">
        <v>410</v>
      </c>
    </row>
    <row r="148" customFormat="false" ht="15" hidden="false" customHeight="false" outlineLevel="0" collapsed="false">
      <c r="A148" s="17" t="s">
        <v>902</v>
      </c>
      <c r="B148" s="17" t="s">
        <v>903</v>
      </c>
      <c r="C148" s="35" t="n">
        <v>102400</v>
      </c>
      <c r="D148" s="17" t="s">
        <v>652</v>
      </c>
      <c r="E148" s="17" t="s">
        <v>904</v>
      </c>
      <c r="F148" s="17"/>
      <c r="G148" s="17" t="s">
        <v>410</v>
      </c>
    </row>
    <row r="149" customFormat="false" ht="15" hidden="false" customHeight="false" outlineLevel="0" collapsed="false">
      <c r="A149" s="17" t="s">
        <v>905</v>
      </c>
      <c r="B149" s="17" t="s">
        <v>906</v>
      </c>
      <c r="C149" s="33" t="n">
        <f aca="false">MAX(2,0.05*$C$146)</f>
        <v>50</v>
      </c>
      <c r="D149" s="17" t="s">
        <v>899</v>
      </c>
      <c r="E149" s="17" t="s">
        <v>907</v>
      </c>
      <c r="F149" s="17" t="s">
        <v>908</v>
      </c>
      <c r="G149" s="17" t="s">
        <v>396</v>
      </c>
    </row>
    <row r="150" customFormat="false" ht="15" hidden="false" customHeight="false" outlineLevel="0" collapsed="false">
      <c r="A150" s="17" t="s">
        <v>909</v>
      </c>
      <c r="B150" s="17" t="s">
        <v>910</v>
      </c>
      <c r="C150" s="33" t="n">
        <f aca="false">MAX($C$147-$C$149,0)</f>
        <v>350</v>
      </c>
      <c r="D150" s="17" t="s">
        <v>899</v>
      </c>
      <c r="E150" s="17" t="s">
        <v>911</v>
      </c>
      <c r="F150" s="17" t="s">
        <v>908</v>
      </c>
      <c r="G150" s="17" t="s">
        <v>396</v>
      </c>
    </row>
    <row r="151" customFormat="false" ht="15" hidden="false" customHeight="false" outlineLevel="0" collapsed="false">
      <c r="A151" s="17" t="s">
        <v>912</v>
      </c>
      <c r="B151" s="17" t="s">
        <v>913</v>
      </c>
      <c r="C151" s="32" t="str">
        <f aca="false">IF($C$148/1024&gt;$C$150,"CRITICAL",IF($C$148/1024&gt;0.8*$C$150,"WARNING","OK"))</f>
        <v>OK</v>
      </c>
      <c r="D151" s="17" t="s">
        <v>418</v>
      </c>
      <c r="E151" s="17" t="s">
        <v>914</v>
      </c>
      <c r="F151" s="17" t="s">
        <v>915</v>
      </c>
      <c r="G151" s="17" t="s">
        <v>396</v>
      </c>
    </row>
    <row r="152" customFormat="false" ht="15" hidden="false" customHeight="false" outlineLevel="0" collapsed="false">
      <c r="A152" s="17" t="s">
        <v>916</v>
      </c>
      <c r="B152" s="17" t="s">
        <v>917</v>
      </c>
      <c r="C152" s="33" t="n">
        <f aca="false">$C$148/$C$61</f>
        <v>33.554432</v>
      </c>
      <c r="D152" s="17" t="s">
        <v>918</v>
      </c>
      <c r="E152" s="17" t="s">
        <v>919</v>
      </c>
      <c r="F152" s="17"/>
      <c r="G152" s="17" t="s">
        <v>396</v>
      </c>
    </row>
    <row r="153" customFormat="false" ht="19.5" hidden="false" customHeight="true" outlineLevel="0" collapsed="false">
      <c r="A153" s="21" t="s">
        <v>920</v>
      </c>
      <c r="B153" s="21"/>
      <c r="C153" s="21"/>
      <c r="D153" s="21"/>
      <c r="E153" s="21"/>
      <c r="F153" s="21"/>
      <c r="G153" s="21"/>
    </row>
    <row r="154" customFormat="false" ht="15" hidden="false" customHeight="false" outlineLevel="0" collapsed="false">
      <c r="A154" s="17" t="s">
        <v>921</v>
      </c>
      <c r="B154" s="17" t="s">
        <v>922</v>
      </c>
      <c r="C154" s="31" t="n">
        <v>8</v>
      </c>
      <c r="D154" s="17" t="s">
        <v>923</v>
      </c>
      <c r="E154" s="17" t="s">
        <v>924</v>
      </c>
      <c r="F154" s="17"/>
      <c r="G154" s="17" t="s">
        <v>410</v>
      </c>
    </row>
    <row r="155" customFormat="false" ht="15" hidden="false" customHeight="false" outlineLevel="0" collapsed="false">
      <c r="A155" s="17" t="s">
        <v>925</v>
      </c>
      <c r="B155" s="17" t="s">
        <v>926</v>
      </c>
      <c r="C155" s="31" t="n">
        <v>8</v>
      </c>
      <c r="D155" s="17" t="s">
        <v>927</v>
      </c>
      <c r="E155" s="17" t="s">
        <v>928</v>
      </c>
      <c r="F155" s="17"/>
      <c r="G155" s="17" t="s">
        <v>410</v>
      </c>
    </row>
    <row r="156" customFormat="false" ht="15" hidden="false" customHeight="false" outlineLevel="0" collapsed="false">
      <c r="A156" s="17" t="s">
        <v>929</v>
      </c>
      <c r="B156" s="17" t="s">
        <v>930</v>
      </c>
      <c r="C156" s="33" t="n">
        <f aca="false">128/130</f>
        <v>0.984615384615385</v>
      </c>
      <c r="D156" s="17" t="s">
        <v>418</v>
      </c>
      <c r="E156" s="17" t="s">
        <v>931</v>
      </c>
      <c r="F156" s="17"/>
      <c r="G156" s="17" t="s">
        <v>396</v>
      </c>
    </row>
    <row r="157" customFormat="false" ht="15" hidden="false" customHeight="false" outlineLevel="0" collapsed="false">
      <c r="A157" s="17" t="s">
        <v>932</v>
      </c>
      <c r="B157" s="17" t="s">
        <v>933</v>
      </c>
      <c r="C157" s="31" t="n">
        <v>256</v>
      </c>
      <c r="D157" s="17" t="s">
        <v>602</v>
      </c>
      <c r="E157" s="17" t="s">
        <v>928</v>
      </c>
      <c r="F157" s="17"/>
      <c r="G157" s="17" t="s">
        <v>410</v>
      </c>
    </row>
    <row r="158" customFormat="false" ht="15" hidden="false" customHeight="false" outlineLevel="0" collapsed="false">
      <c r="A158" s="17" t="s">
        <v>934</v>
      </c>
      <c r="B158" s="17" t="s">
        <v>935</v>
      </c>
      <c r="C158" s="31" t="n">
        <v>24</v>
      </c>
      <c r="D158" s="17" t="s">
        <v>602</v>
      </c>
      <c r="E158" s="17" t="s">
        <v>936</v>
      </c>
      <c r="F158" s="17"/>
      <c r="G158" s="17" t="s">
        <v>410</v>
      </c>
    </row>
    <row r="159" customFormat="false" ht="15" hidden="false" customHeight="false" outlineLevel="0" collapsed="false">
      <c r="A159" s="17" t="s">
        <v>937</v>
      </c>
      <c r="B159" s="17" t="s">
        <v>938</v>
      </c>
      <c r="C159" s="33" t="n">
        <f aca="false">$C$154*1000000000*$C$155*$C$156/8/1048576</f>
        <v>7512.01923076923</v>
      </c>
      <c r="D159" s="17" t="s">
        <v>607</v>
      </c>
      <c r="E159" s="17" t="s">
        <v>939</v>
      </c>
      <c r="F159" s="17"/>
      <c r="G159" s="17" t="s">
        <v>396</v>
      </c>
    </row>
    <row r="160" customFormat="false" ht="15" hidden="false" customHeight="false" outlineLevel="0" collapsed="false">
      <c r="A160" s="17" t="s">
        <v>940</v>
      </c>
      <c r="B160" s="17" t="s">
        <v>941</v>
      </c>
      <c r="C160" s="37" t="n">
        <f aca="false">$C$157/($C$157+$C$158)</f>
        <v>0.914285714285714</v>
      </c>
      <c r="D160" s="17" t="s">
        <v>722</v>
      </c>
      <c r="E160" s="17"/>
      <c r="F160" s="17"/>
      <c r="G160" s="17" t="s">
        <v>396</v>
      </c>
    </row>
    <row r="161" customFormat="false" ht="15" hidden="false" customHeight="false" outlineLevel="0" collapsed="false">
      <c r="A161" s="17" t="s">
        <v>942</v>
      </c>
      <c r="B161" s="17" t="s">
        <v>943</v>
      </c>
      <c r="C161" s="33" t="n">
        <f aca="false">$C$159*$C$160</f>
        <v>6868.13186813187</v>
      </c>
      <c r="D161" s="17" t="s">
        <v>607</v>
      </c>
      <c r="E161" s="17"/>
      <c r="F161" s="17"/>
      <c r="G161" s="17" t="s">
        <v>396</v>
      </c>
    </row>
    <row r="162" customFormat="false" ht="15" hidden="false" customHeight="false" outlineLevel="0" collapsed="false">
      <c r="A162" s="17" t="s">
        <v>944</v>
      </c>
      <c r="B162" s="17" t="s">
        <v>945</v>
      </c>
      <c r="C162" s="37" t="n">
        <f aca="false">$C$61/$C$161</f>
        <v>0.4443359375</v>
      </c>
      <c r="D162" s="17" t="s">
        <v>722</v>
      </c>
      <c r="E162" s="17"/>
      <c r="F162" s="17"/>
      <c r="G162" s="17" t="s">
        <v>396</v>
      </c>
    </row>
    <row r="163" customFormat="false" ht="15" hidden="false" customHeight="false" outlineLevel="0" collapsed="false">
      <c r="A163" s="17" t="s">
        <v>946</v>
      </c>
      <c r="B163" s="17" t="s">
        <v>947</v>
      </c>
      <c r="C163" s="37" t="n">
        <f aca="false">$C$79/$C$161</f>
        <v>0.111083984375</v>
      </c>
      <c r="D163" s="17" t="s">
        <v>722</v>
      </c>
      <c r="E163" s="17"/>
      <c r="F163" s="17"/>
      <c r="G163" s="17" t="s">
        <v>396</v>
      </c>
    </row>
    <row r="164" customFormat="false" ht="19.5" hidden="false" customHeight="true" outlineLevel="0" collapsed="false">
      <c r="A164" s="21" t="s">
        <v>948</v>
      </c>
      <c r="B164" s="21"/>
      <c r="C164" s="21"/>
      <c r="D164" s="21"/>
      <c r="E164" s="21"/>
      <c r="F164" s="21"/>
      <c r="G164" s="21"/>
    </row>
    <row r="165" customFormat="false" ht="15" hidden="false" customHeight="false" outlineLevel="0" collapsed="false">
      <c r="A165" s="17" t="s">
        <v>949</v>
      </c>
      <c r="B165" s="17" t="s">
        <v>950</v>
      </c>
      <c r="C165" s="31" t="n">
        <v>25</v>
      </c>
      <c r="D165" s="17" t="s">
        <v>492</v>
      </c>
      <c r="E165" s="17" t="s">
        <v>951</v>
      </c>
      <c r="F165" s="17" t="s">
        <v>445</v>
      </c>
      <c r="G165" s="17" t="s">
        <v>410</v>
      </c>
    </row>
    <row r="166" customFormat="false" ht="15" hidden="false" customHeight="false" outlineLevel="0" collapsed="false">
      <c r="A166" s="17" t="s">
        <v>952</v>
      </c>
      <c r="B166" s="17" t="s">
        <v>953</v>
      </c>
      <c r="C166" s="33" t="n">
        <f aca="false">0.5*10^(-$C$165/20)</f>
        <v>0.0281170662595175</v>
      </c>
      <c r="D166" s="17" t="s">
        <v>757</v>
      </c>
      <c r="E166" s="17" t="s">
        <v>954</v>
      </c>
      <c r="F166" s="17" t="s">
        <v>955</v>
      </c>
      <c r="G166" s="17" t="s">
        <v>396</v>
      </c>
    </row>
    <row r="167" customFormat="false" ht="15" hidden="false" customHeight="false" outlineLevel="0" collapsed="false">
      <c r="A167" s="17" t="s">
        <v>956</v>
      </c>
      <c r="B167" s="17" t="s">
        <v>957</v>
      </c>
      <c r="C167" s="33" t="n">
        <f aca="false">20*LOG10(0.5)</f>
        <v>-6.02059991327962</v>
      </c>
      <c r="D167" s="17" t="s">
        <v>492</v>
      </c>
      <c r="E167" s="17" t="s">
        <v>958</v>
      </c>
      <c r="F167" s="17" t="s">
        <v>959</v>
      </c>
      <c r="G167" s="17" t="s">
        <v>396</v>
      </c>
    </row>
    <row r="168" customFormat="false" ht="15" hidden="false" customHeight="false" outlineLevel="0" collapsed="false">
      <c r="A168" s="17" t="s">
        <v>960</v>
      </c>
      <c r="B168" s="17" t="s">
        <v>961</v>
      </c>
      <c r="C168" s="34" t="n">
        <f aca="false">INT($C$26*2^32/$C$78)</f>
        <v>214748364</v>
      </c>
      <c r="D168" s="17" t="s">
        <v>962</v>
      </c>
      <c r="E168" s="17" t="s">
        <v>963</v>
      </c>
      <c r="F168" s="17" t="s">
        <v>964</v>
      </c>
      <c r="G168" s="17" t="s">
        <v>396</v>
      </c>
    </row>
    <row r="169" customFormat="false" ht="15" hidden="false" customHeight="false" outlineLevel="0" collapsed="false">
      <c r="A169" s="17" t="s">
        <v>965</v>
      </c>
      <c r="B169" s="17" t="s">
        <v>966</v>
      </c>
      <c r="C169" s="33" t="n">
        <f aca="false">$C$168*$C$78/2^32</f>
        <v>9999999.9627471</v>
      </c>
      <c r="D169" s="17" t="s">
        <v>485</v>
      </c>
      <c r="E169" s="17" t="s">
        <v>967</v>
      </c>
      <c r="F169" s="17"/>
      <c r="G169" s="17" t="s">
        <v>396</v>
      </c>
    </row>
    <row r="170" customFormat="false" ht="15" hidden="false" customHeight="false" outlineLevel="0" collapsed="false">
      <c r="A170" s="17" t="s">
        <v>968</v>
      </c>
      <c r="B170" s="17" t="s">
        <v>969</v>
      </c>
      <c r="C170" s="33" t="n">
        <f aca="false">$C$169-$C$26</f>
        <v>-0.0372529029846191</v>
      </c>
      <c r="D170" s="17" t="s">
        <v>485</v>
      </c>
      <c r="E170" s="17"/>
      <c r="F170" s="17"/>
      <c r="G170" s="17" t="s">
        <v>396</v>
      </c>
    </row>
  </sheetData>
  <mergeCells count="10">
    <mergeCell ref="A2:G2"/>
    <mergeCell ref="A6:G6"/>
    <mergeCell ref="A21:G21"/>
    <mergeCell ref="A55:G55"/>
    <mergeCell ref="A76:G76"/>
    <mergeCell ref="A102:G102"/>
    <mergeCell ref="A111:G111"/>
    <mergeCell ref="A145:G145"/>
    <mergeCell ref="A153:G153"/>
    <mergeCell ref="A164:G164"/>
  </mergeCells>
  <dataValidations count="1">
    <dataValidation allowBlank="false" errorStyle="stop" operator="between" showDropDown="false" showErrorMessage="false" showInputMessage="false" sqref="C114" type="list">
      <formula1>'Calc Tables'!$A$6:$A$11</formula1>
      <formula2>0</formula2>
    </dataValidation>
  </dataValidations>
  <printOptions headings="false" gridLines="false" gridLinesSet="true" horizontalCentered="true" verticalCentered="false"/>
  <pageMargins left="0.4" right="0.4" top="0.5" bottom="0.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&amp;LiW-ASCEJ-01-API-Reference-R1.0-REL1.0&amp;C&amp;A&amp;RPage &amp;P of &amp;N</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5" min="2" style="0" width="12"/>
    <col collapsed="false" customWidth="true" hidden="false" outlineLevel="0" max="8" min="6" style="0" width="14"/>
    <col collapsed="false" customWidth="true" hidden="false" outlineLevel="0" max="9" min="9" style="0" width="24"/>
    <col collapsed="false" customWidth="true" hidden="false" outlineLevel="0" max="10" min="10" style="0" width="22"/>
  </cols>
  <sheetData>
    <row r="1" customFormat="false" ht="25.5" hidden="false" customHeight="true" outlineLevel="0" collapsed="false">
      <c r="A1" s="12" t="s">
        <v>970</v>
      </c>
    </row>
    <row r="2" customFormat="false" ht="30" hidden="false" customHeight="true" outlineLevel="0" collapsed="false">
      <c r="A2" s="13" t="s">
        <v>971</v>
      </c>
      <c r="B2" s="13"/>
      <c r="C2" s="13"/>
      <c r="D2" s="13"/>
      <c r="E2" s="13"/>
      <c r="F2" s="13"/>
      <c r="G2" s="13"/>
      <c r="H2" s="13"/>
      <c r="I2" s="13"/>
    </row>
    <row r="4" customFormat="false" ht="19.5" hidden="false" customHeight="true" outlineLevel="0" collapsed="false">
      <c r="A4" s="21" t="s">
        <v>972</v>
      </c>
      <c r="B4" s="21"/>
      <c r="C4" s="21"/>
      <c r="D4" s="21"/>
      <c r="E4" s="21"/>
      <c r="F4" s="21"/>
      <c r="G4" s="21"/>
      <c r="H4" s="21"/>
      <c r="I4" s="21"/>
    </row>
    <row r="5" customFormat="false" ht="15" hidden="false" customHeight="false" outlineLevel="0" collapsed="false">
      <c r="A5" s="14" t="s">
        <v>796</v>
      </c>
      <c r="B5" s="14" t="s">
        <v>973</v>
      </c>
      <c r="C5" s="14" t="s">
        <v>974</v>
      </c>
      <c r="D5" s="14" t="s">
        <v>975</v>
      </c>
      <c r="E5" s="14" t="s">
        <v>976</v>
      </c>
      <c r="F5" s="14" t="s">
        <v>977</v>
      </c>
      <c r="G5" s="14" t="s">
        <v>978</v>
      </c>
      <c r="H5" s="14" t="s">
        <v>979</v>
      </c>
      <c r="I5" s="14" t="s">
        <v>980</v>
      </c>
      <c r="J5" s="14" t="s">
        <v>981</v>
      </c>
    </row>
    <row r="6" customFormat="false" ht="15" hidden="false" customHeight="false" outlineLevel="0" collapsed="false">
      <c r="A6" s="17" t="s">
        <v>982</v>
      </c>
      <c r="B6" s="39" t="n">
        <v>1</v>
      </c>
      <c r="C6" s="39" t="n">
        <v>0</v>
      </c>
      <c r="D6" s="39" t="n">
        <v>0</v>
      </c>
      <c r="E6" s="40" t="n">
        <f aca="false">(B6^2+(C6^2+D6^2+H6^2+I6^2)/2)/B6^2</f>
        <v>1</v>
      </c>
      <c r="F6" s="41" t="n">
        <f aca="false">10*LOG10(E6)</f>
        <v>0</v>
      </c>
      <c r="G6" s="40" t="n">
        <f aca="false">B6</f>
        <v>1</v>
      </c>
      <c r="H6" s="39" t="n">
        <v>0</v>
      </c>
      <c r="I6" s="39" t="n">
        <v>0</v>
      </c>
      <c r="J6" s="17" t="s">
        <v>983</v>
      </c>
    </row>
    <row r="7" customFormat="false" ht="15" hidden="false" customHeight="false" outlineLevel="0" collapsed="false">
      <c r="A7" s="17" t="s">
        <v>984</v>
      </c>
      <c r="B7" s="39" t="n">
        <v>0.5</v>
      </c>
      <c r="C7" s="39" t="n">
        <v>0.5</v>
      </c>
      <c r="D7" s="39" t="n">
        <v>0</v>
      </c>
      <c r="E7" s="40" t="n">
        <f aca="false">(B7^2+(C7^2+D7^2+H7^2+I7^2)/2)/B7^2</f>
        <v>1.5</v>
      </c>
      <c r="F7" s="41" t="n">
        <f aca="false">10*LOG10(E7)</f>
        <v>1.76091259055681</v>
      </c>
      <c r="G7" s="40" t="n">
        <f aca="false">B7</f>
        <v>0.5</v>
      </c>
      <c r="H7" s="39" t="n">
        <v>0</v>
      </c>
      <c r="I7" s="39" t="n">
        <v>0</v>
      </c>
      <c r="J7" s="17" t="s">
        <v>985</v>
      </c>
    </row>
    <row r="8" customFormat="false" ht="15" hidden="false" customHeight="false" outlineLevel="0" collapsed="false">
      <c r="A8" s="17" t="s">
        <v>986</v>
      </c>
      <c r="B8" s="39" t="n">
        <v>0.54</v>
      </c>
      <c r="C8" s="39" t="n">
        <v>0.46</v>
      </c>
      <c r="D8" s="39" t="n">
        <v>0</v>
      </c>
      <c r="E8" s="40" t="n">
        <f aca="false">(B8^2+(C8^2+D8^2+H8^2+I8^2)/2)/B8^2</f>
        <v>1.36282578875171</v>
      </c>
      <c r="F8" s="41" t="n">
        <f aca="false">10*LOG10(E8)</f>
        <v>1.34440343127859</v>
      </c>
      <c r="G8" s="40" t="n">
        <f aca="false">B8</f>
        <v>0.54</v>
      </c>
      <c r="H8" s="39" t="n">
        <v>0</v>
      </c>
      <c r="I8" s="39" t="n">
        <v>0</v>
      </c>
      <c r="J8" s="17" t="s">
        <v>987</v>
      </c>
    </row>
    <row r="9" customFormat="false" ht="15" hidden="false" customHeight="false" outlineLevel="0" collapsed="false">
      <c r="A9" s="17" t="s">
        <v>988</v>
      </c>
      <c r="B9" s="39" t="n">
        <v>0.42</v>
      </c>
      <c r="C9" s="39" t="n">
        <v>0.5</v>
      </c>
      <c r="D9" s="39" t="n">
        <v>0.08</v>
      </c>
      <c r="E9" s="40" t="n">
        <f aca="false">(B9^2+(C9^2+D9^2+H9^2+I9^2)/2)/B9^2</f>
        <v>1.72675736961451</v>
      </c>
      <c r="F9" s="41" t="n">
        <f aca="false">10*LOG10(E9)</f>
        <v>2.37231318204223</v>
      </c>
      <c r="G9" s="40" t="n">
        <f aca="false">B9</f>
        <v>0.42</v>
      </c>
      <c r="H9" s="39" t="n">
        <v>0</v>
      </c>
      <c r="I9" s="39" t="n">
        <v>0</v>
      </c>
      <c r="J9" s="17"/>
    </row>
    <row r="10" customFormat="false" ht="15" hidden="false" customHeight="false" outlineLevel="0" collapsed="false">
      <c r="A10" s="17" t="s">
        <v>797</v>
      </c>
      <c r="B10" s="39" t="n">
        <v>0.35875</v>
      </c>
      <c r="C10" s="39" t="n">
        <v>0.48829</v>
      </c>
      <c r="D10" s="39" t="n">
        <v>0.14128</v>
      </c>
      <c r="E10" s="40" t="n">
        <f aca="false">(B10^2+(C10^2+D10^2+H10^2+I10^2)/2)/B10^2</f>
        <v>2.00435293821705</v>
      </c>
      <c r="F10" s="41" t="n">
        <f aca="false">10*LOG10(E10)</f>
        <v>3.01974197047594</v>
      </c>
      <c r="G10" s="40" t="n">
        <f aca="false">B10</f>
        <v>0.35875</v>
      </c>
      <c r="H10" s="39" t="n">
        <v>0.01168</v>
      </c>
      <c r="I10" s="39" t="n">
        <v>0</v>
      </c>
      <c r="J10" s="17" t="s">
        <v>989</v>
      </c>
    </row>
    <row r="11" customFormat="false" ht="15" hidden="false" customHeight="false" outlineLevel="0" collapsed="false">
      <c r="A11" s="17" t="s">
        <v>990</v>
      </c>
      <c r="B11" s="39" t="n">
        <v>0.21557895</v>
      </c>
      <c r="C11" s="39" t="n">
        <v>0.41663158</v>
      </c>
      <c r="D11" s="39" t="n">
        <v>0.277263158</v>
      </c>
      <c r="E11" s="40" t="n">
        <f aca="false">(B11^2+(C11^2+D11^2+H11^2+I11^2)/2)/B11^2</f>
        <v>3.77024644744343</v>
      </c>
      <c r="F11" s="41" t="n">
        <f aca="false">10*LOG10(E11)</f>
        <v>5.76369739401171</v>
      </c>
      <c r="G11" s="40" t="n">
        <f aca="false">B11</f>
        <v>0.21557895</v>
      </c>
      <c r="H11" s="39" t="n">
        <v>0.083578947</v>
      </c>
      <c r="I11" s="39" t="n">
        <v>0.006947368</v>
      </c>
      <c r="J11" s="17" t="s">
        <v>991</v>
      </c>
    </row>
    <row r="12" customFormat="false" ht="15" hidden="false" customHeight="false" outlineLevel="0" collapsed="false">
      <c r="A12" s="9" t="s">
        <v>992</v>
      </c>
    </row>
    <row r="14" customFormat="false" ht="19.5" hidden="false" customHeight="true" outlineLevel="0" collapsed="false">
      <c r="A14" s="21" t="s">
        <v>993</v>
      </c>
      <c r="B14" s="21"/>
      <c r="C14" s="21"/>
      <c r="D14" s="21"/>
      <c r="E14" s="21"/>
      <c r="F14" s="21"/>
      <c r="G14" s="21"/>
      <c r="H14" s="21"/>
      <c r="I14" s="21"/>
    </row>
    <row r="15" customFormat="false" ht="42" hidden="false" customHeight="true" outlineLevel="0" collapsed="false">
      <c r="A15" s="14" t="s">
        <v>994</v>
      </c>
      <c r="B15" s="14" t="s">
        <v>995</v>
      </c>
      <c r="C15" s="14" t="s">
        <v>996</v>
      </c>
      <c r="D15" s="14" t="s">
        <v>997</v>
      </c>
      <c r="E15" s="14" t="s">
        <v>998</v>
      </c>
      <c r="F15" s="14" t="s">
        <v>999</v>
      </c>
      <c r="G15" s="14" t="s">
        <v>1000</v>
      </c>
      <c r="H15" s="14" t="s">
        <v>1001</v>
      </c>
      <c r="I15" s="14" t="s">
        <v>731</v>
      </c>
    </row>
    <row r="16" customFormat="false" ht="15" hidden="false" customHeight="false" outlineLevel="0" collapsed="false">
      <c r="A16" s="15" t="n">
        <v>1</v>
      </c>
      <c r="B16" s="42" t="n">
        <v>16777216</v>
      </c>
      <c r="C16" s="43" t="n">
        <f aca="false">B16/1024</f>
        <v>16384</v>
      </c>
      <c r="D16" s="43" t="n">
        <f aca="false">B16/4096</f>
        <v>4096</v>
      </c>
      <c r="E16" s="44" t="n">
        <f aca="false">Calculations!$C$78/(B16/Calculations!$C$77)</f>
        <v>47.6837158203125</v>
      </c>
      <c r="F16" s="45" t="n">
        <f aca="false">(B16/Calculations!$C$77)/Calculations!$C$78*1000</f>
        <v>20.97152</v>
      </c>
      <c r="G16" s="46" t="n">
        <f aca="false">(F16/1000)/((F16/1000)+Calculations!$C$90/1000000)</f>
        <v>0.999814068085407</v>
      </c>
      <c r="H16" s="47" t="n">
        <f aca="false">Calculations!$C$79*G16</f>
        <v>762.797598331762</v>
      </c>
      <c r="I16" s="17" t="str">
        <f aca="false">IF(G16&gt;=0.995,"YES","NO - starves")</f>
        <v>YES</v>
      </c>
    </row>
    <row r="17" customFormat="false" ht="15" hidden="false" customHeight="false" outlineLevel="0" collapsed="false">
      <c r="A17" s="15" t="n">
        <v>2</v>
      </c>
      <c r="B17" s="42" t="n">
        <v>4194304</v>
      </c>
      <c r="C17" s="43" t="n">
        <f aca="false">B17/1024</f>
        <v>4096</v>
      </c>
      <c r="D17" s="43" t="n">
        <f aca="false">B17/4096</f>
        <v>1024</v>
      </c>
      <c r="E17" s="44" t="n">
        <f aca="false">Calculations!$C$78/(B17/Calculations!$C$77)</f>
        <v>190.73486328125</v>
      </c>
      <c r="F17" s="45" t="n">
        <f aca="false">(B17/Calculations!$C$77)/Calculations!$C$78*1000</f>
        <v>5.24288</v>
      </c>
      <c r="G17" s="46" t="n">
        <f aca="false">(F17/1000)/((F17/1000)+Calculations!$C$90/1000000)</f>
        <v>0.999256686958477</v>
      </c>
      <c r="H17" s="47" t="n">
        <f aca="false">Calculations!$C$79*G17</f>
        <v>762.3723502796</v>
      </c>
      <c r="I17" s="17" t="str">
        <f aca="false">IF(G17&gt;=0.995,"YES","NO - starves")</f>
        <v>YES</v>
      </c>
    </row>
    <row r="18" customFormat="false" ht="15" hidden="false" customHeight="false" outlineLevel="0" collapsed="false">
      <c r="A18" s="48" t="n">
        <v>3</v>
      </c>
      <c r="B18" s="42" t="n">
        <v>1048576</v>
      </c>
      <c r="C18" s="49" t="n">
        <f aca="false">B18/1024</f>
        <v>1024</v>
      </c>
      <c r="D18" s="49" t="n">
        <f aca="false">B18/4096</f>
        <v>256</v>
      </c>
      <c r="E18" s="50" t="n">
        <f aca="false">Calculations!$C$78/(B18/Calculations!$C$77)</f>
        <v>762.939453125</v>
      </c>
      <c r="F18" s="51" t="n">
        <f aca="false">(B18/Calculations!$C$77)/Calculations!$C$78*1000</f>
        <v>1.31072</v>
      </c>
      <c r="G18" s="52" t="n">
        <f aca="false">(F18/1000)/((F18/1000)+Calculations!$C$90/1000000)</f>
        <v>0.997033363253259</v>
      </c>
      <c r="H18" s="53" t="n">
        <f aca="false">Calculations!$C$79*G18</f>
        <v>760.676088907821</v>
      </c>
      <c r="I18" s="54" t="str">
        <f aca="false">IF(G18&gt;=0.995,"YES","NO - starves")</f>
        <v>YES</v>
      </c>
    </row>
    <row r="19" customFormat="false" ht="15" hidden="false" customHeight="false" outlineLevel="0" collapsed="false">
      <c r="A19" s="15" t="n">
        <v>4</v>
      </c>
      <c r="B19" s="42" t="n">
        <v>262144</v>
      </c>
      <c r="C19" s="43" t="n">
        <f aca="false">B19/1024</f>
        <v>256</v>
      </c>
      <c r="D19" s="43" t="n">
        <f aca="false">B19/4096</f>
        <v>64</v>
      </c>
      <c r="E19" s="44" t="n">
        <f aca="false">Calculations!$C$78/(B19/Calculations!$C$77)</f>
        <v>3051.7578125</v>
      </c>
      <c r="F19" s="45" t="n">
        <f aca="false">(B19/Calculations!$C$77)/Calculations!$C$78*1000</f>
        <v>0.32768</v>
      </c>
      <c r="G19" s="46" t="n">
        <f aca="false">(F19/1000)/((F19/1000)+Calculations!$C$90/1000000)</f>
        <v>0.988238132577357</v>
      </c>
      <c r="H19" s="47" t="n">
        <f aca="false">Calculations!$C$79*G19</f>
        <v>753.96586042584</v>
      </c>
      <c r="I19" s="17" t="str">
        <f aca="false">IF(G19&gt;=0.995,"YES","NO - starves")</f>
        <v>NO - starves</v>
      </c>
    </row>
    <row r="20" customFormat="false" ht="15" hidden="false" customHeight="false" outlineLevel="0" collapsed="false">
      <c r="A20" s="15" t="n">
        <v>5</v>
      </c>
      <c r="B20" s="42" t="n">
        <v>65536</v>
      </c>
      <c r="C20" s="43" t="n">
        <f aca="false">B20/1024</f>
        <v>64</v>
      </c>
      <c r="D20" s="43" t="n">
        <f aca="false">B20/4096</f>
        <v>16</v>
      </c>
      <c r="E20" s="44" t="n">
        <f aca="false">Calculations!$C$78/(B20/Calculations!$C$77)</f>
        <v>12207.03125</v>
      </c>
      <c r="F20" s="45" t="n">
        <f aca="false">(B20/Calculations!$C$77)/Calculations!$C$78*1000</f>
        <v>0.08192</v>
      </c>
      <c r="G20" s="46" t="n">
        <f aca="false">(F20/1000)/((F20/1000)+Calculations!$C$90/1000000)</f>
        <v>0.954556047541366</v>
      </c>
      <c r="H20" s="47" t="n">
        <f aca="false">Calculations!$C$79*G20</f>
        <v>728.268468888371</v>
      </c>
      <c r="I20" s="17" t="str">
        <f aca="false">IF(G20&gt;=0.995,"YES","NO - starves")</f>
        <v>NO - starves</v>
      </c>
    </row>
    <row r="21" customFormat="false" ht="15" hidden="false" customHeight="false" outlineLevel="0" collapsed="false">
      <c r="A21" s="15" t="n">
        <v>6</v>
      </c>
      <c r="B21" s="42" t="n">
        <v>16384</v>
      </c>
      <c r="C21" s="43" t="n">
        <f aca="false">B21/1024</f>
        <v>16</v>
      </c>
      <c r="D21" s="43" t="n">
        <f aca="false">B21/4096</f>
        <v>4</v>
      </c>
      <c r="E21" s="44" t="n">
        <f aca="false">Calculations!$C$78/(B21/Calculations!$C$77)</f>
        <v>48828.125</v>
      </c>
      <c r="F21" s="45" t="n">
        <f aca="false">(B21/Calculations!$C$77)/Calculations!$C$78*1000</f>
        <v>0.02048</v>
      </c>
      <c r="G21" s="46" t="n">
        <f aca="false">(F21/1000)/((F21/1000)+Calculations!$C$90/1000000)</f>
        <v>0.840032813781788</v>
      </c>
      <c r="H21" s="47" t="n">
        <f aca="false">Calculations!$C$79*G21</f>
        <v>640.894175553733</v>
      </c>
      <c r="I21" s="17" t="str">
        <f aca="false">IF(G21&gt;=0.995,"YES","NO - starves")</f>
        <v>NO - starves</v>
      </c>
    </row>
    <row r="22" customFormat="false" ht="15" hidden="false" customHeight="false" outlineLevel="0" collapsed="false">
      <c r="A22" s="9" t="s">
        <v>1002</v>
      </c>
    </row>
    <row r="23" customFormat="false" ht="15" hidden="false" customHeight="false" outlineLevel="0" collapsed="false">
      <c r="A23" s="9" t="s">
        <v>1003</v>
      </c>
    </row>
  </sheetData>
  <mergeCells count="3">
    <mergeCell ref="A2:I2"/>
    <mergeCell ref="A4:I4"/>
    <mergeCell ref="A14:I14"/>
  </mergeCells>
  <printOptions headings="false" gridLines="false" gridLinesSet="true" horizontalCentered="true" verticalCentered="false"/>
  <pageMargins left="0.4" right="0.4" top="0.5" bottom="0.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&amp;LiW-ASCEJ-01-API-Reference-R1.0-REL1.0&amp;C&amp;A&amp;RPage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P2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8"/>
    <col collapsed="false" customWidth="true" hidden="false" outlineLevel="0" max="4" min="4" style="0" width="30"/>
    <col collapsed="false" customWidth="true" hidden="false" outlineLevel="0" max="5" min="5" style="0" width="12"/>
    <col collapsed="false" customWidth="true" hidden="false" outlineLevel="0" max="6" min="6" style="0" width="46"/>
    <col collapsed="false" customWidth="true" hidden="false" outlineLevel="0" max="7" min="7" style="0" width="52"/>
    <col collapsed="false" customWidth="true" hidden="false" outlineLevel="0" max="9" min="8" style="0" width="34"/>
    <col collapsed="false" customWidth="true" hidden="false" outlineLevel="0" max="10" min="10" style="0" width="46"/>
    <col collapsed="false" customWidth="true" hidden="false" outlineLevel="0" max="11" min="11" style="0" width="10"/>
    <col collapsed="false" customWidth="true" hidden="false" outlineLevel="0" max="12" min="12" style="0" width="34"/>
    <col collapsed="false" customWidth="true" hidden="false" outlineLevel="0" max="13" min="13" style="0" width="40"/>
    <col collapsed="false" customWidth="true" hidden="false" outlineLevel="0" max="14" min="14" style="0" width="6"/>
    <col collapsed="false" customWidth="true" hidden="false" outlineLevel="0" max="15" min="15" style="0" width="46"/>
    <col collapsed="false" customWidth="true" hidden="false" outlineLevel="0" max="16" min="16" style="0" width="7"/>
  </cols>
  <sheetData>
    <row r="1" customFormat="false" ht="25.5" hidden="false" customHeight="true" outlineLevel="0" collapsed="false">
      <c r="A1" s="12" t="s">
        <v>1004</v>
      </c>
    </row>
    <row r="2" customFormat="false" ht="30" hidden="false" customHeight="true" outlineLevel="0" collapsed="false">
      <c r="A2" s="13" t="s">
        <v>54</v>
      </c>
      <c r="B2" s="13"/>
      <c r="C2" s="13"/>
      <c r="D2" s="13"/>
      <c r="E2" s="13"/>
      <c r="F2" s="13"/>
      <c r="G2" s="13"/>
      <c r="H2" s="13"/>
      <c r="I2" s="13"/>
      <c r="J2" s="13"/>
    </row>
    <row r="3" customFormat="false" ht="15" hidden="false" customHeight="false" outlineLevel="0" collapsed="false">
      <c r="A3" s="9" t="s">
        <v>1005</v>
      </c>
    </row>
    <row r="4" customFormat="false" ht="30" hidden="false" customHeight="true" outlineLevel="0" collapsed="false">
      <c r="A4" s="14" t="s">
        <v>398</v>
      </c>
      <c r="B4" s="14" t="s">
        <v>1006</v>
      </c>
      <c r="C4" s="14" t="s">
        <v>98</v>
      </c>
      <c r="D4" s="14" t="s">
        <v>1007</v>
      </c>
      <c r="E4" s="14" t="s">
        <v>220</v>
      </c>
      <c r="F4" s="14" t="s">
        <v>1008</v>
      </c>
      <c r="G4" s="14" t="s">
        <v>1009</v>
      </c>
      <c r="H4" s="14" t="s">
        <v>1010</v>
      </c>
      <c r="I4" s="14" t="s">
        <v>1011</v>
      </c>
      <c r="J4" s="14" t="s">
        <v>1012</v>
      </c>
      <c r="K4" s="14" t="s">
        <v>1013</v>
      </c>
      <c r="L4" s="14" t="s">
        <v>1014</v>
      </c>
      <c r="M4" s="14" t="s">
        <v>1015</v>
      </c>
      <c r="N4" s="14" t="s">
        <v>1016</v>
      </c>
      <c r="O4" s="14" t="s">
        <v>1017</v>
      </c>
      <c r="P4" s="14" t="s">
        <v>1018</v>
      </c>
    </row>
    <row r="5" customFormat="false" ht="22.35" hidden="false" customHeight="false" outlineLevel="0" collapsed="false">
      <c r="A5" s="22" t="s">
        <v>1019</v>
      </c>
      <c r="B5" s="17" t="s">
        <v>1020</v>
      </c>
      <c r="C5" s="17" t="s">
        <v>100</v>
      </c>
      <c r="D5" s="55" t="s">
        <v>1021</v>
      </c>
      <c r="E5" s="17" t="s">
        <v>223</v>
      </c>
      <c r="F5" s="56" t="s">
        <v>1022</v>
      </c>
      <c r="G5" s="17" t="s">
        <v>1023</v>
      </c>
      <c r="H5" s="17" t="s">
        <v>418</v>
      </c>
      <c r="I5" s="17" t="s">
        <v>1024</v>
      </c>
      <c r="J5" s="17" t="s">
        <v>1025</v>
      </c>
      <c r="K5" s="17" t="s">
        <v>1026</v>
      </c>
      <c r="L5" s="17" t="s">
        <v>1027</v>
      </c>
      <c r="M5" s="17" t="s">
        <v>1028</v>
      </c>
      <c r="N5" s="15" t="s">
        <v>91</v>
      </c>
      <c r="O5" s="17" t="s">
        <v>1029</v>
      </c>
      <c r="P5" s="15" t="n">
        <v>30</v>
      </c>
    </row>
    <row r="6" customFormat="false" ht="22.35" hidden="false" customHeight="false" outlineLevel="0" collapsed="false">
      <c r="A6" s="57" t="s">
        <v>1030</v>
      </c>
      <c r="B6" s="58" t="s">
        <v>1020</v>
      </c>
      <c r="C6" s="58" t="s">
        <v>100</v>
      </c>
      <c r="D6" s="59" t="s">
        <v>1031</v>
      </c>
      <c r="E6" s="58" t="s">
        <v>222</v>
      </c>
      <c r="F6" s="60" t="s">
        <v>1032</v>
      </c>
      <c r="G6" s="58" t="s">
        <v>1033</v>
      </c>
      <c r="H6" s="58" t="s">
        <v>1034</v>
      </c>
      <c r="I6" s="58" t="s">
        <v>1035</v>
      </c>
      <c r="J6" s="58" t="s">
        <v>1036</v>
      </c>
      <c r="K6" s="58" t="s">
        <v>1037</v>
      </c>
      <c r="L6" s="58" t="s">
        <v>1038</v>
      </c>
      <c r="M6" s="58" t="s">
        <v>1039</v>
      </c>
      <c r="N6" s="61" t="s">
        <v>91</v>
      </c>
      <c r="O6" s="58" t="s">
        <v>1029</v>
      </c>
      <c r="P6" s="61" t="n">
        <v>32</v>
      </c>
    </row>
    <row r="7" customFormat="false" ht="22.35" hidden="false" customHeight="false" outlineLevel="0" collapsed="false">
      <c r="A7" s="22" t="s">
        <v>1040</v>
      </c>
      <c r="B7" s="17" t="s">
        <v>1020</v>
      </c>
      <c r="C7" s="17" t="s">
        <v>100</v>
      </c>
      <c r="D7" s="55" t="s">
        <v>1041</v>
      </c>
      <c r="E7" s="17" t="s">
        <v>222</v>
      </c>
      <c r="F7" s="56" t="s">
        <v>1042</v>
      </c>
      <c r="G7" s="17" t="s">
        <v>1043</v>
      </c>
      <c r="H7" s="17" t="s">
        <v>1044</v>
      </c>
      <c r="I7" s="17" t="s">
        <v>1044</v>
      </c>
      <c r="J7" s="17" t="s">
        <v>1045</v>
      </c>
      <c r="K7" s="17" t="s">
        <v>1046</v>
      </c>
      <c r="L7" s="17" t="s">
        <v>1047</v>
      </c>
      <c r="M7" s="17"/>
      <c r="N7" s="15" t="s">
        <v>91</v>
      </c>
      <c r="O7" s="17" t="s">
        <v>1029</v>
      </c>
      <c r="P7" s="15" t="n">
        <v>47</v>
      </c>
    </row>
    <row r="8" customFormat="false" ht="22.35" hidden="false" customHeight="false" outlineLevel="0" collapsed="false">
      <c r="A8" s="57" t="s">
        <v>1048</v>
      </c>
      <c r="B8" s="58" t="s">
        <v>1020</v>
      </c>
      <c r="C8" s="58" t="s">
        <v>100</v>
      </c>
      <c r="D8" s="59" t="s">
        <v>1049</v>
      </c>
      <c r="E8" s="58" t="s">
        <v>221</v>
      </c>
      <c r="F8" s="60" t="s">
        <v>1050</v>
      </c>
      <c r="G8" s="58" t="s">
        <v>1051</v>
      </c>
      <c r="H8" s="58" t="s">
        <v>1052</v>
      </c>
      <c r="I8" s="58" t="s">
        <v>1053</v>
      </c>
      <c r="J8" s="58" t="s">
        <v>1054</v>
      </c>
      <c r="K8" s="58" t="s">
        <v>753</v>
      </c>
      <c r="L8" s="58" t="s">
        <v>1055</v>
      </c>
      <c r="M8" s="58" t="s">
        <v>1056</v>
      </c>
      <c r="N8" s="61" t="s">
        <v>91</v>
      </c>
      <c r="O8" s="58" t="s">
        <v>1029</v>
      </c>
      <c r="P8" s="61" t="n">
        <v>105</v>
      </c>
    </row>
    <row r="9" customFormat="false" ht="22.35" hidden="false" customHeight="false" outlineLevel="0" collapsed="false">
      <c r="A9" s="22" t="s">
        <v>1057</v>
      </c>
      <c r="B9" s="17" t="s">
        <v>1020</v>
      </c>
      <c r="C9" s="17" t="s">
        <v>100</v>
      </c>
      <c r="D9" s="55" t="s">
        <v>1058</v>
      </c>
      <c r="E9" s="17" t="s">
        <v>236</v>
      </c>
      <c r="F9" s="56" t="s">
        <v>1059</v>
      </c>
      <c r="G9" s="17" t="s">
        <v>1060</v>
      </c>
      <c r="H9" s="17" t="s">
        <v>418</v>
      </c>
      <c r="I9" s="17" t="s">
        <v>1061</v>
      </c>
      <c r="J9" s="17" t="s">
        <v>1062</v>
      </c>
      <c r="K9" s="17" t="s">
        <v>1037</v>
      </c>
      <c r="L9" s="17" t="s">
        <v>1063</v>
      </c>
      <c r="M9" s="17"/>
      <c r="N9" s="15" t="s">
        <v>91</v>
      </c>
      <c r="O9" s="17" t="s">
        <v>1064</v>
      </c>
      <c r="P9" s="15" t="n">
        <v>103</v>
      </c>
    </row>
    <row r="10" customFormat="false" ht="32.8" hidden="false" customHeight="false" outlineLevel="0" collapsed="false">
      <c r="A10" s="57" t="s">
        <v>1065</v>
      </c>
      <c r="B10" s="58" t="s">
        <v>1020</v>
      </c>
      <c r="C10" s="58" t="s">
        <v>101</v>
      </c>
      <c r="D10" s="59" t="s">
        <v>1066</v>
      </c>
      <c r="E10" s="58" t="s">
        <v>229</v>
      </c>
      <c r="F10" s="60" t="s">
        <v>1067</v>
      </c>
      <c r="G10" s="58" t="s">
        <v>1068</v>
      </c>
      <c r="H10" s="58" t="s">
        <v>1069</v>
      </c>
      <c r="I10" s="58" t="s">
        <v>1070</v>
      </c>
      <c r="J10" s="58" t="s">
        <v>1071</v>
      </c>
      <c r="K10" s="58" t="s">
        <v>485</v>
      </c>
      <c r="L10" s="58" t="s">
        <v>1072</v>
      </c>
      <c r="M10" s="58" t="s">
        <v>1073</v>
      </c>
      <c r="N10" s="61" t="s">
        <v>91</v>
      </c>
      <c r="O10" s="58" t="s">
        <v>1074</v>
      </c>
      <c r="P10" s="61" t="n">
        <v>182</v>
      </c>
    </row>
    <row r="11" customFormat="false" ht="43.25" hidden="false" customHeight="false" outlineLevel="0" collapsed="false">
      <c r="A11" s="22" t="s">
        <v>1075</v>
      </c>
      <c r="B11" s="17" t="s">
        <v>1020</v>
      </c>
      <c r="C11" s="17" t="s">
        <v>101</v>
      </c>
      <c r="D11" s="55" t="s">
        <v>1076</v>
      </c>
      <c r="E11" s="17" t="s">
        <v>221</v>
      </c>
      <c r="F11" s="56" t="s">
        <v>1077</v>
      </c>
      <c r="G11" s="17" t="s">
        <v>1078</v>
      </c>
      <c r="H11" s="17" t="s">
        <v>1079</v>
      </c>
      <c r="I11" s="17" t="s">
        <v>1080</v>
      </c>
      <c r="J11" s="17" t="s">
        <v>1081</v>
      </c>
      <c r="K11" s="17" t="s">
        <v>1082</v>
      </c>
      <c r="L11" s="17" t="s">
        <v>1083</v>
      </c>
      <c r="M11" s="17" t="s">
        <v>1084</v>
      </c>
      <c r="N11" s="15" t="s">
        <v>91</v>
      </c>
      <c r="O11" s="17" t="s">
        <v>1074</v>
      </c>
      <c r="P11" s="15" t="n">
        <v>286</v>
      </c>
    </row>
    <row r="12" customFormat="false" ht="43.25" hidden="false" customHeight="false" outlineLevel="0" collapsed="false">
      <c r="A12" s="57" t="s">
        <v>1085</v>
      </c>
      <c r="B12" s="58" t="s">
        <v>1020</v>
      </c>
      <c r="C12" s="58" t="s">
        <v>101</v>
      </c>
      <c r="D12" s="59" t="s">
        <v>1086</v>
      </c>
      <c r="E12" s="58" t="s">
        <v>229</v>
      </c>
      <c r="F12" s="60" t="s">
        <v>1087</v>
      </c>
      <c r="G12" s="58" t="s">
        <v>1088</v>
      </c>
      <c r="H12" s="58" t="s">
        <v>1089</v>
      </c>
      <c r="I12" s="58" t="s">
        <v>1090</v>
      </c>
      <c r="J12" s="58" t="s">
        <v>1091</v>
      </c>
      <c r="K12" s="58" t="s">
        <v>439</v>
      </c>
      <c r="L12" s="58" t="s">
        <v>1092</v>
      </c>
      <c r="M12" s="58" t="s">
        <v>1093</v>
      </c>
      <c r="N12" s="61" t="s">
        <v>91</v>
      </c>
      <c r="O12" s="58" t="s">
        <v>1094</v>
      </c>
      <c r="P12" s="61" t="n">
        <v>2157</v>
      </c>
    </row>
    <row r="13" customFormat="false" ht="22.35" hidden="false" customHeight="false" outlineLevel="0" collapsed="false">
      <c r="A13" s="22" t="s">
        <v>1095</v>
      </c>
      <c r="B13" s="17" t="s">
        <v>1020</v>
      </c>
      <c r="C13" s="17" t="s">
        <v>102</v>
      </c>
      <c r="D13" s="55" t="s">
        <v>1096</v>
      </c>
      <c r="E13" s="17" t="s">
        <v>223</v>
      </c>
      <c r="F13" s="56" t="s">
        <v>1097</v>
      </c>
      <c r="G13" s="17" t="s">
        <v>1098</v>
      </c>
      <c r="H13" s="17" t="s">
        <v>418</v>
      </c>
      <c r="I13" s="17" t="s">
        <v>1099</v>
      </c>
      <c r="J13" s="17" t="s">
        <v>1100</v>
      </c>
      <c r="K13" s="17" t="s">
        <v>753</v>
      </c>
      <c r="L13" s="17" t="s">
        <v>1101</v>
      </c>
      <c r="M13" s="17" t="s">
        <v>1102</v>
      </c>
      <c r="N13" s="15" t="s">
        <v>91</v>
      </c>
      <c r="O13" s="17" t="s">
        <v>1074</v>
      </c>
      <c r="P13" s="15" t="n">
        <v>27</v>
      </c>
    </row>
    <row r="14" customFormat="false" ht="32.8" hidden="false" customHeight="false" outlineLevel="0" collapsed="false">
      <c r="A14" s="57" t="s">
        <v>1103</v>
      </c>
      <c r="B14" s="58" t="s">
        <v>1020</v>
      </c>
      <c r="C14" s="58" t="s">
        <v>102</v>
      </c>
      <c r="D14" s="59" t="s">
        <v>1104</v>
      </c>
      <c r="E14" s="58" t="s">
        <v>229</v>
      </c>
      <c r="F14" s="60" t="s">
        <v>1105</v>
      </c>
      <c r="G14" s="58" t="s">
        <v>1106</v>
      </c>
      <c r="H14" s="58" t="s">
        <v>1107</v>
      </c>
      <c r="I14" s="58" t="s">
        <v>1108</v>
      </c>
      <c r="J14" s="58" t="s">
        <v>1109</v>
      </c>
      <c r="K14" s="58" t="s">
        <v>918</v>
      </c>
      <c r="L14" s="58" t="s">
        <v>1110</v>
      </c>
      <c r="M14" s="58" t="s">
        <v>1111</v>
      </c>
      <c r="N14" s="61" t="s">
        <v>91</v>
      </c>
      <c r="O14" s="58" t="s">
        <v>1074</v>
      </c>
      <c r="P14" s="61" t="n">
        <v>273</v>
      </c>
    </row>
    <row r="15" customFormat="false" ht="53.7" hidden="false" customHeight="false" outlineLevel="0" collapsed="false">
      <c r="A15" s="22" t="s">
        <v>1112</v>
      </c>
      <c r="B15" s="17" t="s">
        <v>1020</v>
      </c>
      <c r="C15" s="17" t="s">
        <v>102</v>
      </c>
      <c r="D15" s="55" t="s">
        <v>1113</v>
      </c>
      <c r="E15" s="17" t="s">
        <v>224</v>
      </c>
      <c r="F15" s="56" t="s">
        <v>1114</v>
      </c>
      <c r="G15" s="17" t="s">
        <v>1115</v>
      </c>
      <c r="H15" s="17" t="s">
        <v>418</v>
      </c>
      <c r="I15" s="17" t="s">
        <v>1116</v>
      </c>
      <c r="J15" s="17" t="s">
        <v>1117</v>
      </c>
      <c r="K15" s="17" t="s">
        <v>1118</v>
      </c>
      <c r="L15" s="17" t="s">
        <v>1119</v>
      </c>
      <c r="M15" s="17" t="s">
        <v>1120</v>
      </c>
      <c r="N15" s="15" t="s">
        <v>91</v>
      </c>
      <c r="O15" s="17" t="s">
        <v>1121</v>
      </c>
      <c r="P15" s="15" t="n">
        <v>272</v>
      </c>
    </row>
    <row r="16" customFormat="false" ht="32.8" hidden="false" customHeight="false" outlineLevel="0" collapsed="false">
      <c r="A16" s="57" t="s">
        <v>1122</v>
      </c>
      <c r="B16" s="58" t="s">
        <v>1020</v>
      </c>
      <c r="C16" s="58" t="s">
        <v>102</v>
      </c>
      <c r="D16" s="59" t="s">
        <v>1123</v>
      </c>
      <c r="E16" s="58" t="s">
        <v>224</v>
      </c>
      <c r="F16" s="60" t="s">
        <v>1124</v>
      </c>
      <c r="G16" s="58" t="s">
        <v>1125</v>
      </c>
      <c r="H16" s="58" t="s">
        <v>418</v>
      </c>
      <c r="I16" s="58" t="s">
        <v>1126</v>
      </c>
      <c r="J16" s="58"/>
      <c r="K16" s="58" t="s">
        <v>1127</v>
      </c>
      <c r="L16" s="58" t="s">
        <v>1128</v>
      </c>
      <c r="M16" s="58"/>
      <c r="N16" s="61" t="s">
        <v>91</v>
      </c>
      <c r="O16" s="58" t="s">
        <v>1121</v>
      </c>
      <c r="P16" s="61" t="n">
        <v>474</v>
      </c>
    </row>
    <row r="17" customFormat="false" ht="22.35" hidden="false" customHeight="false" outlineLevel="0" collapsed="false">
      <c r="A17" s="22" t="s">
        <v>1129</v>
      </c>
      <c r="B17" s="17" t="s">
        <v>1020</v>
      </c>
      <c r="C17" s="17" t="s">
        <v>102</v>
      </c>
      <c r="D17" s="55" t="s">
        <v>1130</v>
      </c>
      <c r="E17" s="17" t="s">
        <v>236</v>
      </c>
      <c r="F17" s="56" t="s">
        <v>1131</v>
      </c>
      <c r="G17" s="17" t="s">
        <v>1132</v>
      </c>
      <c r="H17" s="17" t="s">
        <v>1133</v>
      </c>
      <c r="I17" s="17" t="s">
        <v>1134</v>
      </c>
      <c r="J17" s="17" t="s">
        <v>1135</v>
      </c>
      <c r="K17" s="17" t="s">
        <v>1136</v>
      </c>
      <c r="L17" s="17" t="s">
        <v>1137</v>
      </c>
      <c r="M17" s="17"/>
      <c r="N17" s="15" t="s">
        <v>91</v>
      </c>
      <c r="O17" s="17" t="s">
        <v>1138</v>
      </c>
      <c r="P17" s="15" t="n">
        <v>30</v>
      </c>
    </row>
    <row r="18" customFormat="false" ht="22.35" hidden="false" customHeight="false" outlineLevel="0" collapsed="false">
      <c r="A18" s="57" t="s">
        <v>1139</v>
      </c>
      <c r="B18" s="58" t="s">
        <v>1020</v>
      </c>
      <c r="C18" s="58" t="s">
        <v>102</v>
      </c>
      <c r="D18" s="59" t="s">
        <v>1140</v>
      </c>
      <c r="E18" s="58" t="s">
        <v>229</v>
      </c>
      <c r="F18" s="60" t="s">
        <v>1141</v>
      </c>
      <c r="G18" s="58" t="s">
        <v>1142</v>
      </c>
      <c r="H18" s="58" t="s">
        <v>1143</v>
      </c>
      <c r="I18" s="58" t="s">
        <v>1144</v>
      </c>
      <c r="J18" s="58" t="s">
        <v>1145</v>
      </c>
      <c r="K18" s="58" t="s">
        <v>1136</v>
      </c>
      <c r="L18" s="58" t="s">
        <v>1146</v>
      </c>
      <c r="M18" s="58"/>
      <c r="N18" s="61" t="s">
        <v>91</v>
      </c>
      <c r="O18" s="58" t="s">
        <v>1138</v>
      </c>
      <c r="P18" s="61" t="n">
        <v>46</v>
      </c>
    </row>
    <row r="19" customFormat="false" ht="22.35" hidden="false" customHeight="false" outlineLevel="0" collapsed="false">
      <c r="A19" s="22" t="s">
        <v>1147</v>
      </c>
      <c r="B19" s="17" t="s">
        <v>1020</v>
      </c>
      <c r="C19" s="17" t="s">
        <v>102</v>
      </c>
      <c r="D19" s="55" t="s">
        <v>1148</v>
      </c>
      <c r="E19" s="17" t="s">
        <v>229</v>
      </c>
      <c r="F19" s="56" t="s">
        <v>1149</v>
      </c>
      <c r="G19" s="17" t="s">
        <v>1150</v>
      </c>
      <c r="H19" s="17" t="s">
        <v>1151</v>
      </c>
      <c r="I19" s="17" t="s">
        <v>1144</v>
      </c>
      <c r="J19" s="17" t="s">
        <v>1152</v>
      </c>
      <c r="K19" s="17" t="s">
        <v>1136</v>
      </c>
      <c r="L19" s="17" t="s">
        <v>1153</v>
      </c>
      <c r="M19" s="17" t="s">
        <v>1154</v>
      </c>
      <c r="N19" s="15" t="s">
        <v>91</v>
      </c>
      <c r="O19" s="17" t="s">
        <v>1138</v>
      </c>
      <c r="P19" s="15" t="n">
        <v>51</v>
      </c>
    </row>
    <row r="20" customFormat="false" ht="22.35" hidden="false" customHeight="false" outlineLevel="0" collapsed="false">
      <c r="A20" s="57" t="s">
        <v>1155</v>
      </c>
      <c r="B20" s="58" t="s">
        <v>1020</v>
      </c>
      <c r="C20" s="58" t="s">
        <v>102</v>
      </c>
      <c r="D20" s="59" t="s">
        <v>1156</v>
      </c>
      <c r="E20" s="58" t="s">
        <v>229</v>
      </c>
      <c r="F20" s="60" t="s">
        <v>1157</v>
      </c>
      <c r="G20" s="58" t="s">
        <v>1158</v>
      </c>
      <c r="H20" s="58" t="s">
        <v>1151</v>
      </c>
      <c r="I20" s="58" t="s">
        <v>1144</v>
      </c>
      <c r="J20" s="58" t="s">
        <v>1159</v>
      </c>
      <c r="K20" s="58" t="s">
        <v>1136</v>
      </c>
      <c r="L20" s="58" t="s">
        <v>1160</v>
      </c>
      <c r="M20" s="58" t="s">
        <v>1161</v>
      </c>
      <c r="N20" s="61" t="s">
        <v>91</v>
      </c>
      <c r="O20" s="58" t="s">
        <v>1138</v>
      </c>
      <c r="P20" s="61" t="n">
        <v>56</v>
      </c>
    </row>
    <row r="21" customFormat="false" ht="22.35" hidden="false" customHeight="false" outlineLevel="0" collapsed="false">
      <c r="A21" s="22" t="s">
        <v>1162</v>
      </c>
      <c r="B21" s="17" t="s">
        <v>1020</v>
      </c>
      <c r="C21" s="17" t="s">
        <v>102</v>
      </c>
      <c r="D21" s="55" t="s">
        <v>1163</v>
      </c>
      <c r="E21" s="17" t="s">
        <v>229</v>
      </c>
      <c r="F21" s="56" t="s">
        <v>1164</v>
      </c>
      <c r="G21" s="17" t="s">
        <v>1165</v>
      </c>
      <c r="H21" s="17" t="s">
        <v>1151</v>
      </c>
      <c r="I21" s="17" t="s">
        <v>1144</v>
      </c>
      <c r="J21" s="17" t="s">
        <v>1166</v>
      </c>
      <c r="K21" s="17" t="s">
        <v>1136</v>
      </c>
      <c r="L21" s="17" t="s">
        <v>1167</v>
      </c>
      <c r="M21" s="17"/>
      <c r="N21" s="15" t="s">
        <v>91</v>
      </c>
      <c r="O21" s="17" t="s">
        <v>1138</v>
      </c>
      <c r="P21" s="15" t="n">
        <v>61</v>
      </c>
    </row>
    <row r="22" customFormat="false" ht="32.8" hidden="false" customHeight="false" outlineLevel="0" collapsed="false">
      <c r="A22" s="57" t="s">
        <v>1168</v>
      </c>
      <c r="B22" s="58" t="s">
        <v>1020</v>
      </c>
      <c r="C22" s="58" t="s">
        <v>102</v>
      </c>
      <c r="D22" s="59" t="s">
        <v>1169</v>
      </c>
      <c r="E22" s="58" t="s">
        <v>223</v>
      </c>
      <c r="F22" s="60" t="s">
        <v>1170</v>
      </c>
      <c r="G22" s="58" t="s">
        <v>1171</v>
      </c>
      <c r="H22" s="58" t="s">
        <v>418</v>
      </c>
      <c r="I22" s="58" t="s">
        <v>1172</v>
      </c>
      <c r="J22" s="58" t="s">
        <v>1173</v>
      </c>
      <c r="K22" s="58" t="s">
        <v>656</v>
      </c>
      <c r="L22" s="58" t="s">
        <v>1174</v>
      </c>
      <c r="M22" s="58"/>
      <c r="N22" s="61" t="s">
        <v>91</v>
      </c>
      <c r="O22" s="58" t="s">
        <v>1175</v>
      </c>
      <c r="P22" s="61" t="n">
        <v>57</v>
      </c>
    </row>
    <row r="23" customFormat="false" ht="22.35" hidden="false" customHeight="false" outlineLevel="0" collapsed="false">
      <c r="A23" s="22" t="s">
        <v>1176</v>
      </c>
      <c r="B23" s="17" t="s">
        <v>1020</v>
      </c>
      <c r="C23" s="17" t="s">
        <v>102</v>
      </c>
      <c r="D23" s="55" t="s">
        <v>1177</v>
      </c>
      <c r="E23" s="17" t="s">
        <v>223</v>
      </c>
      <c r="F23" s="56" t="s">
        <v>1178</v>
      </c>
      <c r="G23" s="17" t="s">
        <v>1179</v>
      </c>
      <c r="H23" s="17" t="s">
        <v>418</v>
      </c>
      <c r="I23" s="17" t="s">
        <v>1180</v>
      </c>
      <c r="J23" s="17"/>
      <c r="K23" s="17" t="s">
        <v>1181</v>
      </c>
      <c r="L23" s="17" t="s">
        <v>1182</v>
      </c>
      <c r="M23" s="17" t="s">
        <v>1183</v>
      </c>
      <c r="N23" s="15" t="s">
        <v>91</v>
      </c>
      <c r="O23" s="17" t="s">
        <v>1184</v>
      </c>
      <c r="P23" s="15" t="n">
        <v>39</v>
      </c>
    </row>
    <row r="24" customFormat="false" ht="22.35" hidden="false" customHeight="false" outlineLevel="0" collapsed="false">
      <c r="A24" s="57" t="s">
        <v>1185</v>
      </c>
      <c r="B24" s="58" t="s">
        <v>1020</v>
      </c>
      <c r="C24" s="58" t="s">
        <v>102</v>
      </c>
      <c r="D24" s="59" t="s">
        <v>1186</v>
      </c>
      <c r="E24" s="58" t="s">
        <v>221</v>
      </c>
      <c r="F24" s="60" t="s">
        <v>1187</v>
      </c>
      <c r="G24" s="58" t="s">
        <v>1188</v>
      </c>
      <c r="H24" s="58" t="s">
        <v>1189</v>
      </c>
      <c r="I24" s="58" t="s">
        <v>1190</v>
      </c>
      <c r="J24" s="58" t="s">
        <v>1191</v>
      </c>
      <c r="K24" s="58" t="s">
        <v>1192</v>
      </c>
      <c r="L24" s="58" t="s">
        <v>1193</v>
      </c>
      <c r="M24" s="58"/>
      <c r="N24" s="61" t="s">
        <v>91</v>
      </c>
      <c r="O24" s="58" t="s">
        <v>1184</v>
      </c>
      <c r="P24" s="61" t="n">
        <v>135</v>
      </c>
    </row>
    <row r="25" customFormat="false" ht="22.35" hidden="false" customHeight="false" outlineLevel="0" collapsed="false">
      <c r="A25" s="22" t="s">
        <v>1194</v>
      </c>
      <c r="B25" s="17" t="s">
        <v>1020</v>
      </c>
      <c r="C25" s="17" t="s">
        <v>102</v>
      </c>
      <c r="D25" s="55" t="s">
        <v>1195</v>
      </c>
      <c r="E25" s="17" t="s">
        <v>221</v>
      </c>
      <c r="F25" s="56" t="s">
        <v>1196</v>
      </c>
      <c r="G25" s="17" t="s">
        <v>1197</v>
      </c>
      <c r="H25" s="17" t="s">
        <v>1198</v>
      </c>
      <c r="I25" s="17" t="s">
        <v>1199</v>
      </c>
      <c r="J25" s="17" t="s">
        <v>1200</v>
      </c>
      <c r="K25" s="17" t="s">
        <v>1192</v>
      </c>
      <c r="L25" s="17" t="s">
        <v>1201</v>
      </c>
      <c r="M25" s="17" t="s">
        <v>1202</v>
      </c>
      <c r="N25" s="15" t="s">
        <v>91</v>
      </c>
      <c r="O25" s="17" t="s">
        <v>1184</v>
      </c>
      <c r="P25" s="15" t="n">
        <v>141</v>
      </c>
    </row>
    <row r="26" customFormat="false" ht="22.35" hidden="false" customHeight="false" outlineLevel="0" collapsed="false">
      <c r="A26" s="57" t="s">
        <v>1203</v>
      </c>
      <c r="B26" s="58" t="s">
        <v>1020</v>
      </c>
      <c r="C26" s="58" t="s">
        <v>102</v>
      </c>
      <c r="D26" s="59" t="s">
        <v>1204</v>
      </c>
      <c r="E26" s="58" t="s">
        <v>221</v>
      </c>
      <c r="F26" s="60" t="s">
        <v>1205</v>
      </c>
      <c r="G26" s="58" t="s">
        <v>1206</v>
      </c>
      <c r="H26" s="58" t="s">
        <v>1207</v>
      </c>
      <c r="I26" s="58" t="s">
        <v>1208</v>
      </c>
      <c r="J26" s="58" t="s">
        <v>1209</v>
      </c>
      <c r="K26" s="58" t="s">
        <v>1210</v>
      </c>
      <c r="L26" s="58" t="s">
        <v>1211</v>
      </c>
      <c r="M26" s="58" t="s">
        <v>1212</v>
      </c>
      <c r="N26" s="61" t="s">
        <v>91</v>
      </c>
      <c r="O26" s="58" t="s">
        <v>1184</v>
      </c>
      <c r="P26" s="61" t="n">
        <v>149</v>
      </c>
    </row>
    <row r="27" customFormat="false" ht="22.35" hidden="false" customHeight="false" outlineLevel="0" collapsed="false">
      <c r="A27" s="22" t="s">
        <v>1213</v>
      </c>
      <c r="B27" s="17" t="s">
        <v>1020</v>
      </c>
      <c r="C27" s="17" t="s">
        <v>102</v>
      </c>
      <c r="D27" s="55" t="s">
        <v>1214</v>
      </c>
      <c r="E27" s="17" t="s">
        <v>221</v>
      </c>
      <c r="F27" s="56" t="s">
        <v>1215</v>
      </c>
      <c r="G27" s="17" t="s">
        <v>1216</v>
      </c>
      <c r="H27" s="17" t="s">
        <v>1217</v>
      </c>
      <c r="I27" s="17" t="s">
        <v>1218</v>
      </c>
      <c r="J27" s="17" t="s">
        <v>1219</v>
      </c>
      <c r="K27" s="17" t="s">
        <v>1210</v>
      </c>
      <c r="L27" s="17" t="s">
        <v>1220</v>
      </c>
      <c r="M27" s="17" t="s">
        <v>1221</v>
      </c>
      <c r="N27" s="15" t="s">
        <v>91</v>
      </c>
      <c r="O27" s="17" t="s">
        <v>1184</v>
      </c>
      <c r="P27" s="15" t="n">
        <v>155</v>
      </c>
    </row>
    <row r="28" customFormat="false" ht="32.8" hidden="false" customHeight="false" outlineLevel="0" collapsed="false">
      <c r="A28" s="57" t="s">
        <v>1222</v>
      </c>
      <c r="B28" s="58" t="s">
        <v>1020</v>
      </c>
      <c r="C28" s="58" t="s">
        <v>102</v>
      </c>
      <c r="D28" s="59" t="s">
        <v>1223</v>
      </c>
      <c r="E28" s="58" t="s">
        <v>221</v>
      </c>
      <c r="F28" s="60" t="s">
        <v>1224</v>
      </c>
      <c r="G28" s="58" t="s">
        <v>1225</v>
      </c>
      <c r="H28" s="58" t="s">
        <v>1226</v>
      </c>
      <c r="I28" s="58" t="s">
        <v>1227</v>
      </c>
      <c r="J28" s="58" t="s">
        <v>1228</v>
      </c>
      <c r="K28" s="58" t="s">
        <v>1181</v>
      </c>
      <c r="L28" s="58" t="s">
        <v>1229</v>
      </c>
      <c r="M28" s="58" t="s">
        <v>1230</v>
      </c>
      <c r="N28" s="61" t="s">
        <v>91</v>
      </c>
      <c r="O28" s="58" t="s">
        <v>1184</v>
      </c>
      <c r="P28" s="61" t="n">
        <v>165</v>
      </c>
    </row>
    <row r="29" customFormat="false" ht="22.35" hidden="false" customHeight="false" outlineLevel="0" collapsed="false">
      <c r="A29" s="22" t="s">
        <v>1231</v>
      </c>
      <c r="B29" s="17" t="s">
        <v>1020</v>
      </c>
      <c r="C29" s="17" t="s">
        <v>102</v>
      </c>
      <c r="D29" s="55" t="s">
        <v>1232</v>
      </c>
      <c r="E29" s="17" t="s">
        <v>221</v>
      </c>
      <c r="F29" s="56" t="s">
        <v>1233</v>
      </c>
      <c r="G29" s="17" t="s">
        <v>1234</v>
      </c>
      <c r="H29" s="17" t="s">
        <v>1235</v>
      </c>
      <c r="I29" s="17" t="s">
        <v>1236</v>
      </c>
      <c r="J29" s="17" t="s">
        <v>1237</v>
      </c>
      <c r="K29" s="17" t="s">
        <v>418</v>
      </c>
      <c r="L29" s="17" t="s">
        <v>1238</v>
      </c>
      <c r="M29" s="17" t="s">
        <v>1239</v>
      </c>
      <c r="N29" s="15" t="s">
        <v>91</v>
      </c>
      <c r="O29" s="17" t="s">
        <v>1184</v>
      </c>
      <c r="P29" s="15" t="n">
        <v>191</v>
      </c>
    </row>
    <row r="30" customFormat="false" ht="32.8" hidden="false" customHeight="false" outlineLevel="0" collapsed="false">
      <c r="A30" s="57" t="s">
        <v>1240</v>
      </c>
      <c r="B30" s="58" t="s">
        <v>1020</v>
      </c>
      <c r="C30" s="58" t="s">
        <v>102</v>
      </c>
      <c r="D30" s="59" t="s">
        <v>1241</v>
      </c>
      <c r="E30" s="58" t="s">
        <v>221</v>
      </c>
      <c r="F30" s="60" t="s">
        <v>1242</v>
      </c>
      <c r="G30" s="58" t="s">
        <v>1243</v>
      </c>
      <c r="H30" s="58" t="s">
        <v>1244</v>
      </c>
      <c r="I30" s="58" t="s">
        <v>1245</v>
      </c>
      <c r="J30" s="58" t="s">
        <v>1246</v>
      </c>
      <c r="K30" s="58" t="s">
        <v>1181</v>
      </c>
      <c r="L30" s="58" t="s">
        <v>1247</v>
      </c>
      <c r="M30" s="58" t="s">
        <v>1248</v>
      </c>
      <c r="N30" s="61" t="s">
        <v>91</v>
      </c>
      <c r="O30" s="58" t="s">
        <v>1184</v>
      </c>
      <c r="P30" s="61" t="n">
        <v>451</v>
      </c>
    </row>
    <row r="31" customFormat="false" ht="22.35" hidden="false" customHeight="false" outlineLevel="0" collapsed="false">
      <c r="A31" s="22" t="s">
        <v>1249</v>
      </c>
      <c r="B31" s="17" t="s">
        <v>1020</v>
      </c>
      <c r="C31" s="17" t="s">
        <v>102</v>
      </c>
      <c r="D31" s="55" t="s">
        <v>1250</v>
      </c>
      <c r="E31" s="17" t="s">
        <v>221</v>
      </c>
      <c r="F31" s="56" t="s">
        <v>1251</v>
      </c>
      <c r="G31" s="17" t="s">
        <v>1252</v>
      </c>
      <c r="H31" s="17" t="s">
        <v>1253</v>
      </c>
      <c r="I31" s="17" t="s">
        <v>1254</v>
      </c>
      <c r="J31" s="17" t="s">
        <v>1255</v>
      </c>
      <c r="K31" s="17" t="s">
        <v>418</v>
      </c>
      <c r="L31" s="17" t="s">
        <v>1256</v>
      </c>
      <c r="M31" s="17" t="s">
        <v>1257</v>
      </c>
      <c r="N31" s="15" t="s">
        <v>91</v>
      </c>
      <c r="O31" s="17" t="s">
        <v>1184</v>
      </c>
      <c r="P31" s="15" t="n">
        <v>475</v>
      </c>
    </row>
    <row r="32" customFormat="false" ht="22.35" hidden="false" customHeight="false" outlineLevel="0" collapsed="false">
      <c r="A32" s="57" t="s">
        <v>1258</v>
      </c>
      <c r="B32" s="58" t="s">
        <v>1020</v>
      </c>
      <c r="C32" s="58" t="s">
        <v>102</v>
      </c>
      <c r="D32" s="59" t="s">
        <v>1259</v>
      </c>
      <c r="E32" s="58" t="s">
        <v>229</v>
      </c>
      <c r="F32" s="60" t="s">
        <v>1260</v>
      </c>
      <c r="G32" s="58" t="s">
        <v>1261</v>
      </c>
      <c r="H32" s="58" t="s">
        <v>1262</v>
      </c>
      <c r="I32" s="58" t="s">
        <v>1254</v>
      </c>
      <c r="J32" s="58" t="s">
        <v>1263</v>
      </c>
      <c r="K32" s="58" t="s">
        <v>1181</v>
      </c>
      <c r="L32" s="58" t="s">
        <v>1256</v>
      </c>
      <c r="M32" s="58"/>
      <c r="N32" s="61" t="s">
        <v>91</v>
      </c>
      <c r="O32" s="58" t="s">
        <v>1184</v>
      </c>
      <c r="P32" s="61" t="n">
        <v>555</v>
      </c>
    </row>
    <row r="33" customFormat="false" ht="53.7" hidden="false" customHeight="false" outlineLevel="0" collapsed="false">
      <c r="A33" s="22" t="s">
        <v>1264</v>
      </c>
      <c r="B33" s="17" t="s">
        <v>1020</v>
      </c>
      <c r="C33" s="17" t="s">
        <v>102</v>
      </c>
      <c r="D33" s="55" t="s">
        <v>1265</v>
      </c>
      <c r="E33" s="17" t="s">
        <v>221</v>
      </c>
      <c r="F33" s="56" t="s">
        <v>1266</v>
      </c>
      <c r="G33" s="17" t="s">
        <v>1267</v>
      </c>
      <c r="H33" s="17" t="s">
        <v>1268</v>
      </c>
      <c r="I33" s="17" t="s">
        <v>1269</v>
      </c>
      <c r="J33" s="17" t="s">
        <v>1270</v>
      </c>
      <c r="K33" s="17" t="s">
        <v>1271</v>
      </c>
      <c r="L33" s="17" t="s">
        <v>1272</v>
      </c>
      <c r="M33" s="17" t="s">
        <v>1273</v>
      </c>
      <c r="N33" s="15" t="s">
        <v>91</v>
      </c>
      <c r="O33" s="17" t="s">
        <v>1184</v>
      </c>
      <c r="P33" s="15" t="n">
        <v>650</v>
      </c>
    </row>
    <row r="34" customFormat="false" ht="22.35" hidden="false" customHeight="false" outlineLevel="0" collapsed="false">
      <c r="A34" s="57" t="s">
        <v>1274</v>
      </c>
      <c r="B34" s="58" t="s">
        <v>1020</v>
      </c>
      <c r="C34" s="58" t="s">
        <v>102</v>
      </c>
      <c r="D34" s="59" t="s">
        <v>1275</v>
      </c>
      <c r="E34" s="58" t="s">
        <v>221</v>
      </c>
      <c r="F34" s="60" t="s">
        <v>1276</v>
      </c>
      <c r="G34" s="58" t="s">
        <v>1277</v>
      </c>
      <c r="H34" s="58" t="s">
        <v>1278</v>
      </c>
      <c r="I34" s="58" t="s">
        <v>1279</v>
      </c>
      <c r="J34" s="58" t="s">
        <v>1280</v>
      </c>
      <c r="K34" s="58" t="s">
        <v>1281</v>
      </c>
      <c r="L34" s="58" t="s">
        <v>1282</v>
      </c>
      <c r="M34" s="58" t="s">
        <v>1283</v>
      </c>
      <c r="N34" s="61" t="s">
        <v>91</v>
      </c>
      <c r="O34" s="58" t="s">
        <v>1284</v>
      </c>
      <c r="P34" s="61" t="n">
        <v>53</v>
      </c>
    </row>
    <row r="35" customFormat="false" ht="22.35" hidden="false" customHeight="false" outlineLevel="0" collapsed="false">
      <c r="A35" s="22" t="s">
        <v>1285</v>
      </c>
      <c r="B35" s="17" t="s">
        <v>1020</v>
      </c>
      <c r="C35" s="17" t="s">
        <v>102</v>
      </c>
      <c r="D35" s="55" t="s">
        <v>1286</v>
      </c>
      <c r="E35" s="17" t="s">
        <v>221</v>
      </c>
      <c r="F35" s="56" t="s">
        <v>1287</v>
      </c>
      <c r="G35" s="17" t="s">
        <v>1288</v>
      </c>
      <c r="H35" s="17" t="s">
        <v>1289</v>
      </c>
      <c r="I35" s="17" t="s">
        <v>1290</v>
      </c>
      <c r="J35" s="17" t="s">
        <v>1291</v>
      </c>
      <c r="K35" s="17" t="s">
        <v>1292</v>
      </c>
      <c r="L35" s="17" t="s">
        <v>1293</v>
      </c>
      <c r="M35" s="17" t="s">
        <v>1294</v>
      </c>
      <c r="N35" s="15" t="s">
        <v>91</v>
      </c>
      <c r="O35" s="17" t="s">
        <v>1284</v>
      </c>
      <c r="P35" s="15" t="n">
        <v>90</v>
      </c>
    </row>
    <row r="36" customFormat="false" ht="32.8" hidden="false" customHeight="false" outlineLevel="0" collapsed="false">
      <c r="A36" s="57" t="s">
        <v>1295</v>
      </c>
      <c r="B36" s="58" t="s">
        <v>1020</v>
      </c>
      <c r="C36" s="58" t="s">
        <v>102</v>
      </c>
      <c r="D36" s="59" t="s">
        <v>1296</v>
      </c>
      <c r="E36" s="58" t="s">
        <v>221</v>
      </c>
      <c r="F36" s="60" t="s">
        <v>1297</v>
      </c>
      <c r="G36" s="58" t="s">
        <v>1298</v>
      </c>
      <c r="H36" s="58" t="s">
        <v>1299</v>
      </c>
      <c r="I36" s="58" t="s">
        <v>1300</v>
      </c>
      <c r="J36" s="58" t="s">
        <v>1301</v>
      </c>
      <c r="K36" s="58" t="s">
        <v>1192</v>
      </c>
      <c r="L36" s="58" t="s">
        <v>1302</v>
      </c>
      <c r="M36" s="58" t="s">
        <v>1303</v>
      </c>
      <c r="N36" s="61" t="s">
        <v>91</v>
      </c>
      <c r="O36" s="58" t="s">
        <v>1284</v>
      </c>
      <c r="P36" s="61" t="n">
        <v>102</v>
      </c>
    </row>
    <row r="37" customFormat="false" ht="22.35" hidden="false" customHeight="false" outlineLevel="0" collapsed="false">
      <c r="A37" s="22" t="s">
        <v>1304</v>
      </c>
      <c r="B37" s="17" t="s">
        <v>1020</v>
      </c>
      <c r="C37" s="17" t="s">
        <v>102</v>
      </c>
      <c r="D37" s="55" t="s">
        <v>1305</v>
      </c>
      <c r="E37" s="17" t="s">
        <v>221</v>
      </c>
      <c r="F37" s="56" t="s">
        <v>1306</v>
      </c>
      <c r="G37" s="17" t="s">
        <v>1307</v>
      </c>
      <c r="H37" s="17" t="s">
        <v>1308</v>
      </c>
      <c r="I37" s="17" t="s">
        <v>1309</v>
      </c>
      <c r="J37" s="17" t="s">
        <v>1310</v>
      </c>
      <c r="K37" s="17" t="s">
        <v>439</v>
      </c>
      <c r="L37" s="17" t="s">
        <v>1311</v>
      </c>
      <c r="M37" s="17" t="s">
        <v>1312</v>
      </c>
      <c r="N37" s="15" t="s">
        <v>91</v>
      </c>
      <c r="O37" s="17" t="s">
        <v>1284</v>
      </c>
      <c r="P37" s="15" t="n">
        <v>278</v>
      </c>
    </row>
    <row r="38" customFormat="false" ht="22.35" hidden="false" customHeight="false" outlineLevel="0" collapsed="false">
      <c r="A38" s="57" t="s">
        <v>1313</v>
      </c>
      <c r="B38" s="58" t="s">
        <v>1020</v>
      </c>
      <c r="C38" s="58" t="s">
        <v>102</v>
      </c>
      <c r="D38" s="59" t="s">
        <v>1314</v>
      </c>
      <c r="E38" s="58" t="s">
        <v>221</v>
      </c>
      <c r="F38" s="60" t="s">
        <v>1315</v>
      </c>
      <c r="G38" s="58" t="s">
        <v>1316</v>
      </c>
      <c r="H38" s="58" t="s">
        <v>1317</v>
      </c>
      <c r="I38" s="58" t="s">
        <v>1318</v>
      </c>
      <c r="J38" s="58" t="s">
        <v>1319</v>
      </c>
      <c r="K38" s="58" t="s">
        <v>784</v>
      </c>
      <c r="L38" s="58" t="s">
        <v>1293</v>
      </c>
      <c r="M38" s="58" t="s">
        <v>1320</v>
      </c>
      <c r="N38" s="61" t="s">
        <v>91</v>
      </c>
      <c r="O38" s="58" t="s">
        <v>1284</v>
      </c>
      <c r="P38" s="61" t="n">
        <v>293</v>
      </c>
    </row>
    <row r="39" customFormat="false" ht="53.7" hidden="false" customHeight="false" outlineLevel="0" collapsed="false">
      <c r="A39" s="22" t="s">
        <v>1321</v>
      </c>
      <c r="B39" s="17" t="s">
        <v>1020</v>
      </c>
      <c r="C39" s="17" t="s">
        <v>102</v>
      </c>
      <c r="D39" s="55" t="s">
        <v>1322</v>
      </c>
      <c r="E39" s="17" t="s">
        <v>221</v>
      </c>
      <c r="F39" s="56" t="s">
        <v>1323</v>
      </c>
      <c r="G39" s="17" t="s">
        <v>1324</v>
      </c>
      <c r="H39" s="17" t="s">
        <v>1325</v>
      </c>
      <c r="I39" s="17" t="s">
        <v>1326</v>
      </c>
      <c r="J39" s="17" t="s">
        <v>1327</v>
      </c>
      <c r="K39" s="17" t="s">
        <v>1192</v>
      </c>
      <c r="L39" s="17" t="s">
        <v>1302</v>
      </c>
      <c r="M39" s="17" t="s">
        <v>1328</v>
      </c>
      <c r="N39" s="15" t="s">
        <v>91</v>
      </c>
      <c r="O39" s="17" t="s">
        <v>1284</v>
      </c>
      <c r="P39" s="15" t="n">
        <v>306</v>
      </c>
    </row>
    <row r="40" customFormat="false" ht="32.8" hidden="false" customHeight="false" outlineLevel="0" collapsed="false">
      <c r="A40" s="57" t="s">
        <v>1329</v>
      </c>
      <c r="B40" s="58" t="s">
        <v>1020</v>
      </c>
      <c r="C40" s="58" t="s">
        <v>102</v>
      </c>
      <c r="D40" s="59" t="s">
        <v>1330</v>
      </c>
      <c r="E40" s="58" t="s">
        <v>229</v>
      </c>
      <c r="F40" s="60" t="s">
        <v>1331</v>
      </c>
      <c r="G40" s="58" t="s">
        <v>1332</v>
      </c>
      <c r="H40" s="58" t="s">
        <v>1333</v>
      </c>
      <c r="I40" s="58" t="s">
        <v>1334</v>
      </c>
      <c r="J40" s="58" t="s">
        <v>1335</v>
      </c>
      <c r="K40" s="58" t="s">
        <v>485</v>
      </c>
      <c r="L40" s="58" t="s">
        <v>1336</v>
      </c>
      <c r="M40" s="58" t="s">
        <v>1337</v>
      </c>
      <c r="N40" s="61" t="s">
        <v>91</v>
      </c>
      <c r="O40" s="58" t="s">
        <v>1284</v>
      </c>
      <c r="P40" s="61" t="n">
        <v>381</v>
      </c>
    </row>
    <row r="41" customFormat="false" ht="22.35" hidden="false" customHeight="false" outlineLevel="0" collapsed="false">
      <c r="A41" s="22" t="s">
        <v>1338</v>
      </c>
      <c r="B41" s="17" t="s">
        <v>1020</v>
      </c>
      <c r="C41" s="17" t="s">
        <v>102</v>
      </c>
      <c r="D41" s="55" t="s">
        <v>1339</v>
      </c>
      <c r="E41" s="17" t="s">
        <v>221</v>
      </c>
      <c r="F41" s="56" t="s">
        <v>1340</v>
      </c>
      <c r="G41" s="17" t="s">
        <v>1341</v>
      </c>
      <c r="H41" s="17" t="s">
        <v>1342</v>
      </c>
      <c r="I41" s="17" t="s">
        <v>1343</v>
      </c>
      <c r="J41" s="17" t="s">
        <v>1344</v>
      </c>
      <c r="K41" s="17" t="s">
        <v>1345</v>
      </c>
      <c r="L41" s="17" t="s">
        <v>1346</v>
      </c>
      <c r="M41" s="17" t="s">
        <v>1347</v>
      </c>
      <c r="N41" s="15" t="s">
        <v>91</v>
      </c>
      <c r="O41" s="17" t="s">
        <v>1284</v>
      </c>
      <c r="P41" s="15" t="n">
        <v>462</v>
      </c>
    </row>
    <row r="42" customFormat="false" ht="43.25" hidden="false" customHeight="false" outlineLevel="0" collapsed="false">
      <c r="A42" s="57" t="s">
        <v>1348</v>
      </c>
      <c r="B42" s="58" t="s">
        <v>1020</v>
      </c>
      <c r="C42" s="58" t="s">
        <v>102</v>
      </c>
      <c r="D42" s="59" t="s">
        <v>1349</v>
      </c>
      <c r="E42" s="58" t="s">
        <v>221</v>
      </c>
      <c r="F42" s="60" t="s">
        <v>1350</v>
      </c>
      <c r="G42" s="58" t="s">
        <v>1351</v>
      </c>
      <c r="H42" s="58" t="s">
        <v>1352</v>
      </c>
      <c r="I42" s="58" t="s">
        <v>1353</v>
      </c>
      <c r="J42" s="58" t="s">
        <v>1354</v>
      </c>
      <c r="K42" s="58" t="s">
        <v>1355</v>
      </c>
      <c r="L42" s="58" t="s">
        <v>1282</v>
      </c>
      <c r="M42" s="58" t="s">
        <v>1356</v>
      </c>
      <c r="N42" s="61" t="s">
        <v>91</v>
      </c>
      <c r="O42" s="58" t="s">
        <v>1284</v>
      </c>
      <c r="P42" s="61" t="n">
        <v>505</v>
      </c>
    </row>
    <row r="43" customFormat="false" ht="22.35" hidden="false" customHeight="false" outlineLevel="0" collapsed="false">
      <c r="A43" s="22" t="s">
        <v>1357</v>
      </c>
      <c r="B43" s="17" t="s">
        <v>1020</v>
      </c>
      <c r="C43" s="17" t="s">
        <v>102</v>
      </c>
      <c r="D43" s="55" t="s">
        <v>1358</v>
      </c>
      <c r="E43" s="17" t="s">
        <v>221</v>
      </c>
      <c r="F43" s="56" t="s">
        <v>1359</v>
      </c>
      <c r="G43" s="17" t="s">
        <v>1360</v>
      </c>
      <c r="H43" s="17" t="s">
        <v>1361</v>
      </c>
      <c r="I43" s="17" t="s">
        <v>1362</v>
      </c>
      <c r="J43" s="17" t="s">
        <v>1363</v>
      </c>
      <c r="K43" s="17" t="s">
        <v>1364</v>
      </c>
      <c r="L43" s="17" t="s">
        <v>1302</v>
      </c>
      <c r="M43" s="17"/>
      <c r="N43" s="15" t="s">
        <v>91</v>
      </c>
      <c r="O43" s="17" t="s">
        <v>1284</v>
      </c>
      <c r="P43" s="15" t="n">
        <v>565</v>
      </c>
    </row>
    <row r="44" customFormat="false" ht="22.35" hidden="false" customHeight="false" outlineLevel="0" collapsed="false">
      <c r="A44" s="57" t="s">
        <v>1365</v>
      </c>
      <c r="B44" s="58" t="s">
        <v>1020</v>
      </c>
      <c r="C44" s="58" t="s">
        <v>102</v>
      </c>
      <c r="D44" s="59" t="s">
        <v>1366</v>
      </c>
      <c r="E44" s="58" t="s">
        <v>221</v>
      </c>
      <c r="F44" s="60" t="s">
        <v>1367</v>
      </c>
      <c r="G44" s="58" t="s">
        <v>1368</v>
      </c>
      <c r="H44" s="58" t="s">
        <v>1369</v>
      </c>
      <c r="I44" s="58" t="s">
        <v>1370</v>
      </c>
      <c r="J44" s="58" t="s">
        <v>1371</v>
      </c>
      <c r="K44" s="58" t="s">
        <v>784</v>
      </c>
      <c r="L44" s="58" t="s">
        <v>1372</v>
      </c>
      <c r="M44" s="58"/>
      <c r="N44" s="61" t="s">
        <v>91</v>
      </c>
      <c r="O44" s="58" t="s">
        <v>1284</v>
      </c>
      <c r="P44" s="61" t="n">
        <v>587</v>
      </c>
    </row>
    <row r="45" customFormat="false" ht="43.25" hidden="false" customHeight="false" outlineLevel="0" collapsed="false">
      <c r="A45" s="22" t="s">
        <v>1373</v>
      </c>
      <c r="B45" s="17" t="s">
        <v>1020</v>
      </c>
      <c r="C45" s="17" t="s">
        <v>102</v>
      </c>
      <c r="D45" s="55" t="s">
        <v>1374</v>
      </c>
      <c r="E45" s="17" t="s">
        <v>221</v>
      </c>
      <c r="F45" s="56" t="s">
        <v>1375</v>
      </c>
      <c r="G45" s="17" t="s">
        <v>1376</v>
      </c>
      <c r="H45" s="17" t="s">
        <v>1377</v>
      </c>
      <c r="I45" s="17" t="s">
        <v>1378</v>
      </c>
      <c r="J45" s="17" t="s">
        <v>1379</v>
      </c>
      <c r="K45" s="17" t="s">
        <v>1380</v>
      </c>
      <c r="L45" s="17" t="s">
        <v>1282</v>
      </c>
      <c r="M45" s="17" t="s">
        <v>1381</v>
      </c>
      <c r="N45" s="15" t="s">
        <v>91</v>
      </c>
      <c r="O45" s="17" t="s">
        <v>1284</v>
      </c>
      <c r="P45" s="15" t="n">
        <v>635</v>
      </c>
    </row>
    <row r="46" customFormat="false" ht="32.8" hidden="false" customHeight="false" outlineLevel="0" collapsed="false">
      <c r="A46" s="57" t="s">
        <v>1382</v>
      </c>
      <c r="B46" s="58" t="s">
        <v>1020</v>
      </c>
      <c r="C46" s="58" t="s">
        <v>102</v>
      </c>
      <c r="D46" s="59" t="s">
        <v>1383</v>
      </c>
      <c r="E46" s="58" t="s">
        <v>221</v>
      </c>
      <c r="F46" s="60" t="s">
        <v>1384</v>
      </c>
      <c r="G46" s="58" t="s">
        <v>1385</v>
      </c>
      <c r="H46" s="58" t="s">
        <v>1386</v>
      </c>
      <c r="I46" s="58" t="s">
        <v>1326</v>
      </c>
      <c r="J46" s="58" t="s">
        <v>1387</v>
      </c>
      <c r="K46" s="58" t="s">
        <v>1192</v>
      </c>
      <c r="L46" s="58" t="s">
        <v>1302</v>
      </c>
      <c r="M46" s="58" t="s">
        <v>1388</v>
      </c>
      <c r="N46" s="61" t="s">
        <v>91</v>
      </c>
      <c r="O46" s="58" t="s">
        <v>1284</v>
      </c>
      <c r="P46" s="61" t="n">
        <v>691</v>
      </c>
    </row>
    <row r="47" customFormat="false" ht="22.35" hidden="false" customHeight="false" outlineLevel="0" collapsed="false">
      <c r="A47" s="22" t="s">
        <v>1389</v>
      </c>
      <c r="B47" s="17" t="s">
        <v>1020</v>
      </c>
      <c r="C47" s="17" t="s">
        <v>102</v>
      </c>
      <c r="D47" s="55" t="s">
        <v>1390</v>
      </c>
      <c r="E47" s="17" t="s">
        <v>236</v>
      </c>
      <c r="F47" s="56" t="s">
        <v>1391</v>
      </c>
      <c r="G47" s="17" t="s">
        <v>1392</v>
      </c>
      <c r="H47" s="17" t="s">
        <v>1393</v>
      </c>
      <c r="I47" s="17" t="s">
        <v>1394</v>
      </c>
      <c r="J47" s="17" t="s">
        <v>1395</v>
      </c>
      <c r="K47" s="17" t="s">
        <v>1396</v>
      </c>
      <c r="L47" s="17" t="s">
        <v>1397</v>
      </c>
      <c r="M47" s="17" t="s">
        <v>1398</v>
      </c>
      <c r="N47" s="15" t="s">
        <v>91</v>
      </c>
      <c r="O47" s="17" t="s">
        <v>1399</v>
      </c>
      <c r="P47" s="15" t="n">
        <v>76</v>
      </c>
    </row>
    <row r="48" customFormat="false" ht="22.35" hidden="false" customHeight="false" outlineLevel="0" collapsed="false">
      <c r="A48" s="57" t="s">
        <v>1400</v>
      </c>
      <c r="B48" s="58" t="s">
        <v>1020</v>
      </c>
      <c r="C48" s="58" t="s">
        <v>102</v>
      </c>
      <c r="D48" s="59" t="s">
        <v>1401</v>
      </c>
      <c r="E48" s="58" t="s">
        <v>223</v>
      </c>
      <c r="F48" s="60" t="s">
        <v>1402</v>
      </c>
      <c r="G48" s="58" t="s">
        <v>1403</v>
      </c>
      <c r="H48" s="58" t="s">
        <v>418</v>
      </c>
      <c r="I48" s="58" t="s">
        <v>1404</v>
      </c>
      <c r="J48" s="58"/>
      <c r="K48" s="58" t="s">
        <v>1405</v>
      </c>
      <c r="L48" s="58" t="s">
        <v>1406</v>
      </c>
      <c r="M48" s="58"/>
      <c r="N48" s="61" t="s">
        <v>91</v>
      </c>
      <c r="O48" s="58" t="s">
        <v>1399</v>
      </c>
      <c r="P48" s="61" t="n">
        <v>163</v>
      </c>
    </row>
    <row r="49" customFormat="false" ht="22.35" hidden="false" customHeight="false" outlineLevel="0" collapsed="false">
      <c r="A49" s="22" t="s">
        <v>1407</v>
      </c>
      <c r="B49" s="17" t="s">
        <v>1020</v>
      </c>
      <c r="C49" s="17" t="s">
        <v>102</v>
      </c>
      <c r="D49" s="55" t="s">
        <v>1408</v>
      </c>
      <c r="E49" s="17" t="s">
        <v>223</v>
      </c>
      <c r="F49" s="56" t="s">
        <v>1409</v>
      </c>
      <c r="G49" s="17" t="s">
        <v>1410</v>
      </c>
      <c r="H49" s="17" t="s">
        <v>418</v>
      </c>
      <c r="I49" s="17" t="s">
        <v>1411</v>
      </c>
      <c r="J49" s="17" t="s">
        <v>1412</v>
      </c>
      <c r="K49" s="17" t="s">
        <v>1413</v>
      </c>
      <c r="L49" s="17" t="s">
        <v>1414</v>
      </c>
      <c r="M49" s="17"/>
      <c r="N49" s="15" t="s">
        <v>91</v>
      </c>
      <c r="O49" s="17" t="s">
        <v>1399</v>
      </c>
      <c r="P49" s="15" t="n">
        <v>170</v>
      </c>
    </row>
    <row r="50" customFormat="false" ht="85.05" hidden="false" customHeight="false" outlineLevel="0" collapsed="false">
      <c r="A50" s="57" t="s">
        <v>1415</v>
      </c>
      <c r="B50" s="58" t="s">
        <v>1020</v>
      </c>
      <c r="C50" s="58" t="s">
        <v>103</v>
      </c>
      <c r="D50" s="59" t="s">
        <v>1416</v>
      </c>
      <c r="E50" s="58" t="s">
        <v>221</v>
      </c>
      <c r="F50" s="60" t="s">
        <v>1417</v>
      </c>
      <c r="G50" s="58" t="s">
        <v>1418</v>
      </c>
      <c r="H50" s="58" t="s">
        <v>1419</v>
      </c>
      <c r="I50" s="58" t="s">
        <v>1420</v>
      </c>
      <c r="J50" s="58" t="s">
        <v>1421</v>
      </c>
      <c r="K50" s="58" t="s">
        <v>784</v>
      </c>
      <c r="L50" s="58" t="s">
        <v>1422</v>
      </c>
      <c r="M50" s="58" t="s">
        <v>1423</v>
      </c>
      <c r="N50" s="61" t="s">
        <v>91</v>
      </c>
      <c r="O50" s="58" t="s">
        <v>1074</v>
      </c>
      <c r="P50" s="61" t="n">
        <v>308</v>
      </c>
    </row>
    <row r="51" customFormat="false" ht="32.8" hidden="false" customHeight="false" outlineLevel="0" collapsed="false">
      <c r="A51" s="22" t="s">
        <v>1424</v>
      </c>
      <c r="B51" s="17" t="s">
        <v>1020</v>
      </c>
      <c r="C51" s="17" t="s">
        <v>103</v>
      </c>
      <c r="D51" s="55" t="s">
        <v>1425</v>
      </c>
      <c r="E51" s="17" t="s">
        <v>223</v>
      </c>
      <c r="F51" s="56" t="s">
        <v>1426</v>
      </c>
      <c r="G51" s="17" t="s">
        <v>1427</v>
      </c>
      <c r="H51" s="17" t="s">
        <v>418</v>
      </c>
      <c r="I51" s="17" t="s">
        <v>1428</v>
      </c>
      <c r="J51" s="17" t="s">
        <v>1429</v>
      </c>
      <c r="K51" s="17" t="s">
        <v>1082</v>
      </c>
      <c r="L51" s="17" t="s">
        <v>1430</v>
      </c>
      <c r="M51" s="17" t="s">
        <v>1431</v>
      </c>
      <c r="N51" s="15" t="s">
        <v>91</v>
      </c>
      <c r="O51" s="17" t="s">
        <v>1432</v>
      </c>
      <c r="P51" s="15" t="n">
        <v>9</v>
      </c>
    </row>
    <row r="52" customFormat="false" ht="53.7" hidden="false" customHeight="false" outlineLevel="0" collapsed="false">
      <c r="A52" s="57" t="s">
        <v>1433</v>
      </c>
      <c r="B52" s="58" t="s">
        <v>1020</v>
      </c>
      <c r="C52" s="58" t="s">
        <v>103</v>
      </c>
      <c r="D52" s="59" t="s">
        <v>1434</v>
      </c>
      <c r="E52" s="58" t="s">
        <v>236</v>
      </c>
      <c r="F52" s="60" t="s">
        <v>1435</v>
      </c>
      <c r="G52" s="58" t="s">
        <v>1436</v>
      </c>
      <c r="H52" s="58" t="s">
        <v>1437</v>
      </c>
      <c r="I52" s="58" t="s">
        <v>1438</v>
      </c>
      <c r="J52" s="58" t="s">
        <v>1439</v>
      </c>
      <c r="K52" s="58" t="s">
        <v>1440</v>
      </c>
      <c r="L52" s="58" t="s">
        <v>1441</v>
      </c>
      <c r="M52" s="58" t="s">
        <v>1442</v>
      </c>
      <c r="N52" s="61" t="s">
        <v>91</v>
      </c>
      <c r="O52" s="58" t="s">
        <v>1432</v>
      </c>
      <c r="P52" s="61" t="n">
        <v>14</v>
      </c>
    </row>
    <row r="53" customFormat="false" ht="22.35" hidden="false" customHeight="false" outlineLevel="0" collapsed="false">
      <c r="A53" s="22" t="s">
        <v>1443</v>
      </c>
      <c r="B53" s="17" t="s">
        <v>1020</v>
      </c>
      <c r="C53" s="17" t="s">
        <v>103</v>
      </c>
      <c r="D53" s="55" t="s">
        <v>1444</v>
      </c>
      <c r="E53" s="17" t="s">
        <v>236</v>
      </c>
      <c r="F53" s="56" t="s">
        <v>1445</v>
      </c>
      <c r="G53" s="17" t="s">
        <v>1446</v>
      </c>
      <c r="H53" s="17" t="s">
        <v>1447</v>
      </c>
      <c r="I53" s="17" t="s">
        <v>1448</v>
      </c>
      <c r="J53" s="17" t="s">
        <v>1449</v>
      </c>
      <c r="K53" s="17" t="s">
        <v>418</v>
      </c>
      <c r="L53" s="17" t="s">
        <v>1416</v>
      </c>
      <c r="M53" s="17" t="s">
        <v>1450</v>
      </c>
      <c r="N53" s="15" t="s">
        <v>91</v>
      </c>
      <c r="O53" s="17" t="s">
        <v>1432</v>
      </c>
      <c r="P53" s="15" t="n">
        <v>122</v>
      </c>
    </row>
    <row r="54" customFormat="false" ht="22.35" hidden="false" customHeight="false" outlineLevel="0" collapsed="false">
      <c r="A54" s="57" t="s">
        <v>1451</v>
      </c>
      <c r="B54" s="58" t="s">
        <v>1020</v>
      </c>
      <c r="C54" s="58" t="s">
        <v>104</v>
      </c>
      <c r="D54" s="59" t="s">
        <v>1452</v>
      </c>
      <c r="E54" s="58" t="s">
        <v>221</v>
      </c>
      <c r="F54" s="60" t="s">
        <v>1453</v>
      </c>
      <c r="G54" s="58" t="s">
        <v>1454</v>
      </c>
      <c r="H54" s="58" t="s">
        <v>1455</v>
      </c>
      <c r="I54" s="58" t="s">
        <v>1456</v>
      </c>
      <c r="J54" s="58" t="s">
        <v>1457</v>
      </c>
      <c r="K54" s="58" t="s">
        <v>418</v>
      </c>
      <c r="L54" s="58" t="s">
        <v>1458</v>
      </c>
      <c r="M54" s="58" t="s">
        <v>1459</v>
      </c>
      <c r="N54" s="61" t="s">
        <v>91</v>
      </c>
      <c r="O54" s="58" t="s">
        <v>1460</v>
      </c>
      <c r="P54" s="61" t="n">
        <v>110</v>
      </c>
    </row>
    <row r="55" customFormat="false" ht="32.8" hidden="false" customHeight="false" outlineLevel="0" collapsed="false">
      <c r="A55" s="22" t="s">
        <v>1461</v>
      </c>
      <c r="B55" s="17" t="s">
        <v>1020</v>
      </c>
      <c r="C55" s="17" t="s">
        <v>104</v>
      </c>
      <c r="D55" s="55" t="s">
        <v>1462</v>
      </c>
      <c r="E55" s="17" t="s">
        <v>221</v>
      </c>
      <c r="F55" s="56" t="s">
        <v>1463</v>
      </c>
      <c r="G55" s="17" t="s">
        <v>1464</v>
      </c>
      <c r="H55" s="17" t="s">
        <v>1465</v>
      </c>
      <c r="I55" s="17" t="s">
        <v>1466</v>
      </c>
      <c r="J55" s="17" t="s">
        <v>1467</v>
      </c>
      <c r="K55" s="17" t="s">
        <v>1468</v>
      </c>
      <c r="L55" s="17" t="s">
        <v>1416</v>
      </c>
      <c r="M55" s="17" t="s">
        <v>1469</v>
      </c>
      <c r="N55" s="15" t="s">
        <v>91</v>
      </c>
      <c r="O55" s="17" t="s">
        <v>1460</v>
      </c>
      <c r="P55" s="15" t="n">
        <v>154</v>
      </c>
    </row>
    <row r="56" customFormat="false" ht="22.35" hidden="false" customHeight="false" outlineLevel="0" collapsed="false">
      <c r="A56" s="57" t="s">
        <v>1470</v>
      </c>
      <c r="B56" s="58" t="s">
        <v>1020</v>
      </c>
      <c r="C56" s="58" t="s">
        <v>104</v>
      </c>
      <c r="D56" s="59" t="s">
        <v>1471</v>
      </c>
      <c r="E56" s="58" t="s">
        <v>221</v>
      </c>
      <c r="F56" s="60" t="s">
        <v>1472</v>
      </c>
      <c r="G56" s="58" t="s">
        <v>1473</v>
      </c>
      <c r="H56" s="58" t="s">
        <v>1474</v>
      </c>
      <c r="I56" s="58" t="s">
        <v>1475</v>
      </c>
      <c r="J56" s="58" t="s">
        <v>1476</v>
      </c>
      <c r="K56" s="58" t="s">
        <v>418</v>
      </c>
      <c r="L56" s="58" t="s">
        <v>1477</v>
      </c>
      <c r="M56" s="58" t="s">
        <v>1478</v>
      </c>
      <c r="N56" s="61" t="s">
        <v>91</v>
      </c>
      <c r="O56" s="58" t="s">
        <v>1479</v>
      </c>
      <c r="P56" s="61" t="n">
        <v>141</v>
      </c>
    </row>
    <row r="57" customFormat="false" ht="32.8" hidden="false" customHeight="false" outlineLevel="0" collapsed="false">
      <c r="A57" s="22" t="s">
        <v>1480</v>
      </c>
      <c r="B57" s="17" t="s">
        <v>1020</v>
      </c>
      <c r="C57" s="17" t="s">
        <v>104</v>
      </c>
      <c r="D57" s="55" t="s">
        <v>1481</v>
      </c>
      <c r="E57" s="17" t="s">
        <v>221</v>
      </c>
      <c r="F57" s="56" t="s">
        <v>1482</v>
      </c>
      <c r="G57" s="17" t="s">
        <v>1483</v>
      </c>
      <c r="H57" s="17" t="s">
        <v>1484</v>
      </c>
      <c r="I57" s="17" t="s">
        <v>1485</v>
      </c>
      <c r="J57" s="17" t="s">
        <v>1486</v>
      </c>
      <c r="K57" s="17" t="s">
        <v>784</v>
      </c>
      <c r="L57" s="17" t="s">
        <v>1487</v>
      </c>
      <c r="M57" s="17" t="s">
        <v>1488</v>
      </c>
      <c r="N57" s="15" t="s">
        <v>91</v>
      </c>
      <c r="O57" s="17" t="s">
        <v>1479</v>
      </c>
      <c r="P57" s="15" t="n">
        <v>188</v>
      </c>
    </row>
    <row r="58" customFormat="false" ht="22.35" hidden="false" customHeight="false" outlineLevel="0" collapsed="false">
      <c r="A58" s="57" t="s">
        <v>1489</v>
      </c>
      <c r="B58" s="58" t="s">
        <v>1020</v>
      </c>
      <c r="C58" s="58" t="s">
        <v>104</v>
      </c>
      <c r="D58" s="59" t="s">
        <v>1490</v>
      </c>
      <c r="E58" s="58" t="s">
        <v>223</v>
      </c>
      <c r="F58" s="60" t="s">
        <v>1491</v>
      </c>
      <c r="G58" s="58" t="s">
        <v>1492</v>
      </c>
      <c r="H58" s="58" t="s">
        <v>418</v>
      </c>
      <c r="I58" s="58" t="s">
        <v>1061</v>
      </c>
      <c r="J58" s="58" t="s">
        <v>1493</v>
      </c>
      <c r="K58" s="58" t="s">
        <v>1037</v>
      </c>
      <c r="L58" s="58" t="s">
        <v>1494</v>
      </c>
      <c r="M58" s="58"/>
      <c r="N58" s="61" t="s">
        <v>91</v>
      </c>
      <c r="O58" s="58" t="s">
        <v>1495</v>
      </c>
      <c r="P58" s="61" t="n">
        <v>25</v>
      </c>
    </row>
    <row r="59" customFormat="false" ht="32.8" hidden="false" customHeight="false" outlineLevel="0" collapsed="false">
      <c r="A59" s="22" t="s">
        <v>1496</v>
      </c>
      <c r="B59" s="17" t="s">
        <v>1020</v>
      </c>
      <c r="C59" s="17" t="s">
        <v>104</v>
      </c>
      <c r="D59" s="55" t="s">
        <v>1497</v>
      </c>
      <c r="E59" s="17" t="s">
        <v>247</v>
      </c>
      <c r="F59" s="56" t="s">
        <v>1498</v>
      </c>
      <c r="G59" s="17" t="s">
        <v>1499</v>
      </c>
      <c r="H59" s="17" t="s">
        <v>1500</v>
      </c>
      <c r="I59" s="17" t="s">
        <v>1501</v>
      </c>
      <c r="J59" s="17" t="s">
        <v>1502</v>
      </c>
      <c r="K59" s="17" t="s">
        <v>1503</v>
      </c>
      <c r="L59" s="17" t="s">
        <v>1504</v>
      </c>
      <c r="M59" s="17" t="s">
        <v>1505</v>
      </c>
      <c r="N59" s="15" t="s">
        <v>91</v>
      </c>
      <c r="O59" s="17" t="s">
        <v>1495</v>
      </c>
      <c r="P59" s="15" t="n">
        <v>31</v>
      </c>
    </row>
    <row r="60" customFormat="false" ht="32.8" hidden="false" customHeight="false" outlineLevel="0" collapsed="false">
      <c r="A60" s="57" t="s">
        <v>1506</v>
      </c>
      <c r="B60" s="58" t="s">
        <v>1020</v>
      </c>
      <c r="C60" s="58" t="s">
        <v>104</v>
      </c>
      <c r="D60" s="59" t="s">
        <v>1494</v>
      </c>
      <c r="E60" s="58" t="s">
        <v>247</v>
      </c>
      <c r="F60" s="60" t="s">
        <v>1507</v>
      </c>
      <c r="G60" s="58" t="s">
        <v>1508</v>
      </c>
      <c r="H60" s="58" t="s">
        <v>1509</v>
      </c>
      <c r="I60" s="58" t="s">
        <v>1510</v>
      </c>
      <c r="J60" s="58" t="s">
        <v>1511</v>
      </c>
      <c r="K60" s="58" t="s">
        <v>1512</v>
      </c>
      <c r="L60" s="58" t="s">
        <v>1513</v>
      </c>
      <c r="M60" s="58" t="s">
        <v>1514</v>
      </c>
      <c r="N60" s="61" t="s">
        <v>91</v>
      </c>
      <c r="O60" s="58" t="s">
        <v>1495</v>
      </c>
      <c r="P60" s="61" t="n">
        <v>44</v>
      </c>
    </row>
    <row r="61" customFormat="false" ht="32.8" hidden="false" customHeight="false" outlineLevel="0" collapsed="false">
      <c r="A61" s="22" t="s">
        <v>1515</v>
      </c>
      <c r="B61" s="17" t="s">
        <v>1020</v>
      </c>
      <c r="C61" s="17" t="s">
        <v>104</v>
      </c>
      <c r="D61" s="55" t="s">
        <v>1516</v>
      </c>
      <c r="E61" s="17" t="s">
        <v>247</v>
      </c>
      <c r="F61" s="56" t="s">
        <v>1517</v>
      </c>
      <c r="G61" s="17" t="s">
        <v>1518</v>
      </c>
      <c r="H61" s="17" t="s">
        <v>1519</v>
      </c>
      <c r="I61" s="17" t="s">
        <v>1520</v>
      </c>
      <c r="J61" s="17" t="s">
        <v>1521</v>
      </c>
      <c r="K61" s="17" t="s">
        <v>784</v>
      </c>
      <c r="L61" s="17" t="s">
        <v>1522</v>
      </c>
      <c r="M61" s="17" t="s">
        <v>1523</v>
      </c>
      <c r="N61" s="15" t="s">
        <v>91</v>
      </c>
      <c r="O61" s="17" t="s">
        <v>1495</v>
      </c>
      <c r="P61" s="15" t="n">
        <v>62</v>
      </c>
    </row>
    <row r="62" customFormat="false" ht="43.25" hidden="false" customHeight="false" outlineLevel="0" collapsed="false">
      <c r="A62" s="57" t="s">
        <v>1524</v>
      </c>
      <c r="B62" s="58" t="s">
        <v>1020</v>
      </c>
      <c r="C62" s="58" t="s">
        <v>104</v>
      </c>
      <c r="D62" s="59" t="s">
        <v>1525</v>
      </c>
      <c r="E62" s="58" t="s">
        <v>247</v>
      </c>
      <c r="F62" s="60" t="s">
        <v>1526</v>
      </c>
      <c r="G62" s="58" t="s">
        <v>1527</v>
      </c>
      <c r="H62" s="58" t="s">
        <v>1528</v>
      </c>
      <c r="I62" s="58" t="s">
        <v>1510</v>
      </c>
      <c r="J62" s="58" t="s">
        <v>1529</v>
      </c>
      <c r="K62" s="58" t="s">
        <v>1530</v>
      </c>
      <c r="L62" s="58" t="s">
        <v>1531</v>
      </c>
      <c r="M62" s="58" t="s">
        <v>1532</v>
      </c>
      <c r="N62" s="61" t="s">
        <v>91</v>
      </c>
      <c r="O62" s="58" t="s">
        <v>1495</v>
      </c>
      <c r="P62" s="61" t="n">
        <v>84</v>
      </c>
    </row>
    <row r="63" customFormat="false" ht="32.8" hidden="false" customHeight="false" outlineLevel="0" collapsed="false">
      <c r="A63" s="22" t="s">
        <v>1533</v>
      </c>
      <c r="B63" s="17" t="s">
        <v>1020</v>
      </c>
      <c r="C63" s="17" t="s">
        <v>104</v>
      </c>
      <c r="D63" s="55" t="s">
        <v>1534</v>
      </c>
      <c r="E63" s="17" t="s">
        <v>247</v>
      </c>
      <c r="F63" s="56" t="s">
        <v>1535</v>
      </c>
      <c r="G63" s="17" t="s">
        <v>1536</v>
      </c>
      <c r="H63" s="17" t="s">
        <v>1537</v>
      </c>
      <c r="I63" s="17" t="s">
        <v>1538</v>
      </c>
      <c r="J63" s="17" t="s">
        <v>1539</v>
      </c>
      <c r="K63" s="17" t="s">
        <v>1468</v>
      </c>
      <c r="L63" s="17" t="s">
        <v>1540</v>
      </c>
      <c r="M63" s="17" t="s">
        <v>1541</v>
      </c>
      <c r="N63" s="15" t="s">
        <v>91</v>
      </c>
      <c r="O63" s="17" t="s">
        <v>1495</v>
      </c>
      <c r="P63" s="15" t="n">
        <v>95</v>
      </c>
    </row>
    <row r="64" customFormat="false" ht="43.25" hidden="false" customHeight="false" outlineLevel="0" collapsed="false">
      <c r="A64" s="57" t="s">
        <v>1542</v>
      </c>
      <c r="B64" s="58" t="s">
        <v>1020</v>
      </c>
      <c r="C64" s="58" t="s">
        <v>104</v>
      </c>
      <c r="D64" s="59" t="s">
        <v>1543</v>
      </c>
      <c r="E64" s="58" t="s">
        <v>223</v>
      </c>
      <c r="F64" s="60" t="s">
        <v>1544</v>
      </c>
      <c r="G64" s="58" t="s">
        <v>1545</v>
      </c>
      <c r="H64" s="58" t="s">
        <v>418</v>
      </c>
      <c r="I64" s="58" t="s">
        <v>1061</v>
      </c>
      <c r="J64" s="58" t="s">
        <v>1062</v>
      </c>
      <c r="K64" s="58" t="s">
        <v>1037</v>
      </c>
      <c r="L64" s="58" t="s">
        <v>1546</v>
      </c>
      <c r="M64" s="58" t="s">
        <v>1547</v>
      </c>
      <c r="N64" s="61" t="s">
        <v>91</v>
      </c>
      <c r="O64" s="58" t="s">
        <v>1548</v>
      </c>
      <c r="P64" s="61" t="n">
        <v>31</v>
      </c>
    </row>
    <row r="65" customFormat="false" ht="32.8" hidden="false" customHeight="false" outlineLevel="0" collapsed="false">
      <c r="A65" s="22" t="s">
        <v>1549</v>
      </c>
      <c r="B65" s="17" t="s">
        <v>1020</v>
      </c>
      <c r="C65" s="17" t="s">
        <v>104</v>
      </c>
      <c r="D65" s="55" t="s">
        <v>1550</v>
      </c>
      <c r="E65" s="17" t="s">
        <v>236</v>
      </c>
      <c r="F65" s="56" t="s">
        <v>1551</v>
      </c>
      <c r="G65" s="17" t="s">
        <v>1552</v>
      </c>
      <c r="H65" s="17" t="s">
        <v>1553</v>
      </c>
      <c r="I65" s="17" t="s">
        <v>1554</v>
      </c>
      <c r="J65" s="17" t="s">
        <v>1555</v>
      </c>
      <c r="K65" s="17" t="s">
        <v>1503</v>
      </c>
      <c r="L65" s="17" t="s">
        <v>1556</v>
      </c>
      <c r="M65" s="17" t="s">
        <v>1557</v>
      </c>
      <c r="N65" s="15" t="s">
        <v>91</v>
      </c>
      <c r="O65" s="17" t="s">
        <v>1548</v>
      </c>
      <c r="P65" s="15" t="n">
        <v>35</v>
      </c>
    </row>
    <row r="66" customFormat="false" ht="22.35" hidden="false" customHeight="false" outlineLevel="0" collapsed="false">
      <c r="A66" s="57" t="s">
        <v>1558</v>
      </c>
      <c r="B66" s="58" t="s">
        <v>1020</v>
      </c>
      <c r="C66" s="58" t="s">
        <v>104</v>
      </c>
      <c r="D66" s="59" t="s">
        <v>1559</v>
      </c>
      <c r="E66" s="58" t="s">
        <v>236</v>
      </c>
      <c r="F66" s="60" t="s">
        <v>1560</v>
      </c>
      <c r="G66" s="58" t="s">
        <v>1561</v>
      </c>
      <c r="H66" s="58" t="s">
        <v>1562</v>
      </c>
      <c r="I66" s="58" t="s">
        <v>1563</v>
      </c>
      <c r="J66" s="58" t="s">
        <v>1564</v>
      </c>
      <c r="K66" s="58" t="s">
        <v>1503</v>
      </c>
      <c r="L66" s="58" t="s">
        <v>1565</v>
      </c>
      <c r="M66" s="58" t="s">
        <v>1566</v>
      </c>
      <c r="N66" s="61" t="s">
        <v>91</v>
      </c>
      <c r="O66" s="58" t="s">
        <v>1548</v>
      </c>
      <c r="P66" s="61" t="n">
        <v>47</v>
      </c>
    </row>
    <row r="67" customFormat="false" ht="43.25" hidden="false" customHeight="false" outlineLevel="0" collapsed="false">
      <c r="A67" s="22" t="s">
        <v>1567</v>
      </c>
      <c r="B67" s="17" t="s">
        <v>1020</v>
      </c>
      <c r="C67" s="17" t="s">
        <v>104</v>
      </c>
      <c r="D67" s="55" t="s">
        <v>1568</v>
      </c>
      <c r="E67" s="17" t="s">
        <v>236</v>
      </c>
      <c r="F67" s="56" t="s">
        <v>1569</v>
      </c>
      <c r="G67" s="17" t="s">
        <v>1570</v>
      </c>
      <c r="H67" s="17" t="s">
        <v>1571</v>
      </c>
      <c r="I67" s="17" t="s">
        <v>1572</v>
      </c>
      <c r="J67" s="17" t="s">
        <v>1573</v>
      </c>
      <c r="K67" s="17" t="s">
        <v>1512</v>
      </c>
      <c r="L67" s="17" t="s">
        <v>1574</v>
      </c>
      <c r="M67" s="17"/>
      <c r="N67" s="15" t="s">
        <v>91</v>
      </c>
      <c r="O67" s="17" t="s">
        <v>1548</v>
      </c>
      <c r="P67" s="15" t="n">
        <v>56</v>
      </c>
    </row>
    <row r="68" customFormat="false" ht="53.7" hidden="false" customHeight="false" outlineLevel="0" collapsed="false">
      <c r="A68" s="57" t="s">
        <v>1575</v>
      </c>
      <c r="B68" s="58" t="s">
        <v>1020</v>
      </c>
      <c r="C68" s="58" t="s">
        <v>104</v>
      </c>
      <c r="D68" s="59" t="s">
        <v>1576</v>
      </c>
      <c r="E68" s="58" t="s">
        <v>236</v>
      </c>
      <c r="F68" s="60" t="s">
        <v>1577</v>
      </c>
      <c r="G68" s="58" t="s">
        <v>1578</v>
      </c>
      <c r="H68" s="58" t="s">
        <v>1579</v>
      </c>
      <c r="I68" s="58" t="s">
        <v>1580</v>
      </c>
      <c r="J68" s="58" t="s">
        <v>1581</v>
      </c>
      <c r="K68" s="58" t="s">
        <v>784</v>
      </c>
      <c r="L68" s="58" t="s">
        <v>1582</v>
      </c>
      <c r="M68" s="58" t="s">
        <v>1583</v>
      </c>
      <c r="N68" s="61" t="s">
        <v>91</v>
      </c>
      <c r="O68" s="58" t="s">
        <v>1548</v>
      </c>
      <c r="P68" s="61" t="n">
        <v>75</v>
      </c>
    </row>
    <row r="69" customFormat="false" ht="22.35" hidden="false" customHeight="false" outlineLevel="0" collapsed="false">
      <c r="A69" s="22" t="s">
        <v>1584</v>
      </c>
      <c r="B69" s="17" t="s">
        <v>1020</v>
      </c>
      <c r="C69" s="17" t="s">
        <v>104</v>
      </c>
      <c r="D69" s="55" t="s">
        <v>1585</v>
      </c>
      <c r="E69" s="17" t="s">
        <v>236</v>
      </c>
      <c r="F69" s="56" t="s">
        <v>1586</v>
      </c>
      <c r="G69" s="17" t="s">
        <v>1587</v>
      </c>
      <c r="H69" s="17" t="s">
        <v>1588</v>
      </c>
      <c r="I69" s="17" t="s">
        <v>1589</v>
      </c>
      <c r="J69" s="17" t="s">
        <v>1590</v>
      </c>
      <c r="K69" s="17" t="s">
        <v>418</v>
      </c>
      <c r="L69" s="17" t="s">
        <v>1591</v>
      </c>
      <c r="M69" s="17" t="s">
        <v>1592</v>
      </c>
      <c r="N69" s="15" t="s">
        <v>91</v>
      </c>
      <c r="O69" s="17" t="s">
        <v>1548</v>
      </c>
      <c r="P69" s="15" t="n">
        <v>84</v>
      </c>
    </row>
    <row r="70" customFormat="false" ht="32.8" hidden="false" customHeight="false" outlineLevel="0" collapsed="false">
      <c r="A70" s="57" t="s">
        <v>1593</v>
      </c>
      <c r="B70" s="58" t="s">
        <v>1020</v>
      </c>
      <c r="C70" s="58" t="s">
        <v>105</v>
      </c>
      <c r="D70" s="59" t="s">
        <v>1594</v>
      </c>
      <c r="E70" s="58" t="s">
        <v>221</v>
      </c>
      <c r="F70" s="60" t="s">
        <v>1595</v>
      </c>
      <c r="G70" s="58" t="s">
        <v>1596</v>
      </c>
      <c r="H70" s="58" t="s">
        <v>1597</v>
      </c>
      <c r="I70" s="58" t="s">
        <v>1598</v>
      </c>
      <c r="J70" s="58" t="s">
        <v>1599</v>
      </c>
      <c r="K70" s="58" t="s">
        <v>1600</v>
      </c>
      <c r="L70" s="58" t="s">
        <v>1601</v>
      </c>
      <c r="M70" s="58" t="s">
        <v>1602</v>
      </c>
      <c r="N70" s="61" t="s">
        <v>91</v>
      </c>
      <c r="O70" s="58" t="s">
        <v>1094</v>
      </c>
      <c r="P70" s="61" t="n">
        <v>764</v>
      </c>
    </row>
    <row r="71" customFormat="false" ht="32.8" hidden="false" customHeight="false" outlineLevel="0" collapsed="false">
      <c r="A71" s="22" t="s">
        <v>1603</v>
      </c>
      <c r="B71" s="17" t="s">
        <v>1020</v>
      </c>
      <c r="C71" s="17" t="s">
        <v>105</v>
      </c>
      <c r="D71" s="55" t="s">
        <v>1604</v>
      </c>
      <c r="E71" s="17" t="s">
        <v>229</v>
      </c>
      <c r="F71" s="56" t="s">
        <v>1605</v>
      </c>
      <c r="G71" s="17" t="s">
        <v>1606</v>
      </c>
      <c r="H71" s="17" t="s">
        <v>1607</v>
      </c>
      <c r="I71" s="17" t="s">
        <v>1608</v>
      </c>
      <c r="J71" s="17" t="s">
        <v>1609</v>
      </c>
      <c r="K71" s="17" t="s">
        <v>1610</v>
      </c>
      <c r="L71" s="17" t="s">
        <v>1611</v>
      </c>
      <c r="M71" s="17" t="s">
        <v>1612</v>
      </c>
      <c r="N71" s="15" t="s">
        <v>91</v>
      </c>
      <c r="O71" s="17" t="s">
        <v>1094</v>
      </c>
      <c r="P71" s="15" t="n">
        <v>849</v>
      </c>
    </row>
    <row r="72" customFormat="false" ht="43.25" hidden="false" customHeight="false" outlineLevel="0" collapsed="false">
      <c r="A72" s="57" t="s">
        <v>1613</v>
      </c>
      <c r="B72" s="58" t="s">
        <v>1020</v>
      </c>
      <c r="C72" s="58" t="s">
        <v>105</v>
      </c>
      <c r="D72" s="59" t="s">
        <v>1614</v>
      </c>
      <c r="E72" s="58" t="s">
        <v>221</v>
      </c>
      <c r="F72" s="60" t="s">
        <v>1615</v>
      </c>
      <c r="G72" s="58" t="s">
        <v>1616</v>
      </c>
      <c r="H72" s="58" t="s">
        <v>1617</v>
      </c>
      <c r="I72" s="58" t="s">
        <v>1394</v>
      </c>
      <c r="J72" s="58" t="s">
        <v>1618</v>
      </c>
      <c r="K72" s="58" t="s">
        <v>485</v>
      </c>
      <c r="L72" s="58" t="s">
        <v>1619</v>
      </c>
      <c r="M72" s="58" t="s">
        <v>1620</v>
      </c>
      <c r="N72" s="61" t="s">
        <v>91</v>
      </c>
      <c r="O72" s="58" t="s">
        <v>1094</v>
      </c>
      <c r="P72" s="61" t="n">
        <v>2023</v>
      </c>
    </row>
    <row r="73" customFormat="false" ht="22.35" hidden="false" customHeight="false" outlineLevel="0" collapsed="false">
      <c r="A73" s="22" t="s">
        <v>1621</v>
      </c>
      <c r="B73" s="17" t="s">
        <v>1020</v>
      </c>
      <c r="C73" s="17" t="s">
        <v>105</v>
      </c>
      <c r="D73" s="55" t="s">
        <v>1622</v>
      </c>
      <c r="E73" s="17" t="s">
        <v>221</v>
      </c>
      <c r="F73" s="56" t="s">
        <v>1623</v>
      </c>
      <c r="G73" s="17" t="s">
        <v>1624</v>
      </c>
      <c r="H73" s="17" t="s">
        <v>1625</v>
      </c>
      <c r="I73" s="17" t="s">
        <v>1626</v>
      </c>
      <c r="J73" s="17" t="s">
        <v>1627</v>
      </c>
      <c r="K73" s="17" t="s">
        <v>485</v>
      </c>
      <c r="L73" s="17" t="s">
        <v>1628</v>
      </c>
      <c r="M73" s="17" t="s">
        <v>1629</v>
      </c>
      <c r="N73" s="15" t="s">
        <v>91</v>
      </c>
      <c r="O73" s="17" t="s">
        <v>1094</v>
      </c>
      <c r="P73" s="15" t="n">
        <v>2032</v>
      </c>
    </row>
    <row r="74" customFormat="false" ht="32.8" hidden="false" customHeight="false" outlineLevel="0" collapsed="false">
      <c r="A74" s="57" t="s">
        <v>1630</v>
      </c>
      <c r="B74" s="58" t="s">
        <v>1020</v>
      </c>
      <c r="C74" s="58" t="s">
        <v>105</v>
      </c>
      <c r="D74" s="59" t="s">
        <v>1631</v>
      </c>
      <c r="E74" s="58" t="s">
        <v>221</v>
      </c>
      <c r="F74" s="60" t="s">
        <v>1632</v>
      </c>
      <c r="G74" s="58" t="s">
        <v>1633</v>
      </c>
      <c r="H74" s="58" t="s">
        <v>1634</v>
      </c>
      <c r="I74" s="58" t="s">
        <v>1635</v>
      </c>
      <c r="J74" s="58" t="s">
        <v>1636</v>
      </c>
      <c r="K74" s="58" t="s">
        <v>485</v>
      </c>
      <c r="L74" s="58" t="s">
        <v>1637</v>
      </c>
      <c r="M74" s="58"/>
      <c r="N74" s="61" t="s">
        <v>91</v>
      </c>
      <c r="O74" s="58" t="s">
        <v>1094</v>
      </c>
      <c r="P74" s="61" t="n">
        <v>2040</v>
      </c>
    </row>
    <row r="75" customFormat="false" ht="43.25" hidden="false" customHeight="false" outlineLevel="0" collapsed="false">
      <c r="A75" s="22" t="s">
        <v>1638</v>
      </c>
      <c r="B75" s="17" t="s">
        <v>1020</v>
      </c>
      <c r="C75" s="17" t="s">
        <v>105</v>
      </c>
      <c r="D75" s="55" t="s">
        <v>1639</v>
      </c>
      <c r="E75" s="17" t="s">
        <v>221</v>
      </c>
      <c r="F75" s="56" t="s">
        <v>1640</v>
      </c>
      <c r="G75" s="17" t="s">
        <v>1641</v>
      </c>
      <c r="H75" s="17" t="s">
        <v>1642</v>
      </c>
      <c r="I75" s="17" t="s">
        <v>1643</v>
      </c>
      <c r="J75" s="17" t="s">
        <v>1644</v>
      </c>
      <c r="K75" s="17" t="s">
        <v>1645</v>
      </c>
      <c r="L75" s="17" t="s">
        <v>1646</v>
      </c>
      <c r="M75" s="17"/>
      <c r="N75" s="15" t="s">
        <v>91</v>
      </c>
      <c r="O75" s="17" t="s">
        <v>1094</v>
      </c>
      <c r="P75" s="15" t="n">
        <v>2105</v>
      </c>
    </row>
    <row r="76" customFormat="false" ht="43.25" hidden="false" customHeight="false" outlineLevel="0" collapsed="false">
      <c r="A76" s="57" t="s">
        <v>1647</v>
      </c>
      <c r="B76" s="58" t="s">
        <v>1020</v>
      </c>
      <c r="C76" s="58" t="s">
        <v>105</v>
      </c>
      <c r="D76" s="59" t="s">
        <v>1648</v>
      </c>
      <c r="E76" s="58" t="s">
        <v>229</v>
      </c>
      <c r="F76" s="60" t="s">
        <v>1649</v>
      </c>
      <c r="G76" s="58" t="s">
        <v>1650</v>
      </c>
      <c r="H76" s="58" t="s">
        <v>1651</v>
      </c>
      <c r="I76" s="58" t="s">
        <v>1652</v>
      </c>
      <c r="J76" s="58" t="s">
        <v>1653</v>
      </c>
      <c r="K76" s="58" t="s">
        <v>485</v>
      </c>
      <c r="L76" s="58" t="s">
        <v>1092</v>
      </c>
      <c r="M76" s="58" t="s">
        <v>1654</v>
      </c>
      <c r="N76" s="61" t="s">
        <v>91</v>
      </c>
      <c r="O76" s="58" t="s">
        <v>1094</v>
      </c>
      <c r="P76" s="61" t="n">
        <v>2274</v>
      </c>
    </row>
    <row r="77" customFormat="false" ht="32.8" hidden="false" customHeight="false" outlineLevel="0" collapsed="false">
      <c r="A77" s="22" t="s">
        <v>1655</v>
      </c>
      <c r="B77" s="17" t="s">
        <v>1020</v>
      </c>
      <c r="C77" s="17" t="s">
        <v>105</v>
      </c>
      <c r="D77" s="55" t="s">
        <v>1656</v>
      </c>
      <c r="E77" s="17" t="s">
        <v>221</v>
      </c>
      <c r="F77" s="56" t="s">
        <v>1657</v>
      </c>
      <c r="G77" s="17" t="s">
        <v>1658</v>
      </c>
      <c r="H77" s="17" t="s">
        <v>1659</v>
      </c>
      <c r="I77" s="17" t="s">
        <v>1660</v>
      </c>
      <c r="J77" s="17" t="s">
        <v>1661</v>
      </c>
      <c r="K77" s="17" t="s">
        <v>485</v>
      </c>
      <c r="L77" s="17" t="s">
        <v>1662</v>
      </c>
      <c r="M77" s="17"/>
      <c r="N77" s="15" t="s">
        <v>91</v>
      </c>
      <c r="O77" s="17" t="s">
        <v>1094</v>
      </c>
      <c r="P77" s="15" t="n">
        <v>2329</v>
      </c>
    </row>
    <row r="78" customFormat="false" ht="32.8" hidden="false" customHeight="false" outlineLevel="0" collapsed="false">
      <c r="A78" s="57" t="s">
        <v>1663</v>
      </c>
      <c r="B78" s="58" t="s">
        <v>1020</v>
      </c>
      <c r="C78" s="58" t="s">
        <v>105</v>
      </c>
      <c r="D78" s="59" t="s">
        <v>1664</v>
      </c>
      <c r="E78" s="58" t="s">
        <v>223</v>
      </c>
      <c r="F78" s="60" t="s">
        <v>1665</v>
      </c>
      <c r="G78" s="58" t="s">
        <v>1666</v>
      </c>
      <c r="H78" s="58" t="s">
        <v>418</v>
      </c>
      <c r="I78" s="58" t="s">
        <v>1667</v>
      </c>
      <c r="J78" s="58"/>
      <c r="K78" s="58" t="s">
        <v>656</v>
      </c>
      <c r="L78" s="58" t="s">
        <v>1668</v>
      </c>
      <c r="M78" s="58"/>
      <c r="N78" s="61" t="s">
        <v>91</v>
      </c>
      <c r="O78" s="58" t="s">
        <v>1094</v>
      </c>
      <c r="P78" s="61" t="n">
        <v>2331</v>
      </c>
    </row>
    <row r="79" customFormat="false" ht="43.25" hidden="false" customHeight="false" outlineLevel="0" collapsed="false">
      <c r="A79" s="22" t="s">
        <v>1669</v>
      </c>
      <c r="B79" s="17" t="s">
        <v>1020</v>
      </c>
      <c r="C79" s="17" t="s">
        <v>105</v>
      </c>
      <c r="D79" s="55" t="s">
        <v>1670</v>
      </c>
      <c r="E79" s="17" t="s">
        <v>221</v>
      </c>
      <c r="F79" s="56" t="s">
        <v>1671</v>
      </c>
      <c r="G79" s="17" t="s">
        <v>1672</v>
      </c>
      <c r="H79" s="17" t="s">
        <v>1673</v>
      </c>
      <c r="I79" s="17" t="s">
        <v>1674</v>
      </c>
      <c r="J79" s="17" t="s">
        <v>1675</v>
      </c>
      <c r="K79" s="17" t="s">
        <v>485</v>
      </c>
      <c r="L79" s="17" t="s">
        <v>1676</v>
      </c>
      <c r="M79" s="17" t="s">
        <v>1677</v>
      </c>
      <c r="N79" s="15" t="s">
        <v>91</v>
      </c>
      <c r="O79" s="17" t="s">
        <v>1094</v>
      </c>
      <c r="P79" s="15" t="n">
        <v>2388</v>
      </c>
    </row>
    <row r="80" customFormat="false" ht="22.35" hidden="false" customHeight="false" outlineLevel="0" collapsed="false">
      <c r="A80" s="57" t="s">
        <v>1678</v>
      </c>
      <c r="B80" s="58" t="s">
        <v>1020</v>
      </c>
      <c r="C80" s="58" t="s">
        <v>106</v>
      </c>
      <c r="D80" s="59" t="s">
        <v>1679</v>
      </c>
      <c r="E80" s="58" t="s">
        <v>223</v>
      </c>
      <c r="F80" s="60" t="s">
        <v>1680</v>
      </c>
      <c r="G80" s="58" t="s">
        <v>1681</v>
      </c>
      <c r="H80" s="58" t="s">
        <v>418</v>
      </c>
      <c r="I80" s="58" t="s">
        <v>1682</v>
      </c>
      <c r="J80" s="58"/>
      <c r="K80" s="58" t="s">
        <v>1683</v>
      </c>
      <c r="L80" s="58" t="s">
        <v>1684</v>
      </c>
      <c r="M80" s="58"/>
      <c r="N80" s="61" t="s">
        <v>91</v>
      </c>
      <c r="O80" s="58" t="s">
        <v>1074</v>
      </c>
      <c r="P80" s="61" t="n">
        <v>28</v>
      </c>
    </row>
    <row r="81" customFormat="false" ht="22.35" hidden="false" customHeight="false" outlineLevel="0" collapsed="false">
      <c r="A81" s="22" t="s">
        <v>1685</v>
      </c>
      <c r="B81" s="17" t="s">
        <v>1020</v>
      </c>
      <c r="C81" s="17" t="s">
        <v>106</v>
      </c>
      <c r="D81" s="55" t="s">
        <v>1686</v>
      </c>
      <c r="E81" s="17" t="s">
        <v>221</v>
      </c>
      <c r="F81" s="56" t="s">
        <v>1687</v>
      </c>
      <c r="G81" s="17" t="s">
        <v>1688</v>
      </c>
      <c r="H81" s="17" t="s">
        <v>1689</v>
      </c>
      <c r="I81" s="17" t="s">
        <v>1690</v>
      </c>
      <c r="J81" s="17" t="s">
        <v>1691</v>
      </c>
      <c r="K81" s="17" t="s">
        <v>1413</v>
      </c>
      <c r="L81" s="17" t="s">
        <v>1692</v>
      </c>
      <c r="M81" s="17" t="s">
        <v>1693</v>
      </c>
      <c r="N81" s="15" t="s">
        <v>91</v>
      </c>
      <c r="O81" s="17" t="s">
        <v>1074</v>
      </c>
      <c r="P81" s="15" t="n">
        <v>422</v>
      </c>
    </row>
    <row r="82" customFormat="false" ht="32.8" hidden="false" customHeight="false" outlineLevel="0" collapsed="false">
      <c r="A82" s="57" t="s">
        <v>1694</v>
      </c>
      <c r="B82" s="58" t="s">
        <v>1020</v>
      </c>
      <c r="C82" s="58" t="s">
        <v>106</v>
      </c>
      <c r="D82" s="59" t="s">
        <v>1684</v>
      </c>
      <c r="E82" s="58" t="s">
        <v>221</v>
      </c>
      <c r="F82" s="60" t="s">
        <v>1695</v>
      </c>
      <c r="G82" s="58" t="s">
        <v>1696</v>
      </c>
      <c r="H82" s="58" t="s">
        <v>1697</v>
      </c>
      <c r="I82" s="58" t="s">
        <v>1698</v>
      </c>
      <c r="J82" s="58" t="s">
        <v>1699</v>
      </c>
      <c r="K82" s="58" t="s">
        <v>1700</v>
      </c>
      <c r="L82" s="58" t="s">
        <v>1701</v>
      </c>
      <c r="M82" s="58" t="s">
        <v>1702</v>
      </c>
      <c r="N82" s="61" t="s">
        <v>91</v>
      </c>
      <c r="O82" s="58" t="s">
        <v>1074</v>
      </c>
      <c r="P82" s="61" t="n">
        <v>443</v>
      </c>
    </row>
    <row r="83" customFormat="false" ht="32.8" hidden="false" customHeight="false" outlineLevel="0" collapsed="false">
      <c r="A83" s="22" t="s">
        <v>1703</v>
      </c>
      <c r="B83" s="17" t="s">
        <v>1020</v>
      </c>
      <c r="C83" s="17" t="s">
        <v>106</v>
      </c>
      <c r="D83" s="55" t="s">
        <v>1704</v>
      </c>
      <c r="E83" s="17" t="s">
        <v>223</v>
      </c>
      <c r="F83" s="56" t="s">
        <v>1705</v>
      </c>
      <c r="G83" s="17" t="s">
        <v>1706</v>
      </c>
      <c r="H83" s="17" t="s">
        <v>418</v>
      </c>
      <c r="I83" s="17" t="s">
        <v>1707</v>
      </c>
      <c r="J83" s="17" t="s">
        <v>1708</v>
      </c>
      <c r="K83" s="17" t="s">
        <v>1709</v>
      </c>
      <c r="L83" s="17" t="s">
        <v>1710</v>
      </c>
      <c r="M83" s="17" t="s">
        <v>1711</v>
      </c>
      <c r="N83" s="15" t="s">
        <v>91</v>
      </c>
      <c r="O83" s="17" t="s">
        <v>1074</v>
      </c>
      <c r="P83" s="15" t="n">
        <v>447</v>
      </c>
    </row>
    <row r="84" customFormat="false" ht="22.35" hidden="false" customHeight="false" outlineLevel="0" collapsed="false">
      <c r="A84" s="57" t="s">
        <v>1712</v>
      </c>
      <c r="B84" s="58" t="s">
        <v>1020</v>
      </c>
      <c r="C84" s="58" t="s">
        <v>106</v>
      </c>
      <c r="D84" s="59" t="s">
        <v>1713</v>
      </c>
      <c r="E84" s="58" t="s">
        <v>223</v>
      </c>
      <c r="F84" s="60" t="s">
        <v>1714</v>
      </c>
      <c r="G84" s="58" t="s">
        <v>1715</v>
      </c>
      <c r="H84" s="58" t="s">
        <v>418</v>
      </c>
      <c r="I84" s="58" t="s">
        <v>1716</v>
      </c>
      <c r="J84" s="58" t="s">
        <v>1717</v>
      </c>
      <c r="K84" s="58" t="s">
        <v>753</v>
      </c>
      <c r="L84" s="58" t="s">
        <v>1718</v>
      </c>
      <c r="M84" s="58" t="s">
        <v>1719</v>
      </c>
      <c r="N84" s="61" t="s">
        <v>91</v>
      </c>
      <c r="O84" s="58" t="s">
        <v>1074</v>
      </c>
      <c r="P84" s="61" t="n">
        <v>448</v>
      </c>
    </row>
    <row r="85" customFormat="false" ht="32.8" hidden="false" customHeight="false" outlineLevel="0" collapsed="false">
      <c r="A85" s="22" t="s">
        <v>1720</v>
      </c>
      <c r="B85" s="17" t="s">
        <v>1020</v>
      </c>
      <c r="C85" s="17" t="s">
        <v>106</v>
      </c>
      <c r="D85" s="55" t="s">
        <v>1721</v>
      </c>
      <c r="E85" s="17" t="s">
        <v>229</v>
      </c>
      <c r="F85" s="56" t="s">
        <v>1722</v>
      </c>
      <c r="G85" s="17" t="s">
        <v>1723</v>
      </c>
      <c r="H85" s="17" t="s">
        <v>1724</v>
      </c>
      <c r="I85" s="17" t="s">
        <v>1725</v>
      </c>
      <c r="J85" s="17" t="s">
        <v>1726</v>
      </c>
      <c r="K85" s="17" t="s">
        <v>1413</v>
      </c>
      <c r="L85" s="17" t="s">
        <v>1718</v>
      </c>
      <c r="M85" s="17" t="s">
        <v>1727</v>
      </c>
      <c r="N85" s="15" t="s">
        <v>91</v>
      </c>
      <c r="O85" s="17" t="s">
        <v>1074</v>
      </c>
      <c r="P85" s="15" t="n">
        <v>456</v>
      </c>
    </row>
    <row r="86" customFormat="false" ht="22.35" hidden="false" customHeight="false" outlineLevel="0" collapsed="false">
      <c r="A86" s="57" t="s">
        <v>1728</v>
      </c>
      <c r="B86" s="58" t="s">
        <v>1020</v>
      </c>
      <c r="C86" s="58" t="s">
        <v>106</v>
      </c>
      <c r="D86" s="59" t="s">
        <v>1729</v>
      </c>
      <c r="E86" s="58" t="s">
        <v>229</v>
      </c>
      <c r="F86" s="60" t="s">
        <v>1730</v>
      </c>
      <c r="G86" s="58" t="s">
        <v>1731</v>
      </c>
      <c r="H86" s="58" t="s">
        <v>1732</v>
      </c>
      <c r="I86" s="58" t="s">
        <v>1733</v>
      </c>
      <c r="J86" s="58" t="s">
        <v>1734</v>
      </c>
      <c r="K86" s="58" t="s">
        <v>1735</v>
      </c>
      <c r="L86" s="58" t="s">
        <v>1718</v>
      </c>
      <c r="M86" s="58" t="s">
        <v>1736</v>
      </c>
      <c r="N86" s="61" t="s">
        <v>91</v>
      </c>
      <c r="O86" s="58" t="s">
        <v>1074</v>
      </c>
      <c r="P86" s="61" t="n">
        <v>500</v>
      </c>
    </row>
    <row r="87" customFormat="false" ht="22.35" hidden="false" customHeight="false" outlineLevel="0" collapsed="false">
      <c r="A87" s="22" t="s">
        <v>1737</v>
      </c>
      <c r="B87" s="17" t="s">
        <v>1020</v>
      </c>
      <c r="C87" s="17" t="s">
        <v>106</v>
      </c>
      <c r="D87" s="55" t="s">
        <v>1738</v>
      </c>
      <c r="E87" s="17" t="s">
        <v>223</v>
      </c>
      <c r="F87" s="56" t="s">
        <v>1739</v>
      </c>
      <c r="G87" s="17" t="s">
        <v>1740</v>
      </c>
      <c r="H87" s="17" t="s">
        <v>418</v>
      </c>
      <c r="I87" s="17" t="s">
        <v>1741</v>
      </c>
      <c r="J87" s="17" t="s">
        <v>1742</v>
      </c>
      <c r="K87" s="17" t="s">
        <v>1735</v>
      </c>
      <c r="L87" s="17" t="s">
        <v>1718</v>
      </c>
      <c r="M87" s="17"/>
      <c r="N87" s="15" t="s">
        <v>91</v>
      </c>
      <c r="O87" s="17" t="s">
        <v>1074</v>
      </c>
      <c r="P87" s="15" t="n">
        <v>511</v>
      </c>
    </row>
    <row r="88" customFormat="false" ht="32.8" hidden="false" customHeight="false" outlineLevel="0" collapsed="false">
      <c r="A88" s="57" t="s">
        <v>1743</v>
      </c>
      <c r="B88" s="58" t="s">
        <v>1020</v>
      </c>
      <c r="C88" s="58" t="s">
        <v>106</v>
      </c>
      <c r="D88" s="59" t="s">
        <v>1744</v>
      </c>
      <c r="E88" s="58" t="s">
        <v>229</v>
      </c>
      <c r="F88" s="60" t="s">
        <v>1745</v>
      </c>
      <c r="G88" s="58" t="s">
        <v>1746</v>
      </c>
      <c r="H88" s="58" t="s">
        <v>1747</v>
      </c>
      <c r="I88" s="58" t="s">
        <v>1748</v>
      </c>
      <c r="J88" s="58" t="s">
        <v>1749</v>
      </c>
      <c r="K88" s="58" t="s">
        <v>1082</v>
      </c>
      <c r="L88" s="58" t="s">
        <v>1718</v>
      </c>
      <c r="M88" s="58" t="s">
        <v>1750</v>
      </c>
      <c r="N88" s="61" t="s">
        <v>91</v>
      </c>
      <c r="O88" s="58" t="s">
        <v>1074</v>
      </c>
      <c r="P88" s="61" t="n">
        <v>521</v>
      </c>
    </row>
    <row r="89" customFormat="false" ht="22.35" hidden="false" customHeight="false" outlineLevel="0" collapsed="false">
      <c r="A89" s="22" t="s">
        <v>1751</v>
      </c>
      <c r="B89" s="17" t="s">
        <v>1020</v>
      </c>
      <c r="C89" s="17" t="s">
        <v>106</v>
      </c>
      <c r="D89" s="55" t="s">
        <v>1752</v>
      </c>
      <c r="E89" s="17" t="s">
        <v>229</v>
      </c>
      <c r="F89" s="56" t="s">
        <v>1753</v>
      </c>
      <c r="G89" s="17" t="s">
        <v>1754</v>
      </c>
      <c r="H89" s="17" t="s">
        <v>1755</v>
      </c>
      <c r="I89" s="17" t="s">
        <v>1756</v>
      </c>
      <c r="J89" s="17" t="s">
        <v>1757</v>
      </c>
      <c r="K89" s="17" t="s">
        <v>1413</v>
      </c>
      <c r="L89" s="17" t="s">
        <v>1758</v>
      </c>
      <c r="M89" s="17" t="s">
        <v>1759</v>
      </c>
      <c r="N89" s="15" t="s">
        <v>91</v>
      </c>
      <c r="O89" s="17" t="s">
        <v>1074</v>
      </c>
      <c r="P89" s="15" t="n">
        <v>531</v>
      </c>
    </row>
    <row r="90" customFormat="false" ht="32.8" hidden="false" customHeight="false" outlineLevel="0" collapsed="false">
      <c r="A90" s="57" t="s">
        <v>1760</v>
      </c>
      <c r="B90" s="58" t="s">
        <v>1020</v>
      </c>
      <c r="C90" s="58" t="s">
        <v>106</v>
      </c>
      <c r="D90" s="59" t="s">
        <v>1761</v>
      </c>
      <c r="E90" s="58" t="s">
        <v>229</v>
      </c>
      <c r="F90" s="60" t="s">
        <v>1762</v>
      </c>
      <c r="G90" s="58" t="s">
        <v>1763</v>
      </c>
      <c r="H90" s="58" t="s">
        <v>1764</v>
      </c>
      <c r="I90" s="58" t="s">
        <v>1765</v>
      </c>
      <c r="J90" s="58" t="s">
        <v>1766</v>
      </c>
      <c r="K90" s="58" t="s">
        <v>485</v>
      </c>
      <c r="L90" s="58" t="s">
        <v>1767</v>
      </c>
      <c r="M90" s="58" t="s">
        <v>1768</v>
      </c>
      <c r="N90" s="61" t="s">
        <v>91</v>
      </c>
      <c r="O90" s="58" t="s">
        <v>1074</v>
      </c>
      <c r="P90" s="61" t="n">
        <v>566</v>
      </c>
    </row>
    <row r="91" customFormat="false" ht="43.25" hidden="false" customHeight="false" outlineLevel="0" collapsed="false">
      <c r="A91" s="22" t="s">
        <v>1769</v>
      </c>
      <c r="B91" s="17" t="s">
        <v>1020</v>
      </c>
      <c r="C91" s="17" t="s">
        <v>106</v>
      </c>
      <c r="D91" s="55" t="s">
        <v>1770</v>
      </c>
      <c r="E91" s="17" t="s">
        <v>229</v>
      </c>
      <c r="F91" s="56" t="s">
        <v>1771</v>
      </c>
      <c r="G91" s="17" t="s">
        <v>1772</v>
      </c>
      <c r="H91" s="17" t="s">
        <v>1773</v>
      </c>
      <c r="I91" s="17" t="s">
        <v>1774</v>
      </c>
      <c r="J91" s="17" t="s">
        <v>1775</v>
      </c>
      <c r="K91" s="17" t="s">
        <v>485</v>
      </c>
      <c r="L91" s="17" t="s">
        <v>126</v>
      </c>
      <c r="M91" s="17" t="s">
        <v>1776</v>
      </c>
      <c r="N91" s="15" t="s">
        <v>91</v>
      </c>
      <c r="O91" s="17" t="s">
        <v>1074</v>
      </c>
      <c r="P91" s="15" t="n">
        <v>761</v>
      </c>
    </row>
    <row r="92" customFormat="false" ht="32.8" hidden="false" customHeight="false" outlineLevel="0" collapsed="false">
      <c r="A92" s="57" t="s">
        <v>1777</v>
      </c>
      <c r="B92" s="58" t="s">
        <v>1020</v>
      </c>
      <c r="C92" s="58" t="s">
        <v>106</v>
      </c>
      <c r="D92" s="59" t="s">
        <v>1778</v>
      </c>
      <c r="E92" s="58" t="s">
        <v>229</v>
      </c>
      <c r="F92" s="60" t="s">
        <v>1779</v>
      </c>
      <c r="G92" s="58" t="s">
        <v>1780</v>
      </c>
      <c r="H92" s="58" t="s">
        <v>1781</v>
      </c>
      <c r="I92" s="58" t="s">
        <v>1782</v>
      </c>
      <c r="J92" s="58" t="s">
        <v>1783</v>
      </c>
      <c r="K92" s="58" t="s">
        <v>1413</v>
      </c>
      <c r="L92" s="58" t="s">
        <v>1784</v>
      </c>
      <c r="M92" s="58"/>
      <c r="N92" s="61" t="s">
        <v>91</v>
      </c>
      <c r="O92" s="58" t="s">
        <v>1074</v>
      </c>
      <c r="P92" s="61" t="n">
        <v>887</v>
      </c>
    </row>
    <row r="93" customFormat="false" ht="32.8" hidden="false" customHeight="false" outlineLevel="0" collapsed="false">
      <c r="A93" s="22" t="s">
        <v>1785</v>
      </c>
      <c r="B93" s="17" t="s">
        <v>1020</v>
      </c>
      <c r="C93" s="17" t="s">
        <v>106</v>
      </c>
      <c r="D93" s="55" t="s">
        <v>1786</v>
      </c>
      <c r="E93" s="17" t="s">
        <v>229</v>
      </c>
      <c r="F93" s="56" t="s">
        <v>1787</v>
      </c>
      <c r="G93" s="17" t="s">
        <v>1788</v>
      </c>
      <c r="H93" s="17" t="s">
        <v>1789</v>
      </c>
      <c r="I93" s="17" t="s">
        <v>1790</v>
      </c>
      <c r="J93" s="17" t="s">
        <v>1791</v>
      </c>
      <c r="K93" s="17" t="s">
        <v>1792</v>
      </c>
      <c r="L93" s="17" t="s">
        <v>1793</v>
      </c>
      <c r="M93" s="17" t="s">
        <v>1794</v>
      </c>
      <c r="N93" s="15" t="s">
        <v>91</v>
      </c>
      <c r="O93" s="17" t="s">
        <v>1074</v>
      </c>
      <c r="P93" s="15" t="n">
        <v>906</v>
      </c>
    </row>
    <row r="94" customFormat="false" ht="32.8" hidden="false" customHeight="false" outlineLevel="0" collapsed="false">
      <c r="A94" s="57" t="s">
        <v>1795</v>
      </c>
      <c r="B94" s="58" t="s">
        <v>1020</v>
      </c>
      <c r="C94" s="58" t="s">
        <v>106</v>
      </c>
      <c r="D94" s="59" t="s">
        <v>1796</v>
      </c>
      <c r="E94" s="58" t="s">
        <v>229</v>
      </c>
      <c r="F94" s="60" t="s">
        <v>1797</v>
      </c>
      <c r="G94" s="58" t="s">
        <v>1798</v>
      </c>
      <c r="H94" s="58" t="s">
        <v>1799</v>
      </c>
      <c r="I94" s="58" t="s">
        <v>1800</v>
      </c>
      <c r="J94" s="58" t="s">
        <v>1801</v>
      </c>
      <c r="K94" s="58" t="s">
        <v>1802</v>
      </c>
      <c r="L94" s="58" t="s">
        <v>1803</v>
      </c>
      <c r="M94" s="58" t="s">
        <v>1804</v>
      </c>
      <c r="N94" s="61" t="s">
        <v>91</v>
      </c>
      <c r="O94" s="58" t="s">
        <v>1074</v>
      </c>
      <c r="P94" s="61" t="n">
        <v>907</v>
      </c>
    </row>
    <row r="95" customFormat="false" ht="22.35" hidden="false" customHeight="false" outlineLevel="0" collapsed="false">
      <c r="A95" s="22" t="s">
        <v>1805</v>
      </c>
      <c r="B95" s="17" t="s">
        <v>1020</v>
      </c>
      <c r="C95" s="17" t="s">
        <v>106</v>
      </c>
      <c r="D95" s="55" t="s">
        <v>1806</v>
      </c>
      <c r="E95" s="17" t="s">
        <v>229</v>
      </c>
      <c r="F95" s="56" t="s">
        <v>1807</v>
      </c>
      <c r="G95" s="17" t="s">
        <v>1808</v>
      </c>
      <c r="H95" s="17" t="s">
        <v>1809</v>
      </c>
      <c r="I95" s="17" t="s">
        <v>1810</v>
      </c>
      <c r="J95" s="17" t="s">
        <v>1811</v>
      </c>
      <c r="K95" s="17" t="s">
        <v>1413</v>
      </c>
      <c r="L95" s="17" t="s">
        <v>1803</v>
      </c>
      <c r="M95" s="17" t="s">
        <v>1812</v>
      </c>
      <c r="N95" s="15" t="s">
        <v>91</v>
      </c>
      <c r="O95" s="17" t="s">
        <v>1074</v>
      </c>
      <c r="P95" s="15" t="n">
        <v>908</v>
      </c>
    </row>
    <row r="96" customFormat="false" ht="22.35" hidden="false" customHeight="false" outlineLevel="0" collapsed="false">
      <c r="A96" s="57" t="s">
        <v>1813</v>
      </c>
      <c r="B96" s="58" t="s">
        <v>1020</v>
      </c>
      <c r="C96" s="58" t="s">
        <v>107</v>
      </c>
      <c r="D96" s="59" t="s">
        <v>1814</v>
      </c>
      <c r="E96" s="58" t="s">
        <v>222</v>
      </c>
      <c r="F96" s="60" t="s">
        <v>1815</v>
      </c>
      <c r="G96" s="58" t="s">
        <v>1816</v>
      </c>
      <c r="H96" s="58" t="s">
        <v>1817</v>
      </c>
      <c r="I96" s="58" t="s">
        <v>1044</v>
      </c>
      <c r="J96" s="58" t="s">
        <v>1818</v>
      </c>
      <c r="K96" s="58" t="s">
        <v>1046</v>
      </c>
      <c r="L96" s="58" t="s">
        <v>1819</v>
      </c>
      <c r="M96" s="58"/>
      <c r="N96" s="61" t="s">
        <v>91</v>
      </c>
      <c r="O96" s="58" t="s">
        <v>1820</v>
      </c>
      <c r="P96" s="61" t="n">
        <v>90</v>
      </c>
    </row>
    <row r="97" customFormat="false" ht="22.35" hidden="false" customHeight="false" outlineLevel="0" collapsed="false">
      <c r="A97" s="22" t="s">
        <v>1821</v>
      </c>
      <c r="B97" s="17" t="s">
        <v>1020</v>
      </c>
      <c r="C97" s="17" t="s">
        <v>107</v>
      </c>
      <c r="D97" s="55" t="s">
        <v>1822</v>
      </c>
      <c r="E97" s="17" t="s">
        <v>222</v>
      </c>
      <c r="F97" s="56" t="s">
        <v>1823</v>
      </c>
      <c r="G97" s="17" t="s">
        <v>1824</v>
      </c>
      <c r="H97" s="17" t="s">
        <v>1044</v>
      </c>
      <c r="I97" s="17" t="s">
        <v>1825</v>
      </c>
      <c r="J97" s="17" t="s">
        <v>1826</v>
      </c>
      <c r="K97" s="17" t="s">
        <v>1046</v>
      </c>
      <c r="L97" s="17" t="s">
        <v>1827</v>
      </c>
      <c r="M97" s="17"/>
      <c r="N97" s="15" t="s">
        <v>91</v>
      </c>
      <c r="O97" s="17" t="s">
        <v>1820</v>
      </c>
      <c r="P97" s="15" t="n">
        <v>98</v>
      </c>
    </row>
    <row r="98" customFormat="false" ht="22.35" hidden="false" customHeight="false" outlineLevel="0" collapsed="false">
      <c r="A98" s="57" t="s">
        <v>1828</v>
      </c>
      <c r="B98" s="58" t="s">
        <v>1020</v>
      </c>
      <c r="C98" s="58" t="s">
        <v>107</v>
      </c>
      <c r="D98" s="59" t="s">
        <v>1829</v>
      </c>
      <c r="E98" s="58" t="s">
        <v>222</v>
      </c>
      <c r="F98" s="60" t="s">
        <v>1830</v>
      </c>
      <c r="G98" s="58" t="s">
        <v>1831</v>
      </c>
      <c r="H98" s="58" t="s">
        <v>1832</v>
      </c>
      <c r="I98" s="58" t="s">
        <v>1833</v>
      </c>
      <c r="J98" s="58" t="s">
        <v>1834</v>
      </c>
      <c r="K98" s="58" t="s">
        <v>607</v>
      </c>
      <c r="L98" s="58" t="s">
        <v>1835</v>
      </c>
      <c r="M98" s="58" t="s">
        <v>1836</v>
      </c>
      <c r="N98" s="61" t="s">
        <v>91</v>
      </c>
      <c r="O98" s="58" t="s">
        <v>1820</v>
      </c>
      <c r="P98" s="61" t="n">
        <v>114</v>
      </c>
    </row>
    <row r="99" customFormat="false" ht="22.35" hidden="false" customHeight="false" outlineLevel="0" collapsed="false">
      <c r="A99" s="22" t="s">
        <v>1837</v>
      </c>
      <c r="B99" s="17" t="s">
        <v>1020</v>
      </c>
      <c r="C99" s="17" t="s">
        <v>107</v>
      </c>
      <c r="D99" s="55" t="s">
        <v>1838</v>
      </c>
      <c r="E99" s="17" t="s">
        <v>222</v>
      </c>
      <c r="F99" s="56" t="s">
        <v>1839</v>
      </c>
      <c r="G99" s="17" t="s">
        <v>1840</v>
      </c>
      <c r="H99" s="17" t="s">
        <v>1841</v>
      </c>
      <c r="I99" s="17" t="s">
        <v>1842</v>
      </c>
      <c r="J99" s="17" t="s">
        <v>1843</v>
      </c>
      <c r="K99" s="17" t="s">
        <v>607</v>
      </c>
      <c r="L99" s="17" t="s">
        <v>1844</v>
      </c>
      <c r="M99" s="17" t="s">
        <v>1845</v>
      </c>
      <c r="N99" s="15" t="s">
        <v>91</v>
      </c>
      <c r="O99" s="17" t="s">
        <v>1820</v>
      </c>
      <c r="P99" s="15" t="n">
        <v>125</v>
      </c>
    </row>
    <row r="100" customFormat="false" ht="32.8" hidden="false" customHeight="false" outlineLevel="0" collapsed="false">
      <c r="A100" s="57" t="s">
        <v>1846</v>
      </c>
      <c r="B100" s="58" t="s">
        <v>1020</v>
      </c>
      <c r="C100" s="58" t="s">
        <v>107</v>
      </c>
      <c r="D100" s="59" t="s">
        <v>1847</v>
      </c>
      <c r="E100" s="58" t="s">
        <v>223</v>
      </c>
      <c r="F100" s="60" t="s">
        <v>1848</v>
      </c>
      <c r="G100" s="58" t="s">
        <v>1849</v>
      </c>
      <c r="H100" s="58" t="s">
        <v>418</v>
      </c>
      <c r="I100" s="58" t="s">
        <v>1850</v>
      </c>
      <c r="J100" s="58"/>
      <c r="K100" s="58" t="s">
        <v>1046</v>
      </c>
      <c r="L100" s="58" t="s">
        <v>1851</v>
      </c>
      <c r="M100" s="58" t="s">
        <v>1852</v>
      </c>
      <c r="N100" s="61" t="s">
        <v>91</v>
      </c>
      <c r="O100" s="58" t="s">
        <v>1853</v>
      </c>
      <c r="P100" s="61" t="n">
        <v>94</v>
      </c>
    </row>
    <row r="101" customFormat="false" ht="22.35" hidden="false" customHeight="false" outlineLevel="0" collapsed="false">
      <c r="A101" s="22" t="s">
        <v>1854</v>
      </c>
      <c r="B101" s="17" t="s">
        <v>1020</v>
      </c>
      <c r="C101" s="17" t="s">
        <v>107</v>
      </c>
      <c r="D101" s="55" t="s">
        <v>1855</v>
      </c>
      <c r="E101" s="17" t="s">
        <v>223</v>
      </c>
      <c r="F101" s="56" t="s">
        <v>1856</v>
      </c>
      <c r="G101" s="17" t="s">
        <v>1857</v>
      </c>
      <c r="H101" s="17" t="s">
        <v>418</v>
      </c>
      <c r="I101" s="17" t="s">
        <v>1858</v>
      </c>
      <c r="J101" s="17"/>
      <c r="K101" s="17" t="s">
        <v>1046</v>
      </c>
      <c r="L101" s="17" t="s">
        <v>1859</v>
      </c>
      <c r="M101" s="17" t="s">
        <v>1860</v>
      </c>
      <c r="N101" s="15" t="s">
        <v>91</v>
      </c>
      <c r="O101" s="17" t="s">
        <v>1853</v>
      </c>
      <c r="P101" s="15" t="n">
        <v>95</v>
      </c>
    </row>
    <row r="102" customFormat="false" ht="22.35" hidden="false" customHeight="false" outlineLevel="0" collapsed="false">
      <c r="A102" s="57" t="s">
        <v>1861</v>
      </c>
      <c r="B102" s="58" t="s">
        <v>1020</v>
      </c>
      <c r="C102" s="58" t="s">
        <v>107</v>
      </c>
      <c r="D102" s="59" t="s">
        <v>1862</v>
      </c>
      <c r="E102" s="58" t="s">
        <v>223</v>
      </c>
      <c r="F102" s="60" t="s">
        <v>1863</v>
      </c>
      <c r="G102" s="58" t="s">
        <v>1864</v>
      </c>
      <c r="H102" s="58" t="s">
        <v>418</v>
      </c>
      <c r="I102" s="58" t="s">
        <v>1865</v>
      </c>
      <c r="J102" s="58"/>
      <c r="K102" s="58" t="s">
        <v>1046</v>
      </c>
      <c r="L102" s="58" t="s">
        <v>1859</v>
      </c>
      <c r="M102" s="58"/>
      <c r="N102" s="61" t="s">
        <v>91</v>
      </c>
      <c r="O102" s="58" t="s">
        <v>1853</v>
      </c>
      <c r="P102" s="61" t="n">
        <v>96</v>
      </c>
    </row>
    <row r="103" customFormat="false" ht="22.35" hidden="false" customHeight="false" outlineLevel="0" collapsed="false">
      <c r="A103" s="22" t="s">
        <v>1866</v>
      </c>
      <c r="B103" s="17" t="s">
        <v>1020</v>
      </c>
      <c r="C103" s="17" t="s">
        <v>107</v>
      </c>
      <c r="D103" s="55" t="s">
        <v>1867</v>
      </c>
      <c r="E103" s="17" t="s">
        <v>223</v>
      </c>
      <c r="F103" s="56" t="s">
        <v>1868</v>
      </c>
      <c r="G103" s="17" t="s">
        <v>1869</v>
      </c>
      <c r="H103" s="17" t="s">
        <v>418</v>
      </c>
      <c r="I103" s="17" t="s">
        <v>1870</v>
      </c>
      <c r="J103" s="17"/>
      <c r="K103" s="17" t="s">
        <v>1046</v>
      </c>
      <c r="L103" s="17" t="s">
        <v>1859</v>
      </c>
      <c r="M103" s="17"/>
      <c r="N103" s="15" t="s">
        <v>91</v>
      </c>
      <c r="O103" s="17" t="s">
        <v>1853</v>
      </c>
      <c r="P103" s="15" t="n">
        <v>97</v>
      </c>
    </row>
    <row r="104" customFormat="false" ht="22.35" hidden="false" customHeight="false" outlineLevel="0" collapsed="false">
      <c r="A104" s="57" t="s">
        <v>1871</v>
      </c>
      <c r="B104" s="58" t="s">
        <v>1020</v>
      </c>
      <c r="C104" s="58" t="s">
        <v>107</v>
      </c>
      <c r="D104" s="59" t="s">
        <v>1872</v>
      </c>
      <c r="E104" s="58" t="s">
        <v>223</v>
      </c>
      <c r="F104" s="60" t="s">
        <v>1873</v>
      </c>
      <c r="G104" s="58" t="s">
        <v>1874</v>
      </c>
      <c r="H104" s="58" t="s">
        <v>418</v>
      </c>
      <c r="I104" s="58" t="s">
        <v>1875</v>
      </c>
      <c r="J104" s="58"/>
      <c r="K104" s="58" t="s">
        <v>607</v>
      </c>
      <c r="L104" s="58" t="s">
        <v>1876</v>
      </c>
      <c r="M104" s="58" t="s">
        <v>1877</v>
      </c>
      <c r="N104" s="61" t="s">
        <v>91</v>
      </c>
      <c r="O104" s="58" t="s">
        <v>1878</v>
      </c>
      <c r="P104" s="61" t="n">
        <v>23</v>
      </c>
    </row>
    <row r="105" customFormat="false" ht="32.8" hidden="false" customHeight="false" outlineLevel="0" collapsed="false">
      <c r="A105" s="22" t="s">
        <v>1879</v>
      </c>
      <c r="B105" s="17" t="s">
        <v>1020</v>
      </c>
      <c r="C105" s="17" t="s">
        <v>107</v>
      </c>
      <c r="D105" s="55" t="s">
        <v>1880</v>
      </c>
      <c r="E105" s="17" t="s">
        <v>236</v>
      </c>
      <c r="F105" s="56" t="s">
        <v>1881</v>
      </c>
      <c r="G105" s="17" t="s">
        <v>1882</v>
      </c>
      <c r="H105" s="17" t="s">
        <v>1883</v>
      </c>
      <c r="I105" s="17" t="s">
        <v>1884</v>
      </c>
      <c r="J105" s="17" t="s">
        <v>1885</v>
      </c>
      <c r="K105" s="17" t="s">
        <v>607</v>
      </c>
      <c r="L105" s="17" t="s">
        <v>1886</v>
      </c>
      <c r="M105" s="17" t="s">
        <v>1887</v>
      </c>
      <c r="N105" s="15" t="s">
        <v>91</v>
      </c>
      <c r="O105" s="17" t="s">
        <v>1878</v>
      </c>
      <c r="P105" s="15" t="n">
        <v>26</v>
      </c>
    </row>
    <row r="106" customFormat="false" ht="43.25" hidden="false" customHeight="false" outlineLevel="0" collapsed="false">
      <c r="A106" s="57" t="s">
        <v>1888</v>
      </c>
      <c r="B106" s="58" t="s">
        <v>1020</v>
      </c>
      <c r="C106" s="58" t="s">
        <v>107</v>
      </c>
      <c r="D106" s="59" t="s">
        <v>1889</v>
      </c>
      <c r="E106" s="58" t="s">
        <v>236</v>
      </c>
      <c r="F106" s="60" t="s">
        <v>1890</v>
      </c>
      <c r="G106" s="58" t="s">
        <v>1891</v>
      </c>
      <c r="H106" s="58" t="s">
        <v>1892</v>
      </c>
      <c r="I106" s="58" t="s">
        <v>1893</v>
      </c>
      <c r="J106" s="58" t="s">
        <v>1894</v>
      </c>
      <c r="K106" s="58" t="s">
        <v>1895</v>
      </c>
      <c r="L106" s="58" t="s">
        <v>1896</v>
      </c>
      <c r="M106" s="58" t="s">
        <v>1897</v>
      </c>
      <c r="N106" s="61" t="s">
        <v>91</v>
      </c>
      <c r="O106" s="58" t="s">
        <v>1878</v>
      </c>
      <c r="P106" s="61" t="n">
        <v>40</v>
      </c>
    </row>
    <row r="107" customFormat="false" ht="32.8" hidden="false" customHeight="false" outlineLevel="0" collapsed="false">
      <c r="A107" s="22" t="s">
        <v>1898</v>
      </c>
      <c r="B107" s="17" t="s">
        <v>1020</v>
      </c>
      <c r="C107" s="17" t="s">
        <v>107</v>
      </c>
      <c r="D107" s="55" t="s">
        <v>1899</v>
      </c>
      <c r="E107" s="17" t="s">
        <v>236</v>
      </c>
      <c r="F107" s="56" t="s">
        <v>1900</v>
      </c>
      <c r="G107" s="17" t="s">
        <v>1901</v>
      </c>
      <c r="H107" s="17" t="s">
        <v>1902</v>
      </c>
      <c r="I107" s="17" t="s">
        <v>1903</v>
      </c>
      <c r="J107" s="17" t="s">
        <v>1904</v>
      </c>
      <c r="K107" s="17" t="s">
        <v>1895</v>
      </c>
      <c r="L107" s="17" t="s">
        <v>1905</v>
      </c>
      <c r="M107" s="17" t="s">
        <v>1906</v>
      </c>
      <c r="N107" s="15" t="s">
        <v>91</v>
      </c>
      <c r="O107" s="17" t="s">
        <v>1878</v>
      </c>
      <c r="P107" s="15" t="n">
        <v>54</v>
      </c>
    </row>
    <row r="108" customFormat="false" ht="32.8" hidden="false" customHeight="false" outlineLevel="0" collapsed="false">
      <c r="A108" s="57" t="s">
        <v>1907</v>
      </c>
      <c r="B108" s="58" t="s">
        <v>1020</v>
      </c>
      <c r="C108" s="58" t="s">
        <v>107</v>
      </c>
      <c r="D108" s="59" t="s">
        <v>1908</v>
      </c>
      <c r="E108" s="58" t="s">
        <v>221</v>
      </c>
      <c r="F108" s="60" t="s">
        <v>1909</v>
      </c>
      <c r="G108" s="58" t="s">
        <v>1910</v>
      </c>
      <c r="H108" s="58" t="s">
        <v>1911</v>
      </c>
      <c r="I108" s="58" t="s">
        <v>1912</v>
      </c>
      <c r="J108" s="58" t="s">
        <v>1913</v>
      </c>
      <c r="K108" s="58" t="s">
        <v>656</v>
      </c>
      <c r="L108" s="58" t="s">
        <v>1914</v>
      </c>
      <c r="M108" s="58" t="s">
        <v>1915</v>
      </c>
      <c r="N108" s="61" t="s">
        <v>91</v>
      </c>
      <c r="O108" s="58" t="s">
        <v>1074</v>
      </c>
      <c r="P108" s="61" t="n">
        <v>40</v>
      </c>
    </row>
    <row r="109" customFormat="false" ht="32.8" hidden="false" customHeight="false" outlineLevel="0" collapsed="false">
      <c r="A109" s="22" t="s">
        <v>1916</v>
      </c>
      <c r="B109" s="17" t="s">
        <v>1020</v>
      </c>
      <c r="C109" s="17" t="s">
        <v>107</v>
      </c>
      <c r="D109" s="55" t="s">
        <v>1917</v>
      </c>
      <c r="E109" s="17" t="s">
        <v>221</v>
      </c>
      <c r="F109" s="56" t="s">
        <v>1918</v>
      </c>
      <c r="G109" s="17" t="s">
        <v>1919</v>
      </c>
      <c r="H109" s="17" t="s">
        <v>1920</v>
      </c>
      <c r="I109" s="17" t="s">
        <v>1921</v>
      </c>
      <c r="J109" s="17" t="s">
        <v>1922</v>
      </c>
      <c r="K109" s="17" t="s">
        <v>1923</v>
      </c>
      <c r="L109" s="17" t="s">
        <v>1924</v>
      </c>
      <c r="M109" s="17" t="s">
        <v>1925</v>
      </c>
      <c r="N109" s="15" t="s">
        <v>91</v>
      </c>
      <c r="O109" s="17" t="s">
        <v>1074</v>
      </c>
      <c r="P109" s="15" t="n">
        <v>101</v>
      </c>
    </row>
    <row r="110" customFormat="false" ht="43.25" hidden="false" customHeight="false" outlineLevel="0" collapsed="false">
      <c r="A110" s="57" t="s">
        <v>1926</v>
      </c>
      <c r="B110" s="58" t="s">
        <v>1020</v>
      </c>
      <c r="C110" s="58" t="s">
        <v>107</v>
      </c>
      <c r="D110" s="59" t="s">
        <v>1927</v>
      </c>
      <c r="E110" s="58" t="s">
        <v>229</v>
      </c>
      <c r="F110" s="60" t="s">
        <v>1928</v>
      </c>
      <c r="G110" s="58" t="s">
        <v>1929</v>
      </c>
      <c r="H110" s="58" t="s">
        <v>1930</v>
      </c>
      <c r="I110" s="58" t="s">
        <v>1931</v>
      </c>
      <c r="J110" s="58" t="s">
        <v>1932</v>
      </c>
      <c r="K110" s="58" t="s">
        <v>753</v>
      </c>
      <c r="L110" s="58" t="s">
        <v>1933</v>
      </c>
      <c r="M110" s="58" t="s">
        <v>1934</v>
      </c>
      <c r="N110" s="61" t="s">
        <v>91</v>
      </c>
      <c r="O110" s="58" t="s">
        <v>1074</v>
      </c>
      <c r="P110" s="61" t="n">
        <v>194</v>
      </c>
    </row>
    <row r="111" customFormat="false" ht="22.35" hidden="false" customHeight="false" outlineLevel="0" collapsed="false">
      <c r="A111" s="22" t="s">
        <v>1935</v>
      </c>
      <c r="B111" s="17" t="s">
        <v>1020</v>
      </c>
      <c r="C111" s="17" t="s">
        <v>107</v>
      </c>
      <c r="D111" s="55" t="s">
        <v>1936</v>
      </c>
      <c r="E111" s="17" t="s">
        <v>221</v>
      </c>
      <c r="F111" s="56" t="s">
        <v>1937</v>
      </c>
      <c r="G111" s="17" t="s">
        <v>1938</v>
      </c>
      <c r="H111" s="17" t="s">
        <v>1939</v>
      </c>
      <c r="I111" s="17" t="s">
        <v>1940</v>
      </c>
      <c r="J111" s="17" t="s">
        <v>1941</v>
      </c>
      <c r="K111" s="17" t="s">
        <v>1046</v>
      </c>
      <c r="L111" s="17" t="s">
        <v>1942</v>
      </c>
      <c r="M111" s="17" t="s">
        <v>1943</v>
      </c>
      <c r="N111" s="15" t="s">
        <v>91</v>
      </c>
      <c r="O111" s="17" t="s">
        <v>1029</v>
      </c>
      <c r="P111" s="15" t="n">
        <v>95</v>
      </c>
    </row>
    <row r="112" customFormat="false" ht="32.8" hidden="false" customHeight="false" outlineLevel="0" collapsed="false">
      <c r="A112" s="57" t="s">
        <v>1944</v>
      </c>
      <c r="B112" s="58" t="s">
        <v>1020</v>
      </c>
      <c r="C112" s="58" t="s">
        <v>107</v>
      </c>
      <c r="D112" s="59" t="s">
        <v>1945</v>
      </c>
      <c r="E112" s="58" t="s">
        <v>221</v>
      </c>
      <c r="F112" s="60" t="s">
        <v>1946</v>
      </c>
      <c r="G112" s="58" t="s">
        <v>1947</v>
      </c>
      <c r="H112" s="58" t="s">
        <v>1948</v>
      </c>
      <c r="I112" s="58" t="s">
        <v>1949</v>
      </c>
      <c r="J112" s="58" t="s">
        <v>1950</v>
      </c>
      <c r="K112" s="58" t="s">
        <v>407</v>
      </c>
      <c r="L112" s="58" t="s">
        <v>1951</v>
      </c>
      <c r="M112" s="58" t="s">
        <v>1952</v>
      </c>
      <c r="N112" s="61" t="s">
        <v>91</v>
      </c>
      <c r="O112" s="58" t="s">
        <v>1029</v>
      </c>
      <c r="P112" s="61" t="n">
        <v>298</v>
      </c>
    </row>
    <row r="113" customFormat="false" ht="22.35" hidden="false" customHeight="false" outlineLevel="0" collapsed="false">
      <c r="A113" s="22" t="s">
        <v>1953</v>
      </c>
      <c r="B113" s="17" t="s">
        <v>1020</v>
      </c>
      <c r="C113" s="17" t="s">
        <v>107</v>
      </c>
      <c r="D113" s="55" t="s">
        <v>1954</v>
      </c>
      <c r="E113" s="17" t="s">
        <v>221</v>
      </c>
      <c r="F113" s="56" t="s">
        <v>1955</v>
      </c>
      <c r="G113" s="17" t="s">
        <v>1956</v>
      </c>
      <c r="H113" s="17" t="s">
        <v>1957</v>
      </c>
      <c r="I113" s="17" t="s">
        <v>1958</v>
      </c>
      <c r="J113" s="17" t="s">
        <v>1959</v>
      </c>
      <c r="K113" s="17" t="s">
        <v>722</v>
      </c>
      <c r="L113" s="17" t="s">
        <v>1960</v>
      </c>
      <c r="M113" s="17" t="s">
        <v>1961</v>
      </c>
      <c r="N113" s="15" t="s">
        <v>91</v>
      </c>
      <c r="O113" s="17" t="s">
        <v>1962</v>
      </c>
      <c r="P113" s="15" t="n">
        <v>70</v>
      </c>
    </row>
    <row r="114" customFormat="false" ht="22.35" hidden="false" customHeight="false" outlineLevel="0" collapsed="false">
      <c r="A114" s="57" t="s">
        <v>1963</v>
      </c>
      <c r="B114" s="58" t="s">
        <v>1020</v>
      </c>
      <c r="C114" s="58" t="s">
        <v>107</v>
      </c>
      <c r="D114" s="59" t="s">
        <v>1964</v>
      </c>
      <c r="E114" s="58" t="s">
        <v>221</v>
      </c>
      <c r="F114" s="60" t="s">
        <v>1965</v>
      </c>
      <c r="G114" s="58" t="s">
        <v>1966</v>
      </c>
      <c r="H114" s="58" t="s">
        <v>1967</v>
      </c>
      <c r="I114" s="58" t="s">
        <v>1968</v>
      </c>
      <c r="J114" s="58" t="s">
        <v>1969</v>
      </c>
      <c r="K114" s="58" t="s">
        <v>1970</v>
      </c>
      <c r="L114" s="58" t="s">
        <v>1960</v>
      </c>
      <c r="M114" s="58"/>
      <c r="N114" s="61" t="s">
        <v>91</v>
      </c>
      <c r="O114" s="58" t="s">
        <v>1962</v>
      </c>
      <c r="P114" s="61" t="n">
        <v>123</v>
      </c>
    </row>
    <row r="115" customFormat="false" ht="22.35" hidden="false" customHeight="false" outlineLevel="0" collapsed="false">
      <c r="A115" s="22" t="s">
        <v>1971</v>
      </c>
      <c r="B115" s="17" t="s">
        <v>1020</v>
      </c>
      <c r="C115" s="17" t="s">
        <v>107</v>
      </c>
      <c r="D115" s="55" t="s">
        <v>1972</v>
      </c>
      <c r="E115" s="17" t="s">
        <v>221</v>
      </c>
      <c r="F115" s="56" t="s">
        <v>1973</v>
      </c>
      <c r="G115" s="17" t="s">
        <v>1974</v>
      </c>
      <c r="H115" s="17" t="s">
        <v>1975</v>
      </c>
      <c r="I115" s="17" t="s">
        <v>1976</v>
      </c>
      <c r="J115" s="17" t="s">
        <v>1977</v>
      </c>
      <c r="K115" s="17" t="s">
        <v>1970</v>
      </c>
      <c r="L115" s="17" t="s">
        <v>1978</v>
      </c>
      <c r="M115" s="17" t="s">
        <v>1979</v>
      </c>
      <c r="N115" s="15" t="s">
        <v>91</v>
      </c>
      <c r="O115" s="17" t="s">
        <v>1962</v>
      </c>
      <c r="P115" s="15" t="n">
        <v>160</v>
      </c>
    </row>
    <row r="116" customFormat="false" ht="22.35" hidden="false" customHeight="false" outlineLevel="0" collapsed="false">
      <c r="A116" s="57" t="s">
        <v>1980</v>
      </c>
      <c r="B116" s="58" t="s">
        <v>1020</v>
      </c>
      <c r="C116" s="58" t="s">
        <v>107</v>
      </c>
      <c r="D116" s="59" t="s">
        <v>1981</v>
      </c>
      <c r="E116" s="58" t="s">
        <v>223</v>
      </c>
      <c r="F116" s="60" t="s">
        <v>1982</v>
      </c>
      <c r="G116" s="58" t="s">
        <v>1983</v>
      </c>
      <c r="H116" s="58" t="s">
        <v>418</v>
      </c>
      <c r="I116" s="58" t="s">
        <v>1984</v>
      </c>
      <c r="J116" s="58"/>
      <c r="K116" s="58" t="s">
        <v>656</v>
      </c>
      <c r="L116" s="58" t="s">
        <v>1985</v>
      </c>
      <c r="M116" s="58"/>
      <c r="N116" s="61" t="s">
        <v>91</v>
      </c>
      <c r="O116" s="58" t="s">
        <v>1986</v>
      </c>
      <c r="P116" s="61" t="n">
        <v>33</v>
      </c>
    </row>
    <row r="117" customFormat="false" ht="22.35" hidden="false" customHeight="false" outlineLevel="0" collapsed="false">
      <c r="A117" s="22" t="s">
        <v>1987</v>
      </c>
      <c r="B117" s="17" t="s">
        <v>1020</v>
      </c>
      <c r="C117" s="17" t="s">
        <v>107</v>
      </c>
      <c r="D117" s="55" t="s">
        <v>1988</v>
      </c>
      <c r="E117" s="17" t="s">
        <v>221</v>
      </c>
      <c r="F117" s="56" t="s">
        <v>1989</v>
      </c>
      <c r="G117" s="17" t="s">
        <v>1990</v>
      </c>
      <c r="H117" s="17" t="s">
        <v>1991</v>
      </c>
      <c r="I117" s="17" t="s">
        <v>1992</v>
      </c>
      <c r="J117" s="17" t="s">
        <v>1993</v>
      </c>
      <c r="K117" s="17" t="s">
        <v>1994</v>
      </c>
      <c r="L117" s="17" t="s">
        <v>1995</v>
      </c>
      <c r="M117" s="17"/>
      <c r="N117" s="15" t="s">
        <v>91</v>
      </c>
      <c r="O117" s="17" t="s">
        <v>1986</v>
      </c>
      <c r="P117" s="15" t="n">
        <v>43</v>
      </c>
    </row>
    <row r="118" customFormat="false" ht="22.35" hidden="false" customHeight="false" outlineLevel="0" collapsed="false">
      <c r="A118" s="57" t="s">
        <v>1996</v>
      </c>
      <c r="B118" s="58" t="s">
        <v>1020</v>
      </c>
      <c r="C118" s="58" t="s">
        <v>107</v>
      </c>
      <c r="D118" s="59" t="s">
        <v>1997</v>
      </c>
      <c r="E118" s="58" t="s">
        <v>221</v>
      </c>
      <c r="F118" s="60" t="s">
        <v>1998</v>
      </c>
      <c r="G118" s="58" t="s">
        <v>1999</v>
      </c>
      <c r="H118" s="58" t="s">
        <v>2000</v>
      </c>
      <c r="I118" s="58" t="s">
        <v>2001</v>
      </c>
      <c r="J118" s="58" t="s">
        <v>2002</v>
      </c>
      <c r="K118" s="58" t="s">
        <v>753</v>
      </c>
      <c r="L118" s="58" t="s">
        <v>2003</v>
      </c>
      <c r="M118" s="58"/>
      <c r="N118" s="61" t="s">
        <v>91</v>
      </c>
      <c r="O118" s="58" t="s">
        <v>1986</v>
      </c>
      <c r="P118" s="61" t="n">
        <v>54</v>
      </c>
    </row>
    <row r="119" customFormat="false" ht="32.8" hidden="false" customHeight="false" outlineLevel="0" collapsed="false">
      <c r="A119" s="22" t="s">
        <v>2004</v>
      </c>
      <c r="B119" s="17" t="s">
        <v>1020</v>
      </c>
      <c r="C119" s="17" t="s">
        <v>107</v>
      </c>
      <c r="D119" s="55" t="s">
        <v>2005</v>
      </c>
      <c r="E119" s="17" t="s">
        <v>221</v>
      </c>
      <c r="F119" s="56" t="s">
        <v>2006</v>
      </c>
      <c r="G119" s="17" t="s">
        <v>2007</v>
      </c>
      <c r="H119" s="17" t="s">
        <v>2008</v>
      </c>
      <c r="I119" s="17" t="s">
        <v>2009</v>
      </c>
      <c r="J119" s="17" t="s">
        <v>2010</v>
      </c>
      <c r="K119" s="17" t="s">
        <v>2011</v>
      </c>
      <c r="L119" s="17" t="s">
        <v>2012</v>
      </c>
      <c r="M119" s="17" t="s">
        <v>2013</v>
      </c>
      <c r="N119" s="15" t="s">
        <v>91</v>
      </c>
      <c r="O119" s="17" t="s">
        <v>1986</v>
      </c>
      <c r="P119" s="15" t="n">
        <v>73</v>
      </c>
    </row>
    <row r="120" customFormat="false" ht="22.35" hidden="false" customHeight="false" outlineLevel="0" collapsed="false">
      <c r="A120" s="57" t="s">
        <v>2014</v>
      </c>
      <c r="B120" s="58" t="s">
        <v>1020</v>
      </c>
      <c r="C120" s="58" t="s">
        <v>107</v>
      </c>
      <c r="D120" s="59" t="s">
        <v>2015</v>
      </c>
      <c r="E120" s="58" t="s">
        <v>221</v>
      </c>
      <c r="F120" s="60" t="s">
        <v>2016</v>
      </c>
      <c r="G120" s="58" t="s">
        <v>2017</v>
      </c>
      <c r="H120" s="58" t="s">
        <v>2018</v>
      </c>
      <c r="I120" s="58" t="s">
        <v>2019</v>
      </c>
      <c r="J120" s="58" t="s">
        <v>2020</v>
      </c>
      <c r="K120" s="58" t="s">
        <v>753</v>
      </c>
      <c r="L120" s="58" t="s">
        <v>2021</v>
      </c>
      <c r="M120" s="58" t="s">
        <v>2022</v>
      </c>
      <c r="N120" s="61" t="s">
        <v>91</v>
      </c>
      <c r="O120" s="58" t="s">
        <v>1986</v>
      </c>
      <c r="P120" s="61" t="n">
        <v>420</v>
      </c>
    </row>
    <row r="121" customFormat="false" ht="22.35" hidden="false" customHeight="false" outlineLevel="0" collapsed="false">
      <c r="A121" s="22" t="s">
        <v>2023</v>
      </c>
      <c r="B121" s="17" t="s">
        <v>1020</v>
      </c>
      <c r="C121" s="17" t="s">
        <v>107</v>
      </c>
      <c r="D121" s="55" t="s">
        <v>2024</v>
      </c>
      <c r="E121" s="17" t="s">
        <v>221</v>
      </c>
      <c r="F121" s="56" t="s">
        <v>2025</v>
      </c>
      <c r="G121" s="17" t="s">
        <v>2026</v>
      </c>
      <c r="H121" s="17" t="s">
        <v>2027</v>
      </c>
      <c r="I121" s="17" t="s">
        <v>2028</v>
      </c>
      <c r="J121" s="17" t="s">
        <v>2029</v>
      </c>
      <c r="K121" s="17" t="s">
        <v>2030</v>
      </c>
      <c r="L121" s="17" t="s">
        <v>2031</v>
      </c>
      <c r="M121" s="17"/>
      <c r="N121" s="15" t="s">
        <v>91</v>
      </c>
      <c r="O121" s="17" t="s">
        <v>1986</v>
      </c>
      <c r="P121" s="15" t="n">
        <v>516</v>
      </c>
    </row>
    <row r="122" customFormat="false" ht="43.25" hidden="false" customHeight="false" outlineLevel="0" collapsed="false">
      <c r="A122" s="57" t="s">
        <v>2032</v>
      </c>
      <c r="B122" s="58" t="s">
        <v>1020</v>
      </c>
      <c r="C122" s="58" t="s">
        <v>107</v>
      </c>
      <c r="D122" s="59" t="s">
        <v>2033</v>
      </c>
      <c r="E122" s="58" t="s">
        <v>221</v>
      </c>
      <c r="F122" s="60" t="s">
        <v>2034</v>
      </c>
      <c r="G122" s="58" t="s">
        <v>2035</v>
      </c>
      <c r="H122" s="58" t="s">
        <v>2036</v>
      </c>
      <c r="I122" s="58" t="s">
        <v>2037</v>
      </c>
      <c r="J122" s="58" t="s">
        <v>2038</v>
      </c>
      <c r="K122" s="58" t="s">
        <v>2039</v>
      </c>
      <c r="L122" s="58" t="s">
        <v>2040</v>
      </c>
      <c r="M122" s="58" t="s">
        <v>2041</v>
      </c>
      <c r="N122" s="61" t="s">
        <v>91</v>
      </c>
      <c r="O122" s="58" t="s">
        <v>1986</v>
      </c>
      <c r="P122" s="61" t="n">
        <v>527</v>
      </c>
    </row>
    <row r="123" customFormat="false" ht="32.8" hidden="false" customHeight="false" outlineLevel="0" collapsed="false">
      <c r="A123" s="22" t="s">
        <v>2042</v>
      </c>
      <c r="B123" s="17" t="s">
        <v>1020</v>
      </c>
      <c r="C123" s="17" t="s">
        <v>107</v>
      </c>
      <c r="D123" s="55" t="s">
        <v>2043</v>
      </c>
      <c r="E123" s="17" t="s">
        <v>221</v>
      </c>
      <c r="F123" s="56" t="s">
        <v>2044</v>
      </c>
      <c r="G123" s="17" t="s">
        <v>2045</v>
      </c>
      <c r="H123" s="17" t="s">
        <v>2046</v>
      </c>
      <c r="I123" s="17" t="s">
        <v>2047</v>
      </c>
      <c r="J123" s="17" t="s">
        <v>2048</v>
      </c>
      <c r="K123" s="17" t="s">
        <v>1046</v>
      </c>
      <c r="L123" s="17" t="s">
        <v>2049</v>
      </c>
      <c r="M123" s="17" t="s">
        <v>2050</v>
      </c>
      <c r="N123" s="15" t="s">
        <v>91</v>
      </c>
      <c r="O123" s="17" t="s">
        <v>1986</v>
      </c>
      <c r="P123" s="15" t="n">
        <v>638</v>
      </c>
    </row>
    <row r="124" customFormat="false" ht="43.25" hidden="false" customHeight="false" outlineLevel="0" collapsed="false">
      <c r="A124" s="57" t="s">
        <v>2051</v>
      </c>
      <c r="B124" s="58" t="s">
        <v>1020</v>
      </c>
      <c r="C124" s="58" t="s">
        <v>107</v>
      </c>
      <c r="D124" s="59" t="s">
        <v>2052</v>
      </c>
      <c r="E124" s="58" t="s">
        <v>224</v>
      </c>
      <c r="F124" s="60" t="s">
        <v>2053</v>
      </c>
      <c r="G124" s="58" t="s">
        <v>2054</v>
      </c>
      <c r="H124" s="58" t="s">
        <v>418</v>
      </c>
      <c r="I124" s="58" t="s">
        <v>1116</v>
      </c>
      <c r="J124" s="58" t="s">
        <v>2055</v>
      </c>
      <c r="K124" s="58" t="s">
        <v>2056</v>
      </c>
      <c r="L124" s="58" t="s">
        <v>2057</v>
      </c>
      <c r="M124" s="58" t="s">
        <v>2058</v>
      </c>
      <c r="N124" s="61" t="s">
        <v>91</v>
      </c>
      <c r="O124" s="58" t="s">
        <v>1121</v>
      </c>
      <c r="P124" s="61" t="n">
        <v>225</v>
      </c>
    </row>
    <row r="125" customFormat="false" ht="32.8" hidden="false" customHeight="false" outlineLevel="0" collapsed="false">
      <c r="A125" s="22" t="s">
        <v>2059</v>
      </c>
      <c r="B125" s="17" t="s">
        <v>1020</v>
      </c>
      <c r="C125" s="17" t="s">
        <v>107</v>
      </c>
      <c r="D125" s="55" t="s">
        <v>2060</v>
      </c>
      <c r="E125" s="17" t="s">
        <v>236</v>
      </c>
      <c r="F125" s="56" t="s">
        <v>2061</v>
      </c>
      <c r="G125" s="17" t="s">
        <v>2062</v>
      </c>
      <c r="H125" s="17" t="s">
        <v>2063</v>
      </c>
      <c r="I125" s="17" t="s">
        <v>1394</v>
      </c>
      <c r="J125" s="17" t="s">
        <v>2064</v>
      </c>
      <c r="K125" s="17" t="s">
        <v>485</v>
      </c>
      <c r="L125" s="17" t="s">
        <v>2065</v>
      </c>
      <c r="M125" s="17"/>
      <c r="N125" s="15" t="s">
        <v>91</v>
      </c>
      <c r="O125" s="17" t="s">
        <v>1121</v>
      </c>
      <c r="P125" s="15" t="n">
        <v>260</v>
      </c>
    </row>
    <row r="126" customFormat="false" ht="32.8" hidden="false" customHeight="false" outlineLevel="0" collapsed="false">
      <c r="A126" s="57" t="s">
        <v>2066</v>
      </c>
      <c r="B126" s="58" t="s">
        <v>1020</v>
      </c>
      <c r="C126" s="58" t="s">
        <v>107</v>
      </c>
      <c r="D126" s="59" t="s">
        <v>2067</v>
      </c>
      <c r="E126" s="58" t="s">
        <v>236</v>
      </c>
      <c r="F126" s="60" t="s">
        <v>2068</v>
      </c>
      <c r="G126" s="58" t="s">
        <v>2069</v>
      </c>
      <c r="H126" s="58" t="s">
        <v>2070</v>
      </c>
      <c r="I126" s="58" t="s">
        <v>2071</v>
      </c>
      <c r="J126" s="58" t="s">
        <v>2072</v>
      </c>
      <c r="K126" s="58" t="s">
        <v>485</v>
      </c>
      <c r="L126" s="58" t="s">
        <v>2073</v>
      </c>
      <c r="M126" s="58" t="s">
        <v>2074</v>
      </c>
      <c r="N126" s="61" t="s">
        <v>91</v>
      </c>
      <c r="O126" s="58" t="s">
        <v>1121</v>
      </c>
      <c r="P126" s="61" t="n">
        <v>262</v>
      </c>
    </row>
    <row r="127" customFormat="false" ht="22.35" hidden="false" customHeight="false" outlineLevel="0" collapsed="false">
      <c r="A127" s="22" t="s">
        <v>2075</v>
      </c>
      <c r="B127" s="17" t="s">
        <v>1020</v>
      </c>
      <c r="C127" s="17" t="s">
        <v>107</v>
      </c>
      <c r="D127" s="55" t="s">
        <v>2076</v>
      </c>
      <c r="E127" s="17" t="s">
        <v>236</v>
      </c>
      <c r="F127" s="56" t="s">
        <v>2077</v>
      </c>
      <c r="G127" s="17" t="s">
        <v>2078</v>
      </c>
      <c r="H127" s="17" t="s">
        <v>2079</v>
      </c>
      <c r="I127" s="17" t="s">
        <v>1394</v>
      </c>
      <c r="J127" s="17" t="s">
        <v>2080</v>
      </c>
      <c r="K127" s="17" t="s">
        <v>485</v>
      </c>
      <c r="L127" s="17" t="s">
        <v>2081</v>
      </c>
      <c r="M127" s="17"/>
      <c r="N127" s="15" t="s">
        <v>91</v>
      </c>
      <c r="O127" s="17" t="s">
        <v>1121</v>
      </c>
      <c r="P127" s="15" t="n">
        <v>268</v>
      </c>
    </row>
    <row r="128" customFormat="false" ht="22.35" hidden="false" customHeight="false" outlineLevel="0" collapsed="false">
      <c r="A128" s="57" t="s">
        <v>2082</v>
      </c>
      <c r="B128" s="58" t="s">
        <v>1020</v>
      </c>
      <c r="C128" s="58" t="s">
        <v>107</v>
      </c>
      <c r="D128" s="59" t="s">
        <v>2083</v>
      </c>
      <c r="E128" s="58" t="s">
        <v>223</v>
      </c>
      <c r="F128" s="60" t="s">
        <v>2084</v>
      </c>
      <c r="G128" s="58" t="s">
        <v>2085</v>
      </c>
      <c r="H128" s="58" t="s">
        <v>418</v>
      </c>
      <c r="I128" s="58" t="s">
        <v>1716</v>
      </c>
      <c r="J128" s="58"/>
      <c r="K128" s="58" t="s">
        <v>2086</v>
      </c>
      <c r="L128" s="58" t="s">
        <v>2087</v>
      </c>
      <c r="M128" s="58"/>
      <c r="N128" s="61" t="s">
        <v>91</v>
      </c>
      <c r="O128" s="58" t="s">
        <v>1121</v>
      </c>
      <c r="P128" s="61" t="n">
        <v>365</v>
      </c>
    </row>
    <row r="129" customFormat="false" ht="32.8" hidden="false" customHeight="false" outlineLevel="0" collapsed="false">
      <c r="A129" s="22" t="s">
        <v>2088</v>
      </c>
      <c r="B129" s="17" t="s">
        <v>1020</v>
      </c>
      <c r="C129" s="17" t="s">
        <v>107</v>
      </c>
      <c r="D129" s="55" t="s">
        <v>2089</v>
      </c>
      <c r="E129" s="17" t="s">
        <v>221</v>
      </c>
      <c r="F129" s="56" t="s">
        <v>2090</v>
      </c>
      <c r="G129" s="17" t="s">
        <v>2091</v>
      </c>
      <c r="H129" s="17" t="s">
        <v>2092</v>
      </c>
      <c r="I129" s="17" t="s">
        <v>2093</v>
      </c>
      <c r="J129" s="17" t="s">
        <v>2094</v>
      </c>
      <c r="K129" s="17" t="s">
        <v>1792</v>
      </c>
      <c r="L129" s="17" t="s">
        <v>2095</v>
      </c>
      <c r="M129" s="17"/>
      <c r="N129" s="15" t="s">
        <v>91</v>
      </c>
      <c r="O129" s="17" t="s">
        <v>1121</v>
      </c>
      <c r="P129" s="15" t="n">
        <v>367</v>
      </c>
    </row>
    <row r="130" customFormat="false" ht="22.35" hidden="false" customHeight="false" outlineLevel="0" collapsed="false">
      <c r="A130" s="57" t="s">
        <v>2096</v>
      </c>
      <c r="B130" s="58" t="s">
        <v>1020</v>
      </c>
      <c r="C130" s="58" t="s">
        <v>107</v>
      </c>
      <c r="D130" s="59" t="s">
        <v>2097</v>
      </c>
      <c r="E130" s="58" t="s">
        <v>221</v>
      </c>
      <c r="F130" s="60" t="s">
        <v>2098</v>
      </c>
      <c r="G130" s="58" t="s">
        <v>2099</v>
      </c>
      <c r="H130" s="58" t="s">
        <v>2100</v>
      </c>
      <c r="I130" s="58" t="s">
        <v>2101</v>
      </c>
      <c r="J130" s="58" t="s">
        <v>2102</v>
      </c>
      <c r="K130" s="58" t="s">
        <v>722</v>
      </c>
      <c r="L130" s="58" t="s">
        <v>2103</v>
      </c>
      <c r="M130" s="58" t="s">
        <v>2104</v>
      </c>
      <c r="N130" s="61" t="s">
        <v>91</v>
      </c>
      <c r="O130" s="58" t="s">
        <v>1121</v>
      </c>
      <c r="P130" s="61" t="n">
        <v>392</v>
      </c>
    </row>
    <row r="131" customFormat="false" ht="22.35" hidden="false" customHeight="false" outlineLevel="0" collapsed="false">
      <c r="A131" s="22" t="s">
        <v>2105</v>
      </c>
      <c r="B131" s="17" t="s">
        <v>1020</v>
      </c>
      <c r="C131" s="17" t="s">
        <v>107</v>
      </c>
      <c r="D131" s="55" t="s">
        <v>2106</v>
      </c>
      <c r="E131" s="17" t="s">
        <v>221</v>
      </c>
      <c r="F131" s="56" t="s">
        <v>2107</v>
      </c>
      <c r="G131" s="17" t="s">
        <v>2108</v>
      </c>
      <c r="H131" s="17" t="s">
        <v>2109</v>
      </c>
      <c r="I131" s="17" t="s">
        <v>2093</v>
      </c>
      <c r="J131" s="17" t="s">
        <v>2110</v>
      </c>
      <c r="K131" s="17" t="s">
        <v>1792</v>
      </c>
      <c r="L131" s="17" t="s">
        <v>2111</v>
      </c>
      <c r="M131" s="17"/>
      <c r="N131" s="15" t="s">
        <v>91</v>
      </c>
      <c r="O131" s="17" t="s">
        <v>1121</v>
      </c>
      <c r="P131" s="15" t="n">
        <v>413</v>
      </c>
    </row>
    <row r="132" customFormat="false" ht="22.35" hidden="false" customHeight="false" outlineLevel="0" collapsed="false">
      <c r="A132" s="57" t="s">
        <v>2112</v>
      </c>
      <c r="B132" s="58" t="s">
        <v>1020</v>
      </c>
      <c r="C132" s="58" t="s">
        <v>107</v>
      </c>
      <c r="D132" s="59" t="s">
        <v>2113</v>
      </c>
      <c r="E132" s="58" t="s">
        <v>221</v>
      </c>
      <c r="F132" s="60" t="s">
        <v>2114</v>
      </c>
      <c r="G132" s="58" t="s">
        <v>2115</v>
      </c>
      <c r="H132" s="58" t="s">
        <v>2116</v>
      </c>
      <c r="I132" s="58" t="s">
        <v>2117</v>
      </c>
      <c r="J132" s="58" t="s">
        <v>2118</v>
      </c>
      <c r="K132" s="58" t="s">
        <v>2119</v>
      </c>
      <c r="L132" s="58" t="s">
        <v>2120</v>
      </c>
      <c r="M132" s="58"/>
      <c r="N132" s="61" t="s">
        <v>91</v>
      </c>
      <c r="O132" s="58" t="s">
        <v>1094</v>
      </c>
      <c r="P132" s="61" t="n">
        <v>1646</v>
      </c>
    </row>
    <row r="133" customFormat="false" ht="22.35" hidden="false" customHeight="false" outlineLevel="0" collapsed="false">
      <c r="A133" s="22" t="s">
        <v>2121</v>
      </c>
      <c r="B133" s="17" t="s">
        <v>1020</v>
      </c>
      <c r="C133" s="17" t="s">
        <v>107</v>
      </c>
      <c r="D133" s="55" t="s">
        <v>2122</v>
      </c>
      <c r="E133" s="17" t="s">
        <v>221</v>
      </c>
      <c r="F133" s="56" t="s">
        <v>2123</v>
      </c>
      <c r="G133" s="17" t="s">
        <v>2124</v>
      </c>
      <c r="H133" s="17" t="s">
        <v>2125</v>
      </c>
      <c r="I133" s="17" t="s">
        <v>2126</v>
      </c>
      <c r="J133" s="17" t="s">
        <v>2127</v>
      </c>
      <c r="K133" s="17" t="s">
        <v>2128</v>
      </c>
      <c r="L133" s="17" t="s">
        <v>2129</v>
      </c>
      <c r="M133" s="17" t="s">
        <v>2130</v>
      </c>
      <c r="N133" s="15" t="s">
        <v>91</v>
      </c>
      <c r="O133" s="17" t="s">
        <v>1094</v>
      </c>
      <c r="P133" s="15" t="n">
        <v>1979</v>
      </c>
    </row>
    <row r="134" customFormat="false" ht="22.35" hidden="false" customHeight="false" outlineLevel="0" collapsed="false">
      <c r="A134" s="57" t="s">
        <v>2131</v>
      </c>
      <c r="B134" s="58" t="s">
        <v>1020</v>
      </c>
      <c r="C134" s="58" t="s">
        <v>107</v>
      </c>
      <c r="D134" s="59" t="s">
        <v>2132</v>
      </c>
      <c r="E134" s="58" t="s">
        <v>223</v>
      </c>
      <c r="F134" s="60" t="s">
        <v>2133</v>
      </c>
      <c r="G134" s="58" t="s">
        <v>2134</v>
      </c>
      <c r="H134" s="58" t="s">
        <v>418</v>
      </c>
      <c r="I134" s="58" t="s">
        <v>2135</v>
      </c>
      <c r="J134" s="58" t="s">
        <v>2136</v>
      </c>
      <c r="K134" s="58" t="s">
        <v>2137</v>
      </c>
      <c r="L134" s="58" t="s">
        <v>2138</v>
      </c>
      <c r="M134" s="58"/>
      <c r="N134" s="61" t="s">
        <v>91</v>
      </c>
      <c r="O134" s="58" t="s">
        <v>1094</v>
      </c>
      <c r="P134" s="61" t="n">
        <v>1989</v>
      </c>
    </row>
    <row r="135" customFormat="false" ht="22.35" hidden="false" customHeight="false" outlineLevel="0" collapsed="false">
      <c r="A135" s="22" t="s">
        <v>2139</v>
      </c>
      <c r="B135" s="17" t="s">
        <v>1020</v>
      </c>
      <c r="C135" s="17" t="s">
        <v>107</v>
      </c>
      <c r="D135" s="55" t="s">
        <v>2140</v>
      </c>
      <c r="E135" s="17" t="s">
        <v>229</v>
      </c>
      <c r="F135" s="56" t="s">
        <v>2141</v>
      </c>
      <c r="G135" s="17" t="s">
        <v>2142</v>
      </c>
      <c r="H135" s="17" t="s">
        <v>2143</v>
      </c>
      <c r="I135" s="17" t="s">
        <v>2144</v>
      </c>
      <c r="J135" s="17" t="s">
        <v>2145</v>
      </c>
      <c r="K135" s="17" t="s">
        <v>607</v>
      </c>
      <c r="L135" s="17" t="s">
        <v>1092</v>
      </c>
      <c r="M135" s="17" t="s">
        <v>2146</v>
      </c>
      <c r="N135" s="15" t="s">
        <v>91</v>
      </c>
      <c r="O135" s="17" t="s">
        <v>1094</v>
      </c>
      <c r="P135" s="15" t="n">
        <v>2190</v>
      </c>
    </row>
    <row r="136" customFormat="false" ht="32.8" hidden="false" customHeight="false" outlineLevel="0" collapsed="false">
      <c r="A136" s="57" t="s">
        <v>2147</v>
      </c>
      <c r="B136" s="58" t="s">
        <v>1020</v>
      </c>
      <c r="C136" s="58" t="s">
        <v>107</v>
      </c>
      <c r="D136" s="59" t="s">
        <v>2148</v>
      </c>
      <c r="E136" s="58" t="s">
        <v>229</v>
      </c>
      <c r="F136" s="60" t="s">
        <v>2149</v>
      </c>
      <c r="G136" s="58" t="s">
        <v>2150</v>
      </c>
      <c r="H136" s="58" t="s">
        <v>2151</v>
      </c>
      <c r="I136" s="58" t="s">
        <v>2152</v>
      </c>
      <c r="J136" s="58" t="s">
        <v>2153</v>
      </c>
      <c r="K136" s="58" t="s">
        <v>2154</v>
      </c>
      <c r="L136" s="58" t="s">
        <v>2155</v>
      </c>
      <c r="M136" s="58"/>
      <c r="N136" s="61" t="s">
        <v>91</v>
      </c>
      <c r="O136" s="58" t="s">
        <v>1094</v>
      </c>
      <c r="P136" s="61" t="n">
        <v>2242</v>
      </c>
    </row>
    <row r="137" customFormat="false" ht="43.25" hidden="false" customHeight="false" outlineLevel="0" collapsed="false">
      <c r="A137" s="22" t="s">
        <v>2156</v>
      </c>
      <c r="B137" s="17" t="s">
        <v>1020</v>
      </c>
      <c r="C137" s="17" t="s">
        <v>107</v>
      </c>
      <c r="D137" s="55" t="s">
        <v>2157</v>
      </c>
      <c r="E137" s="17" t="s">
        <v>221</v>
      </c>
      <c r="F137" s="56" t="s">
        <v>2158</v>
      </c>
      <c r="G137" s="17" t="s">
        <v>2159</v>
      </c>
      <c r="H137" s="17" t="s">
        <v>2160</v>
      </c>
      <c r="I137" s="17" t="s">
        <v>2161</v>
      </c>
      <c r="J137" s="17" t="s">
        <v>2162</v>
      </c>
      <c r="K137" s="17" t="s">
        <v>2163</v>
      </c>
      <c r="L137" s="17" t="s">
        <v>2164</v>
      </c>
      <c r="M137" s="17" t="s">
        <v>2165</v>
      </c>
      <c r="N137" s="15" t="s">
        <v>91</v>
      </c>
      <c r="O137" s="17" t="s">
        <v>1175</v>
      </c>
      <c r="P137" s="15" t="n">
        <v>1056</v>
      </c>
    </row>
    <row r="138" customFormat="false" ht="32.8" hidden="false" customHeight="false" outlineLevel="0" collapsed="false">
      <c r="A138" s="57" t="s">
        <v>2166</v>
      </c>
      <c r="B138" s="58" t="s">
        <v>1020</v>
      </c>
      <c r="C138" s="58" t="s">
        <v>107</v>
      </c>
      <c r="D138" s="59" t="s">
        <v>2167</v>
      </c>
      <c r="E138" s="58" t="s">
        <v>223</v>
      </c>
      <c r="F138" s="60" t="s">
        <v>2168</v>
      </c>
      <c r="G138" s="58" t="s">
        <v>2169</v>
      </c>
      <c r="H138" s="58" t="s">
        <v>418</v>
      </c>
      <c r="I138" s="58" t="s">
        <v>2170</v>
      </c>
      <c r="J138" s="58" t="s">
        <v>2171</v>
      </c>
      <c r="K138" s="58" t="s">
        <v>2137</v>
      </c>
      <c r="L138" s="58" t="s">
        <v>2172</v>
      </c>
      <c r="M138" s="58"/>
      <c r="N138" s="61" t="s">
        <v>91</v>
      </c>
      <c r="O138" s="58" t="s">
        <v>1175</v>
      </c>
      <c r="P138" s="61" t="n">
        <v>1106</v>
      </c>
    </row>
    <row r="139" customFormat="false" ht="32.8" hidden="false" customHeight="false" outlineLevel="0" collapsed="false">
      <c r="A139" s="22" t="s">
        <v>2173</v>
      </c>
      <c r="B139" s="17" t="s">
        <v>1020</v>
      </c>
      <c r="C139" s="17" t="s">
        <v>107</v>
      </c>
      <c r="D139" s="55" t="s">
        <v>2174</v>
      </c>
      <c r="E139" s="17" t="s">
        <v>221</v>
      </c>
      <c r="F139" s="56" t="s">
        <v>2175</v>
      </c>
      <c r="G139" s="17" t="s">
        <v>2176</v>
      </c>
      <c r="H139" s="17" t="s">
        <v>2177</v>
      </c>
      <c r="I139" s="17" t="s">
        <v>2178</v>
      </c>
      <c r="J139" s="17" t="s">
        <v>2179</v>
      </c>
      <c r="K139" s="17" t="s">
        <v>2180</v>
      </c>
      <c r="L139" s="17" t="s">
        <v>2181</v>
      </c>
      <c r="M139" s="17" t="s">
        <v>2182</v>
      </c>
      <c r="N139" s="15" t="s">
        <v>91</v>
      </c>
      <c r="O139" s="17" t="s">
        <v>1175</v>
      </c>
      <c r="P139" s="15" t="n">
        <v>1190</v>
      </c>
    </row>
    <row r="140" customFormat="false" ht="32.8" hidden="false" customHeight="false" outlineLevel="0" collapsed="false">
      <c r="A140" s="57" t="s">
        <v>2183</v>
      </c>
      <c r="B140" s="58" t="s">
        <v>1020</v>
      </c>
      <c r="C140" s="58" t="s">
        <v>108</v>
      </c>
      <c r="D140" s="59" t="s">
        <v>2184</v>
      </c>
      <c r="E140" s="58" t="s">
        <v>236</v>
      </c>
      <c r="F140" s="60" t="s">
        <v>2185</v>
      </c>
      <c r="G140" s="58" t="s">
        <v>2186</v>
      </c>
      <c r="H140" s="58" t="s">
        <v>2187</v>
      </c>
      <c r="I140" s="58" t="s">
        <v>2188</v>
      </c>
      <c r="J140" s="58" t="s">
        <v>2189</v>
      </c>
      <c r="K140" s="58" t="s">
        <v>2190</v>
      </c>
      <c r="L140" s="58" t="s">
        <v>2191</v>
      </c>
      <c r="M140" s="58" t="s">
        <v>2192</v>
      </c>
      <c r="N140" s="61" t="s">
        <v>91</v>
      </c>
      <c r="O140" s="58" t="s">
        <v>2193</v>
      </c>
      <c r="P140" s="61" t="n">
        <v>15</v>
      </c>
    </row>
    <row r="141" customFormat="false" ht="32.8" hidden="false" customHeight="false" outlineLevel="0" collapsed="false">
      <c r="A141" s="22" t="s">
        <v>2194</v>
      </c>
      <c r="B141" s="17" t="s">
        <v>1020</v>
      </c>
      <c r="C141" s="17" t="s">
        <v>108</v>
      </c>
      <c r="D141" s="55" t="s">
        <v>2195</v>
      </c>
      <c r="E141" s="17" t="s">
        <v>229</v>
      </c>
      <c r="F141" s="56" t="s">
        <v>2196</v>
      </c>
      <c r="G141" s="17" t="s">
        <v>2197</v>
      </c>
      <c r="H141" s="17" t="s">
        <v>2198</v>
      </c>
      <c r="I141" s="17" t="s">
        <v>2199</v>
      </c>
      <c r="J141" s="17" t="s">
        <v>2200</v>
      </c>
      <c r="K141" s="17" t="s">
        <v>1512</v>
      </c>
      <c r="L141" s="17" t="s">
        <v>2201</v>
      </c>
      <c r="M141" s="17" t="s">
        <v>2202</v>
      </c>
      <c r="N141" s="15" t="s">
        <v>91</v>
      </c>
      <c r="O141" s="17" t="s">
        <v>2193</v>
      </c>
      <c r="P141" s="15" t="n">
        <v>47</v>
      </c>
    </row>
    <row r="142" customFormat="false" ht="43.25" hidden="false" customHeight="false" outlineLevel="0" collapsed="false">
      <c r="A142" s="57" t="s">
        <v>2203</v>
      </c>
      <c r="B142" s="58" t="s">
        <v>1020</v>
      </c>
      <c r="C142" s="58" t="s">
        <v>108</v>
      </c>
      <c r="D142" s="59" t="s">
        <v>2204</v>
      </c>
      <c r="E142" s="58" t="s">
        <v>236</v>
      </c>
      <c r="F142" s="60" t="s">
        <v>2205</v>
      </c>
      <c r="G142" s="58" t="s">
        <v>2206</v>
      </c>
      <c r="H142" s="58" t="s">
        <v>2207</v>
      </c>
      <c r="I142" s="58" t="s">
        <v>2208</v>
      </c>
      <c r="J142" s="58" t="s">
        <v>2209</v>
      </c>
      <c r="K142" s="58" t="s">
        <v>753</v>
      </c>
      <c r="L142" s="58" t="s">
        <v>2210</v>
      </c>
      <c r="M142" s="58" t="s">
        <v>2211</v>
      </c>
      <c r="N142" s="61" t="s">
        <v>91</v>
      </c>
      <c r="O142" s="58" t="s">
        <v>2193</v>
      </c>
      <c r="P142" s="61" t="n">
        <v>93</v>
      </c>
    </row>
    <row r="143" customFormat="false" ht="43.25" hidden="false" customHeight="false" outlineLevel="0" collapsed="false">
      <c r="A143" s="22" t="s">
        <v>2212</v>
      </c>
      <c r="B143" s="17" t="s">
        <v>1020</v>
      </c>
      <c r="C143" s="17" t="s">
        <v>108</v>
      </c>
      <c r="D143" s="55" t="s">
        <v>2213</v>
      </c>
      <c r="E143" s="17" t="s">
        <v>236</v>
      </c>
      <c r="F143" s="56" t="s">
        <v>2214</v>
      </c>
      <c r="G143" s="17" t="s">
        <v>2215</v>
      </c>
      <c r="H143" s="17" t="s">
        <v>2216</v>
      </c>
      <c r="I143" s="17" t="s">
        <v>2217</v>
      </c>
      <c r="J143" s="17" t="s">
        <v>2218</v>
      </c>
      <c r="K143" s="17" t="s">
        <v>2219</v>
      </c>
      <c r="L143" s="17" t="s">
        <v>2220</v>
      </c>
      <c r="M143" s="17" t="s">
        <v>2221</v>
      </c>
      <c r="N143" s="15" t="s">
        <v>91</v>
      </c>
      <c r="O143" s="17" t="s">
        <v>2193</v>
      </c>
      <c r="P143" s="15" t="n">
        <v>125</v>
      </c>
    </row>
    <row r="144" customFormat="false" ht="32.8" hidden="false" customHeight="false" outlineLevel="0" collapsed="false">
      <c r="A144" s="57" t="s">
        <v>2222</v>
      </c>
      <c r="B144" s="58" t="s">
        <v>1020</v>
      </c>
      <c r="C144" s="58" t="s">
        <v>108</v>
      </c>
      <c r="D144" s="59" t="s">
        <v>2223</v>
      </c>
      <c r="E144" s="58" t="s">
        <v>229</v>
      </c>
      <c r="F144" s="60" t="s">
        <v>2224</v>
      </c>
      <c r="G144" s="58" t="s">
        <v>2225</v>
      </c>
      <c r="H144" s="58" t="s">
        <v>2226</v>
      </c>
      <c r="I144" s="58" t="s">
        <v>2227</v>
      </c>
      <c r="J144" s="58" t="s">
        <v>2228</v>
      </c>
      <c r="K144" s="58" t="s">
        <v>2229</v>
      </c>
      <c r="L144" s="58" t="s">
        <v>2230</v>
      </c>
      <c r="M144" s="58"/>
      <c r="N144" s="61" t="s">
        <v>91</v>
      </c>
      <c r="O144" s="58" t="s">
        <v>2193</v>
      </c>
      <c r="P144" s="61" t="n">
        <v>187</v>
      </c>
    </row>
    <row r="145" customFormat="false" ht="32.8" hidden="false" customHeight="false" outlineLevel="0" collapsed="false">
      <c r="A145" s="22" t="s">
        <v>2231</v>
      </c>
      <c r="B145" s="17" t="s">
        <v>1020</v>
      </c>
      <c r="C145" s="17" t="s">
        <v>108</v>
      </c>
      <c r="D145" s="55" t="s">
        <v>2232</v>
      </c>
      <c r="E145" s="17" t="s">
        <v>236</v>
      </c>
      <c r="F145" s="56" t="s">
        <v>2233</v>
      </c>
      <c r="G145" s="17" t="s">
        <v>2234</v>
      </c>
      <c r="H145" s="17" t="s">
        <v>2235</v>
      </c>
      <c r="I145" s="17" t="s">
        <v>2236</v>
      </c>
      <c r="J145" s="17" t="s">
        <v>2237</v>
      </c>
      <c r="K145" s="17" t="s">
        <v>1046</v>
      </c>
      <c r="L145" s="17" t="s">
        <v>151</v>
      </c>
      <c r="M145" s="17" t="s">
        <v>2238</v>
      </c>
      <c r="N145" s="15" t="s">
        <v>91</v>
      </c>
      <c r="O145" s="17" t="s">
        <v>2193</v>
      </c>
      <c r="P145" s="15" t="n">
        <v>203</v>
      </c>
    </row>
    <row r="146" customFormat="false" ht="53.7" hidden="false" customHeight="false" outlineLevel="0" collapsed="false">
      <c r="A146" s="57" t="s">
        <v>2239</v>
      </c>
      <c r="B146" s="58" t="s">
        <v>1020</v>
      </c>
      <c r="C146" s="58" t="s">
        <v>108</v>
      </c>
      <c r="D146" s="59" t="s">
        <v>2240</v>
      </c>
      <c r="E146" s="58" t="s">
        <v>236</v>
      </c>
      <c r="F146" s="60" t="s">
        <v>2241</v>
      </c>
      <c r="G146" s="58" t="s">
        <v>2242</v>
      </c>
      <c r="H146" s="58" t="s">
        <v>2243</v>
      </c>
      <c r="I146" s="58" t="s">
        <v>2244</v>
      </c>
      <c r="J146" s="58" t="s">
        <v>2245</v>
      </c>
      <c r="K146" s="58" t="s">
        <v>1046</v>
      </c>
      <c r="L146" s="58" t="s">
        <v>2246</v>
      </c>
      <c r="M146" s="58" t="s">
        <v>2247</v>
      </c>
      <c r="N146" s="61" t="s">
        <v>91</v>
      </c>
      <c r="O146" s="58" t="s">
        <v>1121</v>
      </c>
      <c r="P146" s="61" t="n">
        <v>51</v>
      </c>
    </row>
    <row r="147" customFormat="false" ht="32.8" hidden="false" customHeight="false" outlineLevel="0" collapsed="false">
      <c r="A147" s="22" t="s">
        <v>2248</v>
      </c>
      <c r="B147" s="17" t="s">
        <v>1020</v>
      </c>
      <c r="C147" s="17" t="s">
        <v>108</v>
      </c>
      <c r="D147" s="55" t="s">
        <v>2249</v>
      </c>
      <c r="E147" s="17" t="s">
        <v>221</v>
      </c>
      <c r="F147" s="56" t="s">
        <v>2250</v>
      </c>
      <c r="G147" s="17" t="s">
        <v>2251</v>
      </c>
      <c r="H147" s="17" t="s">
        <v>2252</v>
      </c>
      <c r="I147" s="17" t="s">
        <v>2019</v>
      </c>
      <c r="J147" s="17" t="s">
        <v>2253</v>
      </c>
      <c r="K147" s="17" t="s">
        <v>753</v>
      </c>
      <c r="L147" s="17" t="s">
        <v>2254</v>
      </c>
      <c r="M147" s="17"/>
      <c r="N147" s="15" t="s">
        <v>91</v>
      </c>
      <c r="O147" s="17" t="s">
        <v>1121</v>
      </c>
      <c r="P147" s="15" t="n">
        <v>511</v>
      </c>
    </row>
    <row r="148" customFormat="false" ht="22.35" hidden="false" customHeight="false" outlineLevel="0" collapsed="false">
      <c r="A148" s="57" t="s">
        <v>2255</v>
      </c>
      <c r="B148" s="58" t="s">
        <v>1020</v>
      </c>
      <c r="C148" s="58" t="s">
        <v>109</v>
      </c>
      <c r="D148" s="59" t="s">
        <v>2256</v>
      </c>
      <c r="E148" s="58" t="s">
        <v>223</v>
      </c>
      <c r="F148" s="60" t="s">
        <v>2257</v>
      </c>
      <c r="G148" s="58" t="s">
        <v>2258</v>
      </c>
      <c r="H148" s="58" t="s">
        <v>418</v>
      </c>
      <c r="I148" s="58" t="s">
        <v>2259</v>
      </c>
      <c r="J148" s="58" t="s">
        <v>2260</v>
      </c>
      <c r="K148" s="58" t="s">
        <v>2261</v>
      </c>
      <c r="L148" s="58" t="s">
        <v>2262</v>
      </c>
      <c r="M148" s="58"/>
      <c r="N148" s="61" t="s">
        <v>91</v>
      </c>
      <c r="O148" s="58" t="s">
        <v>1986</v>
      </c>
      <c r="P148" s="61" t="n">
        <v>24</v>
      </c>
    </row>
    <row r="149" customFormat="false" ht="43.25" hidden="false" customHeight="false" outlineLevel="0" collapsed="false">
      <c r="A149" s="22" t="s">
        <v>2263</v>
      </c>
      <c r="B149" s="17" t="s">
        <v>1020</v>
      </c>
      <c r="C149" s="17" t="s">
        <v>109</v>
      </c>
      <c r="D149" s="55" t="s">
        <v>2264</v>
      </c>
      <c r="E149" s="17" t="s">
        <v>223</v>
      </c>
      <c r="F149" s="56" t="s">
        <v>2265</v>
      </c>
      <c r="G149" s="17" t="s">
        <v>2266</v>
      </c>
      <c r="H149" s="17" t="s">
        <v>418</v>
      </c>
      <c r="I149" s="17" t="s">
        <v>2267</v>
      </c>
      <c r="J149" s="17" t="s">
        <v>2268</v>
      </c>
      <c r="K149" s="17" t="s">
        <v>753</v>
      </c>
      <c r="L149" s="17" t="s">
        <v>2269</v>
      </c>
      <c r="M149" s="17" t="s">
        <v>2270</v>
      </c>
      <c r="N149" s="15" t="s">
        <v>91</v>
      </c>
      <c r="O149" s="17" t="s">
        <v>1986</v>
      </c>
      <c r="P149" s="15" t="n">
        <v>32</v>
      </c>
    </row>
    <row r="150" customFormat="false" ht="22.35" hidden="false" customHeight="false" outlineLevel="0" collapsed="false">
      <c r="A150" s="57" t="s">
        <v>2271</v>
      </c>
      <c r="B150" s="58" t="s">
        <v>1020</v>
      </c>
      <c r="C150" s="58" t="s">
        <v>109</v>
      </c>
      <c r="D150" s="59" t="s">
        <v>2272</v>
      </c>
      <c r="E150" s="58" t="s">
        <v>223</v>
      </c>
      <c r="F150" s="60" t="s">
        <v>2273</v>
      </c>
      <c r="G150" s="58" t="s">
        <v>2274</v>
      </c>
      <c r="H150" s="58" t="s">
        <v>418</v>
      </c>
      <c r="I150" s="58" t="s">
        <v>2275</v>
      </c>
      <c r="J150" s="58" t="s">
        <v>2276</v>
      </c>
      <c r="K150" s="58" t="s">
        <v>1413</v>
      </c>
      <c r="L150" s="58" t="s">
        <v>2269</v>
      </c>
      <c r="M150" s="58"/>
      <c r="N150" s="61" t="s">
        <v>91</v>
      </c>
      <c r="O150" s="58" t="s">
        <v>1986</v>
      </c>
      <c r="P150" s="61" t="n">
        <v>35</v>
      </c>
    </row>
    <row r="151" customFormat="false" ht="22.35" hidden="false" customHeight="false" outlineLevel="0" collapsed="false">
      <c r="A151" s="22" t="s">
        <v>2277</v>
      </c>
      <c r="B151" s="17" t="s">
        <v>1020</v>
      </c>
      <c r="C151" s="17" t="s">
        <v>109</v>
      </c>
      <c r="D151" s="55" t="s">
        <v>2278</v>
      </c>
      <c r="E151" s="17" t="s">
        <v>223</v>
      </c>
      <c r="F151" s="56" t="s">
        <v>2279</v>
      </c>
      <c r="G151" s="17" t="s">
        <v>2280</v>
      </c>
      <c r="H151" s="17" t="s">
        <v>418</v>
      </c>
      <c r="I151" s="17" t="s">
        <v>2275</v>
      </c>
      <c r="J151" s="17" t="s">
        <v>2281</v>
      </c>
      <c r="K151" s="17" t="s">
        <v>2282</v>
      </c>
      <c r="L151" s="17" t="s">
        <v>2283</v>
      </c>
      <c r="M151" s="17"/>
      <c r="N151" s="15" t="s">
        <v>91</v>
      </c>
      <c r="O151" s="17" t="s">
        <v>1986</v>
      </c>
      <c r="P151" s="15" t="n">
        <v>38</v>
      </c>
    </row>
    <row r="152" customFormat="false" ht="22.35" hidden="false" customHeight="false" outlineLevel="0" collapsed="false">
      <c r="A152" s="57" t="s">
        <v>2284</v>
      </c>
      <c r="B152" s="58" t="s">
        <v>1020</v>
      </c>
      <c r="C152" s="58" t="s">
        <v>109</v>
      </c>
      <c r="D152" s="59" t="s">
        <v>2285</v>
      </c>
      <c r="E152" s="58" t="s">
        <v>221</v>
      </c>
      <c r="F152" s="60" t="s">
        <v>2286</v>
      </c>
      <c r="G152" s="58" t="s">
        <v>2287</v>
      </c>
      <c r="H152" s="58" t="s">
        <v>2288</v>
      </c>
      <c r="I152" s="58" t="s">
        <v>2289</v>
      </c>
      <c r="J152" s="58" t="s">
        <v>2290</v>
      </c>
      <c r="K152" s="58" t="s">
        <v>1413</v>
      </c>
      <c r="L152" s="58" t="s">
        <v>2283</v>
      </c>
      <c r="M152" s="58" t="s">
        <v>2291</v>
      </c>
      <c r="N152" s="61" t="s">
        <v>91</v>
      </c>
      <c r="O152" s="58" t="s">
        <v>1986</v>
      </c>
      <c r="P152" s="61" t="n">
        <v>137</v>
      </c>
    </row>
    <row r="153" customFormat="false" ht="22.35" hidden="false" customHeight="false" outlineLevel="0" collapsed="false">
      <c r="A153" s="22" t="s">
        <v>2292</v>
      </c>
      <c r="B153" s="17" t="s">
        <v>1020</v>
      </c>
      <c r="C153" s="17" t="s">
        <v>109</v>
      </c>
      <c r="D153" s="55" t="s">
        <v>2293</v>
      </c>
      <c r="E153" s="17" t="s">
        <v>229</v>
      </c>
      <c r="F153" s="56" t="s">
        <v>2294</v>
      </c>
      <c r="G153" s="17" t="s">
        <v>2295</v>
      </c>
      <c r="H153" s="17" t="s">
        <v>2296</v>
      </c>
      <c r="I153" s="17" t="s">
        <v>2297</v>
      </c>
      <c r="J153" s="17" t="s">
        <v>2298</v>
      </c>
      <c r="K153" s="17" t="s">
        <v>485</v>
      </c>
      <c r="L153" s="17" t="s">
        <v>2299</v>
      </c>
      <c r="M153" s="17" t="s">
        <v>2300</v>
      </c>
      <c r="N153" s="15" t="s">
        <v>91</v>
      </c>
      <c r="O153" s="17" t="s">
        <v>1986</v>
      </c>
      <c r="P153" s="15" t="n">
        <v>152</v>
      </c>
    </row>
    <row r="154" customFormat="false" ht="22.35" hidden="false" customHeight="false" outlineLevel="0" collapsed="false">
      <c r="A154" s="57" t="s">
        <v>2301</v>
      </c>
      <c r="B154" s="58" t="s">
        <v>1020</v>
      </c>
      <c r="C154" s="58" t="s">
        <v>109</v>
      </c>
      <c r="D154" s="59" t="s">
        <v>2302</v>
      </c>
      <c r="E154" s="58" t="s">
        <v>229</v>
      </c>
      <c r="F154" s="60" t="s">
        <v>2303</v>
      </c>
      <c r="G154" s="58" t="s">
        <v>2304</v>
      </c>
      <c r="H154" s="58" t="s">
        <v>2305</v>
      </c>
      <c r="I154" s="58" t="s">
        <v>2306</v>
      </c>
      <c r="J154" s="58" t="s">
        <v>2307</v>
      </c>
      <c r="K154" s="58" t="s">
        <v>1413</v>
      </c>
      <c r="L154" s="58" t="s">
        <v>2299</v>
      </c>
      <c r="M154" s="58" t="s">
        <v>2308</v>
      </c>
      <c r="N154" s="61" t="s">
        <v>91</v>
      </c>
      <c r="O154" s="58" t="s">
        <v>1986</v>
      </c>
      <c r="P154" s="61" t="n">
        <v>184</v>
      </c>
    </row>
    <row r="155" customFormat="false" ht="43.25" hidden="false" customHeight="false" outlineLevel="0" collapsed="false">
      <c r="A155" s="22" t="s">
        <v>2309</v>
      </c>
      <c r="B155" s="17" t="s">
        <v>1020</v>
      </c>
      <c r="C155" s="17" t="s">
        <v>109</v>
      </c>
      <c r="D155" s="55" t="s">
        <v>2310</v>
      </c>
      <c r="E155" s="17" t="s">
        <v>229</v>
      </c>
      <c r="F155" s="56" t="s">
        <v>2311</v>
      </c>
      <c r="G155" s="17" t="s">
        <v>2312</v>
      </c>
      <c r="H155" s="17" t="s">
        <v>2313</v>
      </c>
      <c r="I155" s="17" t="s">
        <v>2306</v>
      </c>
      <c r="J155" s="17" t="s">
        <v>2314</v>
      </c>
      <c r="K155" s="17" t="s">
        <v>1413</v>
      </c>
      <c r="L155" s="17" t="s">
        <v>2299</v>
      </c>
      <c r="M155" s="17" t="s">
        <v>2315</v>
      </c>
      <c r="N155" s="15" t="s">
        <v>91</v>
      </c>
      <c r="O155" s="17" t="s">
        <v>1986</v>
      </c>
      <c r="P155" s="15" t="n">
        <v>198</v>
      </c>
    </row>
    <row r="156" customFormat="false" ht="32.8" hidden="false" customHeight="false" outlineLevel="0" collapsed="false">
      <c r="A156" s="57" t="s">
        <v>2316</v>
      </c>
      <c r="B156" s="58" t="s">
        <v>1020</v>
      </c>
      <c r="C156" s="58" t="s">
        <v>109</v>
      </c>
      <c r="D156" s="59" t="s">
        <v>2317</v>
      </c>
      <c r="E156" s="58" t="s">
        <v>229</v>
      </c>
      <c r="F156" s="60" t="s">
        <v>2318</v>
      </c>
      <c r="G156" s="58" t="s">
        <v>2319</v>
      </c>
      <c r="H156" s="58" t="s">
        <v>2320</v>
      </c>
      <c r="I156" s="58" t="s">
        <v>2306</v>
      </c>
      <c r="J156" s="58" t="s">
        <v>2321</v>
      </c>
      <c r="K156" s="58" t="s">
        <v>1413</v>
      </c>
      <c r="L156" s="58" t="s">
        <v>2299</v>
      </c>
      <c r="M156" s="58" t="s">
        <v>2322</v>
      </c>
      <c r="N156" s="61" t="s">
        <v>91</v>
      </c>
      <c r="O156" s="58" t="s">
        <v>1986</v>
      </c>
      <c r="P156" s="61" t="n">
        <v>225</v>
      </c>
    </row>
    <row r="157" customFormat="false" ht="32.8" hidden="false" customHeight="false" outlineLevel="0" collapsed="false">
      <c r="A157" s="22" t="s">
        <v>2323</v>
      </c>
      <c r="B157" s="17" t="s">
        <v>1020</v>
      </c>
      <c r="C157" s="17" t="s">
        <v>109</v>
      </c>
      <c r="D157" s="55" t="s">
        <v>2324</v>
      </c>
      <c r="E157" s="17" t="s">
        <v>221</v>
      </c>
      <c r="F157" s="56" t="s">
        <v>2325</v>
      </c>
      <c r="G157" s="17" t="s">
        <v>2326</v>
      </c>
      <c r="H157" s="17" t="s">
        <v>2327</v>
      </c>
      <c r="I157" s="17" t="s">
        <v>2328</v>
      </c>
      <c r="J157" s="17" t="s">
        <v>2329</v>
      </c>
      <c r="K157" s="17" t="s">
        <v>1413</v>
      </c>
      <c r="L157" s="17" t="s">
        <v>2269</v>
      </c>
      <c r="M157" s="17" t="s">
        <v>2330</v>
      </c>
      <c r="N157" s="15" t="s">
        <v>91</v>
      </c>
      <c r="O157" s="17" t="s">
        <v>1986</v>
      </c>
      <c r="P157" s="15" t="n">
        <v>268</v>
      </c>
    </row>
    <row r="158" customFormat="false" ht="53.7" hidden="false" customHeight="false" outlineLevel="0" collapsed="false">
      <c r="A158" s="57" t="s">
        <v>2331</v>
      </c>
      <c r="B158" s="58" t="s">
        <v>1020</v>
      </c>
      <c r="C158" s="58" t="s">
        <v>109</v>
      </c>
      <c r="D158" s="59" t="s">
        <v>2332</v>
      </c>
      <c r="E158" s="58" t="s">
        <v>221</v>
      </c>
      <c r="F158" s="60" t="s">
        <v>2333</v>
      </c>
      <c r="G158" s="58" t="s">
        <v>2334</v>
      </c>
      <c r="H158" s="58" t="s">
        <v>2335</v>
      </c>
      <c r="I158" s="58" t="s">
        <v>2336</v>
      </c>
      <c r="J158" s="58" t="s">
        <v>2337</v>
      </c>
      <c r="K158" s="58" t="s">
        <v>753</v>
      </c>
      <c r="L158" s="58" t="s">
        <v>2338</v>
      </c>
      <c r="M158" s="58" t="s">
        <v>2339</v>
      </c>
      <c r="N158" s="61" t="s">
        <v>91</v>
      </c>
      <c r="O158" s="58" t="s">
        <v>1986</v>
      </c>
      <c r="P158" s="61" t="n">
        <v>295</v>
      </c>
    </row>
    <row r="159" customFormat="false" ht="22.35" hidden="false" customHeight="false" outlineLevel="0" collapsed="false">
      <c r="A159" s="22" t="s">
        <v>2340</v>
      </c>
      <c r="B159" s="17" t="s">
        <v>1020</v>
      </c>
      <c r="C159" s="17" t="s">
        <v>109</v>
      </c>
      <c r="D159" s="55" t="s">
        <v>2341</v>
      </c>
      <c r="E159" s="17" t="s">
        <v>229</v>
      </c>
      <c r="F159" s="56" t="s">
        <v>2342</v>
      </c>
      <c r="G159" s="17" t="s">
        <v>2343</v>
      </c>
      <c r="H159" s="17" t="s">
        <v>2344</v>
      </c>
      <c r="I159" s="17" t="s">
        <v>2345</v>
      </c>
      <c r="J159" s="17" t="s">
        <v>2346</v>
      </c>
      <c r="K159" s="17" t="s">
        <v>1413</v>
      </c>
      <c r="L159" s="17" t="s">
        <v>2347</v>
      </c>
      <c r="M159" s="17"/>
      <c r="N159" s="15" t="s">
        <v>91</v>
      </c>
      <c r="O159" s="17" t="s">
        <v>1986</v>
      </c>
      <c r="P159" s="15" t="n">
        <v>333</v>
      </c>
    </row>
    <row r="160" customFormat="false" ht="22.35" hidden="false" customHeight="false" outlineLevel="0" collapsed="false">
      <c r="A160" s="57" t="s">
        <v>2348</v>
      </c>
      <c r="B160" s="58" t="s">
        <v>1020</v>
      </c>
      <c r="C160" s="58" t="s">
        <v>109</v>
      </c>
      <c r="D160" s="59" t="s">
        <v>2349</v>
      </c>
      <c r="E160" s="58" t="s">
        <v>229</v>
      </c>
      <c r="F160" s="60" t="s">
        <v>2350</v>
      </c>
      <c r="G160" s="58" t="s">
        <v>2351</v>
      </c>
      <c r="H160" s="58" t="s">
        <v>2352</v>
      </c>
      <c r="I160" s="58" t="s">
        <v>2353</v>
      </c>
      <c r="J160" s="58" t="s">
        <v>2354</v>
      </c>
      <c r="K160" s="58" t="s">
        <v>2355</v>
      </c>
      <c r="L160" s="58" t="s">
        <v>2347</v>
      </c>
      <c r="M160" s="58"/>
      <c r="N160" s="61" t="s">
        <v>91</v>
      </c>
      <c r="O160" s="58" t="s">
        <v>1986</v>
      </c>
      <c r="P160" s="61" t="n">
        <v>354</v>
      </c>
    </row>
    <row r="161" customFormat="false" ht="22.35" hidden="false" customHeight="false" outlineLevel="0" collapsed="false">
      <c r="A161" s="22" t="s">
        <v>2356</v>
      </c>
      <c r="B161" s="17" t="s">
        <v>1020</v>
      </c>
      <c r="C161" s="17" t="s">
        <v>109</v>
      </c>
      <c r="D161" s="55" t="s">
        <v>2357</v>
      </c>
      <c r="E161" s="17" t="s">
        <v>229</v>
      </c>
      <c r="F161" s="56" t="s">
        <v>2358</v>
      </c>
      <c r="G161" s="17" t="s">
        <v>2359</v>
      </c>
      <c r="H161" s="17" t="s">
        <v>2360</v>
      </c>
      <c r="I161" s="17" t="s">
        <v>2361</v>
      </c>
      <c r="J161" s="17" t="s">
        <v>2362</v>
      </c>
      <c r="K161" s="17" t="s">
        <v>1413</v>
      </c>
      <c r="L161" s="17" t="s">
        <v>2347</v>
      </c>
      <c r="M161" s="17"/>
      <c r="N161" s="15" t="s">
        <v>91</v>
      </c>
      <c r="O161" s="17" t="s">
        <v>1986</v>
      </c>
      <c r="P161" s="15" t="n">
        <v>367</v>
      </c>
    </row>
    <row r="162" customFormat="false" ht="43.25" hidden="false" customHeight="false" outlineLevel="0" collapsed="false">
      <c r="A162" s="57" t="s">
        <v>2363</v>
      </c>
      <c r="B162" s="58" t="s">
        <v>1020</v>
      </c>
      <c r="C162" s="58" t="s">
        <v>109</v>
      </c>
      <c r="D162" s="59" t="s">
        <v>2364</v>
      </c>
      <c r="E162" s="58" t="s">
        <v>229</v>
      </c>
      <c r="F162" s="60" t="s">
        <v>2365</v>
      </c>
      <c r="G162" s="58" t="s">
        <v>2366</v>
      </c>
      <c r="H162" s="58" t="s">
        <v>2367</v>
      </c>
      <c r="I162" s="58" t="s">
        <v>2368</v>
      </c>
      <c r="J162" s="58" t="s">
        <v>2369</v>
      </c>
      <c r="K162" s="58" t="s">
        <v>2282</v>
      </c>
      <c r="L162" s="58" t="s">
        <v>2347</v>
      </c>
      <c r="M162" s="58" t="s">
        <v>2370</v>
      </c>
      <c r="N162" s="61" t="s">
        <v>91</v>
      </c>
      <c r="O162" s="58" t="s">
        <v>1986</v>
      </c>
      <c r="P162" s="61" t="n">
        <v>374</v>
      </c>
    </row>
    <row r="163" customFormat="false" ht="43.25" hidden="false" customHeight="false" outlineLevel="0" collapsed="false">
      <c r="A163" s="22" t="s">
        <v>2371</v>
      </c>
      <c r="B163" s="17" t="s">
        <v>1020</v>
      </c>
      <c r="C163" s="17" t="s">
        <v>109</v>
      </c>
      <c r="D163" s="55" t="s">
        <v>2372</v>
      </c>
      <c r="E163" s="17" t="s">
        <v>224</v>
      </c>
      <c r="F163" s="56" t="s">
        <v>2373</v>
      </c>
      <c r="G163" s="17" t="s">
        <v>2374</v>
      </c>
      <c r="H163" s="17" t="s">
        <v>418</v>
      </c>
      <c r="I163" s="17" t="s">
        <v>1116</v>
      </c>
      <c r="J163" s="17" t="s">
        <v>2375</v>
      </c>
      <c r="K163" s="17" t="s">
        <v>2376</v>
      </c>
      <c r="L163" s="17" t="s">
        <v>2377</v>
      </c>
      <c r="M163" s="17" t="s">
        <v>2378</v>
      </c>
      <c r="N163" s="15" t="s">
        <v>91</v>
      </c>
      <c r="O163" s="17" t="s">
        <v>1121</v>
      </c>
      <c r="P163" s="15" t="n">
        <v>304</v>
      </c>
    </row>
    <row r="164" customFormat="false" ht="22.35" hidden="false" customHeight="false" outlineLevel="0" collapsed="false">
      <c r="A164" s="57" t="s">
        <v>2379</v>
      </c>
      <c r="B164" s="58" t="s">
        <v>1020</v>
      </c>
      <c r="C164" s="58" t="s">
        <v>110</v>
      </c>
      <c r="D164" s="59" t="s">
        <v>2380</v>
      </c>
      <c r="E164" s="58" t="s">
        <v>223</v>
      </c>
      <c r="F164" s="60" t="s">
        <v>2381</v>
      </c>
      <c r="G164" s="58" t="s">
        <v>2382</v>
      </c>
      <c r="H164" s="58" t="s">
        <v>418</v>
      </c>
      <c r="I164" s="58" t="s">
        <v>2383</v>
      </c>
      <c r="J164" s="58"/>
      <c r="K164" s="58" t="s">
        <v>784</v>
      </c>
      <c r="L164" s="58" t="s">
        <v>2384</v>
      </c>
      <c r="M164" s="58"/>
      <c r="N164" s="61" t="s">
        <v>91</v>
      </c>
      <c r="O164" s="58" t="s">
        <v>1074</v>
      </c>
      <c r="P164" s="61" t="n">
        <v>29</v>
      </c>
    </row>
    <row r="165" customFormat="false" ht="22.35" hidden="false" customHeight="false" outlineLevel="0" collapsed="false">
      <c r="A165" s="22" t="s">
        <v>2385</v>
      </c>
      <c r="B165" s="17" t="s">
        <v>1020</v>
      </c>
      <c r="C165" s="17" t="s">
        <v>110</v>
      </c>
      <c r="D165" s="55" t="s">
        <v>2386</v>
      </c>
      <c r="E165" s="17" t="s">
        <v>229</v>
      </c>
      <c r="F165" s="56" t="s">
        <v>2387</v>
      </c>
      <c r="G165" s="17" t="s">
        <v>2388</v>
      </c>
      <c r="H165" s="17" t="s">
        <v>2389</v>
      </c>
      <c r="I165" s="17" t="s">
        <v>2390</v>
      </c>
      <c r="J165" s="17" t="s">
        <v>2391</v>
      </c>
      <c r="K165" s="17" t="s">
        <v>784</v>
      </c>
      <c r="L165" s="17" t="s">
        <v>2392</v>
      </c>
      <c r="M165" s="17" t="s">
        <v>2393</v>
      </c>
      <c r="N165" s="15" t="s">
        <v>91</v>
      </c>
      <c r="O165" s="17" t="s">
        <v>1074</v>
      </c>
      <c r="P165" s="15" t="n">
        <v>380</v>
      </c>
    </row>
    <row r="166" customFormat="false" ht="43.25" hidden="false" customHeight="false" outlineLevel="0" collapsed="false">
      <c r="A166" s="57" t="s">
        <v>2394</v>
      </c>
      <c r="B166" s="58" t="s">
        <v>1020</v>
      </c>
      <c r="C166" s="58" t="s">
        <v>110</v>
      </c>
      <c r="D166" s="59" t="s">
        <v>2395</v>
      </c>
      <c r="E166" s="58" t="s">
        <v>229</v>
      </c>
      <c r="F166" s="60" t="s">
        <v>2396</v>
      </c>
      <c r="G166" s="58" t="s">
        <v>2397</v>
      </c>
      <c r="H166" s="58" t="s">
        <v>2398</v>
      </c>
      <c r="I166" s="58" t="s">
        <v>2399</v>
      </c>
      <c r="J166" s="58" t="s">
        <v>2400</v>
      </c>
      <c r="K166" s="58" t="s">
        <v>784</v>
      </c>
      <c r="L166" s="58" t="s">
        <v>2392</v>
      </c>
      <c r="M166" s="58" t="s">
        <v>2401</v>
      </c>
      <c r="N166" s="61" t="s">
        <v>91</v>
      </c>
      <c r="O166" s="58" t="s">
        <v>1074</v>
      </c>
      <c r="P166" s="61" t="n">
        <v>388</v>
      </c>
    </row>
    <row r="167" customFormat="false" ht="22.35" hidden="false" customHeight="false" outlineLevel="0" collapsed="false">
      <c r="A167" s="22" t="s">
        <v>2402</v>
      </c>
      <c r="B167" s="17" t="s">
        <v>1020</v>
      </c>
      <c r="C167" s="17" t="s">
        <v>110</v>
      </c>
      <c r="D167" s="55" t="s">
        <v>2403</v>
      </c>
      <c r="E167" s="17" t="s">
        <v>229</v>
      </c>
      <c r="F167" s="56" t="s">
        <v>2404</v>
      </c>
      <c r="G167" s="17" t="s">
        <v>2405</v>
      </c>
      <c r="H167" s="17" t="s">
        <v>2406</v>
      </c>
      <c r="I167" s="17" t="s">
        <v>2390</v>
      </c>
      <c r="J167" s="17" t="s">
        <v>2407</v>
      </c>
      <c r="K167" s="17" t="s">
        <v>784</v>
      </c>
      <c r="L167" s="17" t="s">
        <v>2392</v>
      </c>
      <c r="M167" s="17" t="s">
        <v>2408</v>
      </c>
      <c r="N167" s="15" t="s">
        <v>91</v>
      </c>
      <c r="O167" s="17" t="s">
        <v>1074</v>
      </c>
      <c r="P167" s="15" t="n">
        <v>408</v>
      </c>
    </row>
    <row r="168" customFormat="false" ht="22.35" hidden="false" customHeight="false" outlineLevel="0" collapsed="false">
      <c r="A168" s="57" t="s">
        <v>2409</v>
      </c>
      <c r="B168" s="58" t="s">
        <v>1020</v>
      </c>
      <c r="C168" s="58" t="s">
        <v>110</v>
      </c>
      <c r="D168" s="59" t="s">
        <v>2410</v>
      </c>
      <c r="E168" s="58" t="s">
        <v>229</v>
      </c>
      <c r="F168" s="60" t="s">
        <v>2411</v>
      </c>
      <c r="G168" s="58" t="s">
        <v>2412</v>
      </c>
      <c r="H168" s="58" t="s">
        <v>2406</v>
      </c>
      <c r="I168" s="58" t="s">
        <v>2390</v>
      </c>
      <c r="J168" s="58" t="s">
        <v>2413</v>
      </c>
      <c r="K168" s="58" t="s">
        <v>784</v>
      </c>
      <c r="L168" s="58" t="s">
        <v>2392</v>
      </c>
      <c r="M168" s="58"/>
      <c r="N168" s="61" t="s">
        <v>91</v>
      </c>
      <c r="O168" s="58" t="s">
        <v>1074</v>
      </c>
      <c r="P168" s="61" t="n">
        <v>413</v>
      </c>
    </row>
    <row r="169" customFormat="false" ht="22.35" hidden="false" customHeight="false" outlineLevel="0" collapsed="false">
      <c r="A169" s="22" t="s">
        <v>2414</v>
      </c>
      <c r="B169" s="17" t="s">
        <v>1020</v>
      </c>
      <c r="C169" s="17" t="s">
        <v>111</v>
      </c>
      <c r="D169" s="55" t="s">
        <v>2415</v>
      </c>
      <c r="E169" s="17" t="s">
        <v>223</v>
      </c>
      <c r="F169" s="56" t="s">
        <v>2416</v>
      </c>
      <c r="G169" s="17" t="s">
        <v>2417</v>
      </c>
      <c r="H169" s="17" t="s">
        <v>418</v>
      </c>
      <c r="I169" s="17" t="s">
        <v>2267</v>
      </c>
      <c r="J169" s="17" t="s">
        <v>1932</v>
      </c>
      <c r="K169" s="17" t="s">
        <v>753</v>
      </c>
      <c r="L169" s="17" t="s">
        <v>1917</v>
      </c>
      <c r="M169" s="17" t="s">
        <v>2418</v>
      </c>
      <c r="N169" s="15" t="s">
        <v>91</v>
      </c>
      <c r="O169" s="17" t="s">
        <v>1074</v>
      </c>
      <c r="P169" s="15" t="n">
        <v>16</v>
      </c>
    </row>
    <row r="170" customFormat="false" ht="43.25" hidden="false" customHeight="false" outlineLevel="0" collapsed="false">
      <c r="A170" s="57" t="s">
        <v>2419</v>
      </c>
      <c r="B170" s="58" t="s">
        <v>1020</v>
      </c>
      <c r="C170" s="58" t="s">
        <v>111</v>
      </c>
      <c r="D170" s="59" t="s">
        <v>2420</v>
      </c>
      <c r="E170" s="58" t="s">
        <v>221</v>
      </c>
      <c r="F170" s="60" t="s">
        <v>2421</v>
      </c>
      <c r="G170" s="58" t="s">
        <v>2422</v>
      </c>
      <c r="H170" s="58" t="s">
        <v>2423</v>
      </c>
      <c r="I170" s="58" t="s">
        <v>2424</v>
      </c>
      <c r="J170" s="58" t="s">
        <v>2425</v>
      </c>
      <c r="K170" s="58" t="s">
        <v>2426</v>
      </c>
      <c r="L170" s="58" t="s">
        <v>2427</v>
      </c>
      <c r="M170" s="58" t="s">
        <v>2428</v>
      </c>
      <c r="N170" s="61" t="s">
        <v>91</v>
      </c>
      <c r="O170" s="58" t="s">
        <v>1074</v>
      </c>
      <c r="P170" s="61" t="n">
        <v>578</v>
      </c>
    </row>
    <row r="171" customFormat="false" ht="43.25" hidden="false" customHeight="false" outlineLevel="0" collapsed="false">
      <c r="A171" s="22" t="s">
        <v>2429</v>
      </c>
      <c r="B171" s="17" t="s">
        <v>1020</v>
      </c>
      <c r="C171" s="17" t="s">
        <v>111</v>
      </c>
      <c r="D171" s="55" t="s">
        <v>2430</v>
      </c>
      <c r="E171" s="17" t="s">
        <v>229</v>
      </c>
      <c r="F171" s="56" t="s">
        <v>2431</v>
      </c>
      <c r="G171" s="17" t="s">
        <v>2432</v>
      </c>
      <c r="H171" s="17" t="s">
        <v>2433</v>
      </c>
      <c r="I171" s="17" t="s">
        <v>2434</v>
      </c>
      <c r="J171" s="17" t="s">
        <v>2435</v>
      </c>
      <c r="K171" s="17" t="s">
        <v>788</v>
      </c>
      <c r="L171" s="17" t="s">
        <v>2436</v>
      </c>
      <c r="M171" s="17" t="s">
        <v>2437</v>
      </c>
      <c r="N171" s="15" t="s">
        <v>91</v>
      </c>
      <c r="O171" s="17" t="s">
        <v>1074</v>
      </c>
      <c r="P171" s="15" t="n">
        <v>602</v>
      </c>
    </row>
    <row r="172" customFormat="false" ht="22.35" hidden="false" customHeight="false" outlineLevel="0" collapsed="false">
      <c r="A172" s="57" t="s">
        <v>2438</v>
      </c>
      <c r="B172" s="58" t="s">
        <v>1020</v>
      </c>
      <c r="C172" s="58" t="s">
        <v>111</v>
      </c>
      <c r="D172" s="59" t="s">
        <v>2439</v>
      </c>
      <c r="E172" s="58" t="s">
        <v>229</v>
      </c>
      <c r="F172" s="60" t="s">
        <v>2440</v>
      </c>
      <c r="G172" s="58" t="s">
        <v>2441</v>
      </c>
      <c r="H172" s="58" t="s">
        <v>2442</v>
      </c>
      <c r="I172" s="58" t="s">
        <v>2443</v>
      </c>
      <c r="J172" s="58" t="s">
        <v>2444</v>
      </c>
      <c r="K172" s="58" t="s">
        <v>2445</v>
      </c>
      <c r="L172" s="58" t="s">
        <v>2446</v>
      </c>
      <c r="M172" s="58"/>
      <c r="N172" s="61" t="s">
        <v>91</v>
      </c>
      <c r="O172" s="58" t="s">
        <v>1074</v>
      </c>
      <c r="P172" s="61" t="n">
        <v>609</v>
      </c>
    </row>
    <row r="173" customFormat="false" ht="22.35" hidden="false" customHeight="false" outlineLevel="0" collapsed="false">
      <c r="A173" s="22" t="s">
        <v>2447</v>
      </c>
      <c r="B173" s="17" t="s">
        <v>1020</v>
      </c>
      <c r="C173" s="17" t="s">
        <v>111</v>
      </c>
      <c r="D173" s="55" t="s">
        <v>2448</v>
      </c>
      <c r="E173" s="17" t="s">
        <v>229</v>
      </c>
      <c r="F173" s="56" t="s">
        <v>2449</v>
      </c>
      <c r="G173" s="17" t="s">
        <v>2450</v>
      </c>
      <c r="H173" s="17" t="s">
        <v>2451</v>
      </c>
      <c r="I173" s="17" t="s">
        <v>2452</v>
      </c>
      <c r="J173" s="17" t="s">
        <v>2453</v>
      </c>
      <c r="K173" s="17" t="s">
        <v>788</v>
      </c>
      <c r="L173" s="17" t="s">
        <v>2454</v>
      </c>
      <c r="M173" s="17" t="s">
        <v>2455</v>
      </c>
      <c r="N173" s="15" t="s">
        <v>91</v>
      </c>
      <c r="O173" s="17" t="s">
        <v>1074</v>
      </c>
      <c r="P173" s="15" t="n">
        <v>635</v>
      </c>
    </row>
    <row r="174" customFormat="false" ht="32.8" hidden="false" customHeight="false" outlineLevel="0" collapsed="false">
      <c r="A174" s="57" t="s">
        <v>2456</v>
      </c>
      <c r="B174" s="58" t="s">
        <v>1020</v>
      </c>
      <c r="C174" s="58" t="s">
        <v>111</v>
      </c>
      <c r="D174" s="59" t="s">
        <v>2457</v>
      </c>
      <c r="E174" s="58" t="s">
        <v>229</v>
      </c>
      <c r="F174" s="60" t="s">
        <v>2458</v>
      </c>
      <c r="G174" s="58" t="s">
        <v>2459</v>
      </c>
      <c r="H174" s="58" t="s">
        <v>2460</v>
      </c>
      <c r="I174" s="58" t="s">
        <v>2461</v>
      </c>
      <c r="J174" s="58" t="s">
        <v>2462</v>
      </c>
      <c r="K174" s="58" t="s">
        <v>1468</v>
      </c>
      <c r="L174" s="58" t="s">
        <v>2463</v>
      </c>
      <c r="M174" s="58" t="s">
        <v>2464</v>
      </c>
      <c r="N174" s="61" t="s">
        <v>91</v>
      </c>
      <c r="O174" s="58" t="s">
        <v>1074</v>
      </c>
      <c r="P174" s="61" t="n">
        <v>655</v>
      </c>
    </row>
    <row r="175" customFormat="false" ht="43.25" hidden="false" customHeight="false" outlineLevel="0" collapsed="false">
      <c r="A175" s="22" t="s">
        <v>2465</v>
      </c>
      <c r="B175" s="17" t="s">
        <v>1020</v>
      </c>
      <c r="C175" s="17" t="s">
        <v>111</v>
      </c>
      <c r="D175" s="55" t="s">
        <v>2466</v>
      </c>
      <c r="E175" s="17" t="s">
        <v>229</v>
      </c>
      <c r="F175" s="56" t="s">
        <v>2467</v>
      </c>
      <c r="G175" s="17" t="s">
        <v>2468</v>
      </c>
      <c r="H175" s="17" t="s">
        <v>2469</v>
      </c>
      <c r="I175" s="17" t="s">
        <v>2470</v>
      </c>
      <c r="J175" s="17" t="s">
        <v>2471</v>
      </c>
      <c r="K175" s="17" t="s">
        <v>867</v>
      </c>
      <c r="L175" s="17" t="s">
        <v>2472</v>
      </c>
      <c r="M175" s="17" t="s">
        <v>2473</v>
      </c>
      <c r="N175" s="15" t="s">
        <v>91</v>
      </c>
      <c r="O175" s="17" t="s">
        <v>1074</v>
      </c>
      <c r="P175" s="15" t="n">
        <v>669</v>
      </c>
    </row>
    <row r="176" customFormat="false" ht="22.35" hidden="false" customHeight="false" outlineLevel="0" collapsed="false">
      <c r="A176" s="57" t="s">
        <v>2474</v>
      </c>
      <c r="B176" s="58" t="s">
        <v>1020</v>
      </c>
      <c r="C176" s="58" t="s">
        <v>111</v>
      </c>
      <c r="D176" s="59" t="s">
        <v>2475</v>
      </c>
      <c r="E176" s="58" t="s">
        <v>229</v>
      </c>
      <c r="F176" s="60" t="s">
        <v>2476</v>
      </c>
      <c r="G176" s="58" t="s">
        <v>2477</v>
      </c>
      <c r="H176" s="58" t="s">
        <v>2478</v>
      </c>
      <c r="I176" s="58" t="s">
        <v>2479</v>
      </c>
      <c r="J176" s="58" t="s">
        <v>2480</v>
      </c>
      <c r="K176" s="58" t="s">
        <v>1468</v>
      </c>
      <c r="L176" s="58" t="s">
        <v>2481</v>
      </c>
      <c r="M176" s="58" t="s">
        <v>2482</v>
      </c>
      <c r="N176" s="61" t="s">
        <v>91</v>
      </c>
      <c r="O176" s="58" t="s">
        <v>1074</v>
      </c>
      <c r="P176" s="61" t="n">
        <v>686</v>
      </c>
    </row>
    <row r="177" customFormat="false" ht="32.8" hidden="false" customHeight="false" outlineLevel="0" collapsed="false">
      <c r="A177" s="22" t="s">
        <v>2483</v>
      </c>
      <c r="B177" s="17" t="s">
        <v>1020</v>
      </c>
      <c r="C177" s="17" t="s">
        <v>111</v>
      </c>
      <c r="D177" s="55" t="s">
        <v>2484</v>
      </c>
      <c r="E177" s="17" t="s">
        <v>229</v>
      </c>
      <c r="F177" s="56" t="s">
        <v>2485</v>
      </c>
      <c r="G177" s="17" t="s">
        <v>2486</v>
      </c>
      <c r="H177" s="17" t="s">
        <v>2487</v>
      </c>
      <c r="I177" s="17" t="s">
        <v>2488</v>
      </c>
      <c r="J177" s="17" t="s">
        <v>2489</v>
      </c>
      <c r="K177" s="17" t="s">
        <v>492</v>
      </c>
      <c r="L177" s="17" t="s">
        <v>2490</v>
      </c>
      <c r="M177" s="17" t="s">
        <v>2491</v>
      </c>
      <c r="N177" s="15" t="s">
        <v>91</v>
      </c>
      <c r="O177" s="17" t="s">
        <v>1074</v>
      </c>
      <c r="P177" s="15" t="n">
        <v>709</v>
      </c>
    </row>
    <row r="178" customFormat="false" ht="22.35" hidden="false" customHeight="false" outlineLevel="0" collapsed="false">
      <c r="A178" s="57" t="s">
        <v>2492</v>
      </c>
      <c r="B178" s="58" t="s">
        <v>1020</v>
      </c>
      <c r="C178" s="58" t="s">
        <v>111</v>
      </c>
      <c r="D178" s="59" t="s">
        <v>2493</v>
      </c>
      <c r="E178" s="58" t="s">
        <v>223</v>
      </c>
      <c r="F178" s="60" t="s">
        <v>2494</v>
      </c>
      <c r="G178" s="58" t="s">
        <v>2495</v>
      </c>
      <c r="H178" s="58" t="s">
        <v>418</v>
      </c>
      <c r="I178" s="58" t="s">
        <v>2496</v>
      </c>
      <c r="J178" s="58" t="s">
        <v>2497</v>
      </c>
      <c r="K178" s="58" t="s">
        <v>492</v>
      </c>
      <c r="L178" s="58" t="s">
        <v>2498</v>
      </c>
      <c r="M178" s="58"/>
      <c r="N178" s="61" t="s">
        <v>91</v>
      </c>
      <c r="O178" s="58" t="s">
        <v>1074</v>
      </c>
      <c r="P178" s="61" t="n">
        <v>716</v>
      </c>
    </row>
    <row r="179" customFormat="false" ht="22.35" hidden="false" customHeight="false" outlineLevel="0" collapsed="false">
      <c r="A179" s="22" t="s">
        <v>2499</v>
      </c>
      <c r="B179" s="17" t="s">
        <v>1020</v>
      </c>
      <c r="C179" s="17" t="s">
        <v>111</v>
      </c>
      <c r="D179" s="55" t="s">
        <v>2500</v>
      </c>
      <c r="E179" s="17" t="s">
        <v>229</v>
      </c>
      <c r="F179" s="56" t="s">
        <v>2501</v>
      </c>
      <c r="G179" s="17" t="s">
        <v>2502</v>
      </c>
      <c r="H179" s="17" t="s">
        <v>2503</v>
      </c>
      <c r="I179" s="17" t="s">
        <v>2504</v>
      </c>
      <c r="J179" s="17" t="s">
        <v>2505</v>
      </c>
      <c r="K179" s="17" t="s">
        <v>492</v>
      </c>
      <c r="L179" s="17" t="s">
        <v>2506</v>
      </c>
      <c r="M179" s="17" t="s">
        <v>2507</v>
      </c>
      <c r="N179" s="15" t="s">
        <v>91</v>
      </c>
      <c r="O179" s="17" t="s">
        <v>1074</v>
      </c>
      <c r="P179" s="15" t="n">
        <v>733</v>
      </c>
    </row>
    <row r="180" customFormat="false" ht="22.35" hidden="false" customHeight="false" outlineLevel="0" collapsed="false">
      <c r="A180" s="57" t="s">
        <v>2508</v>
      </c>
      <c r="B180" s="58" t="s">
        <v>1020</v>
      </c>
      <c r="C180" s="58" t="s">
        <v>111</v>
      </c>
      <c r="D180" s="59" t="s">
        <v>2509</v>
      </c>
      <c r="E180" s="58" t="s">
        <v>229</v>
      </c>
      <c r="F180" s="60" t="s">
        <v>2510</v>
      </c>
      <c r="G180" s="58" t="s">
        <v>2511</v>
      </c>
      <c r="H180" s="58" t="s">
        <v>2512</v>
      </c>
      <c r="I180" s="58" t="s">
        <v>2513</v>
      </c>
      <c r="J180" s="58" t="s">
        <v>2514</v>
      </c>
      <c r="K180" s="58" t="s">
        <v>853</v>
      </c>
      <c r="L180" s="58" t="s">
        <v>126</v>
      </c>
      <c r="M180" s="58" t="s">
        <v>2515</v>
      </c>
      <c r="N180" s="61" t="s">
        <v>91</v>
      </c>
      <c r="O180" s="58" t="s">
        <v>1074</v>
      </c>
      <c r="P180" s="61" t="n">
        <v>736</v>
      </c>
    </row>
    <row r="181" customFormat="false" ht="22.35" hidden="false" customHeight="false" outlineLevel="0" collapsed="false">
      <c r="A181" s="22" t="s">
        <v>2516</v>
      </c>
      <c r="B181" s="17" t="s">
        <v>1020</v>
      </c>
      <c r="C181" s="17" t="s">
        <v>111</v>
      </c>
      <c r="D181" s="55" t="s">
        <v>2517</v>
      </c>
      <c r="E181" s="17" t="s">
        <v>229</v>
      </c>
      <c r="F181" s="56" t="s">
        <v>2518</v>
      </c>
      <c r="G181" s="17" t="s">
        <v>2519</v>
      </c>
      <c r="H181" s="17" t="s">
        <v>2520</v>
      </c>
      <c r="I181" s="17" t="s">
        <v>2521</v>
      </c>
      <c r="J181" s="17" t="s">
        <v>2522</v>
      </c>
      <c r="K181" s="17" t="s">
        <v>492</v>
      </c>
      <c r="L181" s="17" t="s">
        <v>2523</v>
      </c>
      <c r="M181" s="17" t="s">
        <v>2524</v>
      </c>
      <c r="N181" s="15" t="s">
        <v>91</v>
      </c>
      <c r="O181" s="17" t="s">
        <v>1074</v>
      </c>
      <c r="P181" s="15" t="n">
        <v>741</v>
      </c>
    </row>
    <row r="182" customFormat="false" ht="22.35" hidden="false" customHeight="false" outlineLevel="0" collapsed="false">
      <c r="A182" s="57" t="s">
        <v>2525</v>
      </c>
      <c r="B182" s="58" t="s">
        <v>1020</v>
      </c>
      <c r="C182" s="58" t="s">
        <v>111</v>
      </c>
      <c r="D182" s="59" t="s">
        <v>2526</v>
      </c>
      <c r="E182" s="58" t="s">
        <v>229</v>
      </c>
      <c r="F182" s="60" t="s">
        <v>2527</v>
      </c>
      <c r="G182" s="58" t="s">
        <v>2528</v>
      </c>
      <c r="H182" s="58" t="s">
        <v>2529</v>
      </c>
      <c r="I182" s="58" t="s">
        <v>2530</v>
      </c>
      <c r="J182" s="58" t="s">
        <v>2531</v>
      </c>
      <c r="K182" s="58" t="s">
        <v>867</v>
      </c>
      <c r="L182" s="58" t="s">
        <v>126</v>
      </c>
      <c r="M182" s="58" t="s">
        <v>2532</v>
      </c>
      <c r="N182" s="61" t="s">
        <v>91</v>
      </c>
      <c r="O182" s="58" t="s">
        <v>1074</v>
      </c>
      <c r="P182" s="61" t="n">
        <v>749</v>
      </c>
    </row>
    <row r="183" customFormat="false" ht="22.35" hidden="false" customHeight="false" outlineLevel="0" collapsed="false">
      <c r="A183" s="22" t="s">
        <v>2533</v>
      </c>
      <c r="B183" s="17" t="s">
        <v>1020</v>
      </c>
      <c r="C183" s="17" t="s">
        <v>111</v>
      </c>
      <c r="D183" s="55" t="s">
        <v>2534</v>
      </c>
      <c r="E183" s="17" t="s">
        <v>229</v>
      </c>
      <c r="F183" s="56" t="s">
        <v>2535</v>
      </c>
      <c r="G183" s="17" t="s">
        <v>2536</v>
      </c>
      <c r="H183" s="17" t="s">
        <v>2537</v>
      </c>
      <c r="I183" s="17" t="s">
        <v>2538</v>
      </c>
      <c r="J183" s="17" t="s">
        <v>2539</v>
      </c>
      <c r="K183" s="17" t="s">
        <v>867</v>
      </c>
      <c r="L183" s="17" t="s">
        <v>126</v>
      </c>
      <c r="M183" s="17" t="s">
        <v>2540</v>
      </c>
      <c r="N183" s="15" t="s">
        <v>91</v>
      </c>
      <c r="O183" s="17" t="s">
        <v>1074</v>
      </c>
      <c r="P183" s="15" t="n">
        <v>751</v>
      </c>
    </row>
    <row r="184" customFormat="false" ht="43.25" hidden="false" customHeight="false" outlineLevel="0" collapsed="false">
      <c r="A184" s="57" t="s">
        <v>2541</v>
      </c>
      <c r="B184" s="58" t="s">
        <v>1020</v>
      </c>
      <c r="C184" s="58" t="s">
        <v>111</v>
      </c>
      <c r="D184" s="59" t="s">
        <v>2542</v>
      </c>
      <c r="E184" s="58" t="s">
        <v>229</v>
      </c>
      <c r="F184" s="60" t="s">
        <v>2543</v>
      </c>
      <c r="G184" s="58" t="s">
        <v>2544</v>
      </c>
      <c r="H184" s="58" t="s">
        <v>2545</v>
      </c>
      <c r="I184" s="58" t="s">
        <v>2546</v>
      </c>
      <c r="J184" s="58" t="s">
        <v>2547</v>
      </c>
      <c r="K184" s="58" t="s">
        <v>2548</v>
      </c>
      <c r="L184" s="58" t="s">
        <v>2549</v>
      </c>
      <c r="M184" s="58" t="s">
        <v>2550</v>
      </c>
      <c r="N184" s="61" t="s">
        <v>91</v>
      </c>
      <c r="O184" s="58" t="s">
        <v>1074</v>
      </c>
      <c r="P184" s="61" t="n">
        <v>766</v>
      </c>
    </row>
    <row r="185" customFormat="false" ht="22.35" hidden="false" customHeight="false" outlineLevel="0" collapsed="false">
      <c r="A185" s="22" t="s">
        <v>2551</v>
      </c>
      <c r="B185" s="17" t="s">
        <v>1020</v>
      </c>
      <c r="C185" s="17" t="s">
        <v>111</v>
      </c>
      <c r="D185" s="55" t="s">
        <v>2552</v>
      </c>
      <c r="E185" s="17" t="s">
        <v>229</v>
      </c>
      <c r="F185" s="56" t="s">
        <v>2553</v>
      </c>
      <c r="G185" s="17" t="s">
        <v>2554</v>
      </c>
      <c r="H185" s="17" t="s">
        <v>2555</v>
      </c>
      <c r="I185" s="17" t="s">
        <v>2556</v>
      </c>
      <c r="J185" s="17" t="s">
        <v>2557</v>
      </c>
      <c r="K185" s="17" t="s">
        <v>2558</v>
      </c>
      <c r="L185" s="17" t="s">
        <v>2559</v>
      </c>
      <c r="M185" s="17" t="s">
        <v>2560</v>
      </c>
      <c r="N185" s="15" t="s">
        <v>91</v>
      </c>
      <c r="O185" s="17" t="s">
        <v>1074</v>
      </c>
      <c r="P185" s="15" t="n">
        <v>826</v>
      </c>
    </row>
    <row r="186" customFormat="false" ht="32.8" hidden="false" customHeight="false" outlineLevel="0" collapsed="false">
      <c r="A186" s="57" t="s">
        <v>2561</v>
      </c>
      <c r="B186" s="58" t="s">
        <v>1020</v>
      </c>
      <c r="C186" s="58" t="s">
        <v>111</v>
      </c>
      <c r="D186" s="59" t="s">
        <v>2562</v>
      </c>
      <c r="E186" s="58" t="s">
        <v>229</v>
      </c>
      <c r="F186" s="60" t="s">
        <v>2563</v>
      </c>
      <c r="G186" s="58" t="s">
        <v>2564</v>
      </c>
      <c r="H186" s="58" t="s">
        <v>2565</v>
      </c>
      <c r="I186" s="58" t="s">
        <v>2566</v>
      </c>
      <c r="J186" s="58" t="s">
        <v>2567</v>
      </c>
      <c r="K186" s="58" t="s">
        <v>492</v>
      </c>
      <c r="L186" s="58" t="s">
        <v>126</v>
      </c>
      <c r="M186" s="58" t="s">
        <v>2568</v>
      </c>
      <c r="N186" s="61" t="s">
        <v>91</v>
      </c>
      <c r="O186" s="58" t="s">
        <v>1074</v>
      </c>
      <c r="P186" s="61" t="n">
        <v>833</v>
      </c>
    </row>
    <row r="187" customFormat="false" ht="32.8" hidden="false" customHeight="false" outlineLevel="0" collapsed="false">
      <c r="A187" s="22" t="s">
        <v>2569</v>
      </c>
      <c r="B187" s="17" t="s">
        <v>1020</v>
      </c>
      <c r="C187" s="17" t="s">
        <v>111</v>
      </c>
      <c r="D187" s="55" t="s">
        <v>2570</v>
      </c>
      <c r="E187" s="17" t="s">
        <v>229</v>
      </c>
      <c r="F187" s="56" t="s">
        <v>2571</v>
      </c>
      <c r="G187" s="17" t="s">
        <v>2572</v>
      </c>
      <c r="H187" s="17" t="s">
        <v>2573</v>
      </c>
      <c r="I187" s="17" t="s">
        <v>2574</v>
      </c>
      <c r="J187" s="17" t="s">
        <v>2575</v>
      </c>
      <c r="K187" s="17" t="s">
        <v>485</v>
      </c>
      <c r="L187" s="17" t="s">
        <v>2576</v>
      </c>
      <c r="M187" s="17" t="s">
        <v>2577</v>
      </c>
      <c r="N187" s="15" t="s">
        <v>91</v>
      </c>
      <c r="O187" s="17" t="s">
        <v>1074</v>
      </c>
      <c r="P187" s="15" t="n">
        <v>836</v>
      </c>
    </row>
    <row r="188" customFormat="false" ht="32.8" hidden="false" customHeight="false" outlineLevel="0" collapsed="false">
      <c r="A188" s="57" t="s">
        <v>2578</v>
      </c>
      <c r="B188" s="58" t="s">
        <v>1020</v>
      </c>
      <c r="C188" s="58" t="s">
        <v>111</v>
      </c>
      <c r="D188" s="59" t="s">
        <v>2579</v>
      </c>
      <c r="E188" s="58" t="s">
        <v>229</v>
      </c>
      <c r="F188" s="60" t="s">
        <v>2580</v>
      </c>
      <c r="G188" s="58" t="s">
        <v>2581</v>
      </c>
      <c r="H188" s="58" t="s">
        <v>2582</v>
      </c>
      <c r="I188" s="58" t="s">
        <v>2583</v>
      </c>
      <c r="J188" s="58" t="s">
        <v>2584</v>
      </c>
      <c r="K188" s="58" t="s">
        <v>492</v>
      </c>
      <c r="L188" s="58" t="s">
        <v>126</v>
      </c>
      <c r="M188" s="58" t="s">
        <v>2585</v>
      </c>
      <c r="N188" s="61" t="s">
        <v>91</v>
      </c>
      <c r="O188" s="58" t="s">
        <v>1074</v>
      </c>
      <c r="P188" s="61" t="n">
        <v>853</v>
      </c>
    </row>
    <row r="189" customFormat="false" ht="32.8" hidden="false" customHeight="false" outlineLevel="0" collapsed="false">
      <c r="A189" s="22" t="s">
        <v>2586</v>
      </c>
      <c r="B189" s="17" t="s">
        <v>1020</v>
      </c>
      <c r="C189" s="17" t="s">
        <v>111</v>
      </c>
      <c r="D189" s="55" t="s">
        <v>2587</v>
      </c>
      <c r="E189" s="17" t="s">
        <v>229</v>
      </c>
      <c r="F189" s="56" t="s">
        <v>2588</v>
      </c>
      <c r="G189" s="17" t="s">
        <v>2589</v>
      </c>
      <c r="H189" s="17" t="s">
        <v>2590</v>
      </c>
      <c r="I189" s="17" t="s">
        <v>2591</v>
      </c>
      <c r="J189" s="17" t="s">
        <v>2592</v>
      </c>
      <c r="K189" s="17" t="s">
        <v>788</v>
      </c>
      <c r="L189" s="17" t="s">
        <v>2593</v>
      </c>
      <c r="M189" s="17" t="s">
        <v>2594</v>
      </c>
      <c r="N189" s="15" t="s">
        <v>91</v>
      </c>
      <c r="O189" s="17" t="s">
        <v>1074</v>
      </c>
      <c r="P189" s="15" t="n">
        <v>857</v>
      </c>
    </row>
    <row r="190" customFormat="false" ht="32.8" hidden="false" customHeight="false" outlineLevel="0" collapsed="false">
      <c r="A190" s="57" t="s">
        <v>2595</v>
      </c>
      <c r="B190" s="58" t="s">
        <v>1020</v>
      </c>
      <c r="C190" s="58" t="s">
        <v>111</v>
      </c>
      <c r="D190" s="59" t="s">
        <v>2596</v>
      </c>
      <c r="E190" s="58" t="s">
        <v>236</v>
      </c>
      <c r="F190" s="60" t="s">
        <v>2597</v>
      </c>
      <c r="G190" s="58" t="s">
        <v>2598</v>
      </c>
      <c r="H190" s="58" t="s">
        <v>2599</v>
      </c>
      <c r="I190" s="58" t="s">
        <v>2600</v>
      </c>
      <c r="J190" s="58" t="s">
        <v>2601</v>
      </c>
      <c r="K190" s="58" t="s">
        <v>784</v>
      </c>
      <c r="L190" s="58" t="s">
        <v>2602</v>
      </c>
      <c r="M190" s="58" t="s">
        <v>2603</v>
      </c>
      <c r="N190" s="61" t="s">
        <v>91</v>
      </c>
      <c r="O190" s="58" t="s">
        <v>1432</v>
      </c>
      <c r="P190" s="61" t="n">
        <v>128</v>
      </c>
    </row>
    <row r="191" customFormat="false" ht="53.7" hidden="false" customHeight="false" outlineLevel="0" collapsed="false">
      <c r="A191" s="22" t="s">
        <v>2604</v>
      </c>
      <c r="B191" s="17" t="s">
        <v>1020</v>
      </c>
      <c r="C191" s="17" t="s">
        <v>111</v>
      </c>
      <c r="D191" s="55" t="s">
        <v>2605</v>
      </c>
      <c r="E191" s="17" t="s">
        <v>236</v>
      </c>
      <c r="F191" s="56" t="s">
        <v>2606</v>
      </c>
      <c r="G191" s="17" t="s">
        <v>2607</v>
      </c>
      <c r="H191" s="17" t="s">
        <v>2608</v>
      </c>
      <c r="I191" s="17" t="s">
        <v>2609</v>
      </c>
      <c r="J191" s="17" t="s">
        <v>2610</v>
      </c>
      <c r="K191" s="17" t="s">
        <v>1396</v>
      </c>
      <c r="L191" s="17" t="s">
        <v>2611</v>
      </c>
      <c r="M191" s="17" t="s">
        <v>2612</v>
      </c>
      <c r="N191" s="15" t="s">
        <v>91</v>
      </c>
      <c r="O191" s="17" t="s">
        <v>1432</v>
      </c>
      <c r="P191" s="15" t="n">
        <v>138</v>
      </c>
    </row>
    <row r="192" customFormat="false" ht="105.95" hidden="false" customHeight="false" outlineLevel="0" collapsed="false">
      <c r="A192" s="57" t="s">
        <v>2613</v>
      </c>
      <c r="B192" s="58" t="s">
        <v>1020</v>
      </c>
      <c r="C192" s="58" t="s">
        <v>111</v>
      </c>
      <c r="D192" s="59" t="s">
        <v>2614</v>
      </c>
      <c r="E192" s="58" t="s">
        <v>224</v>
      </c>
      <c r="F192" s="60" t="s">
        <v>2615</v>
      </c>
      <c r="G192" s="58" t="s">
        <v>2616</v>
      </c>
      <c r="H192" s="58" t="s">
        <v>418</v>
      </c>
      <c r="I192" s="58" t="s">
        <v>2617</v>
      </c>
      <c r="J192" s="58"/>
      <c r="K192" s="58" t="s">
        <v>2618</v>
      </c>
      <c r="L192" s="58" t="s">
        <v>2619</v>
      </c>
      <c r="M192" s="58" t="s">
        <v>2620</v>
      </c>
      <c r="N192" s="61" t="s">
        <v>91</v>
      </c>
      <c r="O192" s="58" t="s">
        <v>1121</v>
      </c>
      <c r="P192" s="61" t="n">
        <v>426</v>
      </c>
    </row>
    <row r="193" customFormat="false" ht="22.35" hidden="false" customHeight="false" outlineLevel="0" collapsed="false">
      <c r="A193" s="22" t="s">
        <v>2621</v>
      </c>
      <c r="B193" s="17" t="s">
        <v>1020</v>
      </c>
      <c r="C193" s="17" t="s">
        <v>112</v>
      </c>
      <c r="D193" s="55" t="s">
        <v>2622</v>
      </c>
      <c r="E193" s="17" t="s">
        <v>229</v>
      </c>
      <c r="F193" s="56" t="s">
        <v>2623</v>
      </c>
      <c r="G193" s="17" t="s">
        <v>2624</v>
      </c>
      <c r="H193" s="17" t="s">
        <v>2625</v>
      </c>
      <c r="I193" s="17" t="s">
        <v>2626</v>
      </c>
      <c r="J193" s="17" t="s">
        <v>2627</v>
      </c>
      <c r="K193" s="17" t="s">
        <v>753</v>
      </c>
      <c r="L193" s="17" t="s">
        <v>2628</v>
      </c>
      <c r="M193" s="17" t="s">
        <v>2629</v>
      </c>
      <c r="N193" s="15" t="s">
        <v>91</v>
      </c>
      <c r="O193" s="17" t="s">
        <v>1074</v>
      </c>
      <c r="P193" s="15" t="n">
        <v>218</v>
      </c>
    </row>
    <row r="194" customFormat="false" ht="32.8" hidden="false" customHeight="false" outlineLevel="0" collapsed="false">
      <c r="A194" s="57" t="s">
        <v>2630</v>
      </c>
      <c r="B194" s="58" t="s">
        <v>1020</v>
      </c>
      <c r="C194" s="58" t="s">
        <v>112</v>
      </c>
      <c r="D194" s="59" t="s">
        <v>2631</v>
      </c>
      <c r="E194" s="58" t="s">
        <v>229</v>
      </c>
      <c r="F194" s="60" t="s">
        <v>2632</v>
      </c>
      <c r="G194" s="58" t="s">
        <v>2633</v>
      </c>
      <c r="H194" s="58" t="s">
        <v>2634</v>
      </c>
      <c r="I194" s="58" t="s">
        <v>2635</v>
      </c>
      <c r="J194" s="58" t="s">
        <v>2636</v>
      </c>
      <c r="K194" s="58" t="s">
        <v>2637</v>
      </c>
      <c r="L194" s="58" t="s">
        <v>126</v>
      </c>
      <c r="M194" s="58" t="s">
        <v>2638</v>
      </c>
      <c r="N194" s="61" t="s">
        <v>91</v>
      </c>
      <c r="O194" s="58" t="s">
        <v>1074</v>
      </c>
      <c r="P194" s="61" t="n">
        <v>866</v>
      </c>
    </row>
    <row r="195" customFormat="false" ht="32.8" hidden="false" customHeight="false" outlineLevel="0" collapsed="false">
      <c r="A195" s="22" t="s">
        <v>2639</v>
      </c>
      <c r="B195" s="17" t="s">
        <v>1020</v>
      </c>
      <c r="C195" s="17" t="s">
        <v>112</v>
      </c>
      <c r="D195" s="55" t="s">
        <v>2640</v>
      </c>
      <c r="E195" s="17" t="s">
        <v>229</v>
      </c>
      <c r="F195" s="56" t="s">
        <v>2641</v>
      </c>
      <c r="G195" s="17" t="s">
        <v>2642</v>
      </c>
      <c r="H195" s="17" t="s">
        <v>2643</v>
      </c>
      <c r="I195" s="17" t="s">
        <v>2644</v>
      </c>
      <c r="J195" s="17" t="s">
        <v>2645</v>
      </c>
      <c r="K195" s="17" t="s">
        <v>492</v>
      </c>
      <c r="L195" s="17" t="s">
        <v>126</v>
      </c>
      <c r="M195" s="17" t="s">
        <v>2646</v>
      </c>
      <c r="N195" s="15" t="s">
        <v>91</v>
      </c>
      <c r="O195" s="17" t="s">
        <v>1074</v>
      </c>
      <c r="P195" s="15" t="n">
        <v>880</v>
      </c>
    </row>
    <row r="196" customFormat="false" ht="22.35" hidden="false" customHeight="false" outlineLevel="0" collapsed="false">
      <c r="A196" s="57" t="s">
        <v>2647</v>
      </c>
      <c r="B196" s="58" t="s">
        <v>1020</v>
      </c>
      <c r="C196" s="58" t="s">
        <v>113</v>
      </c>
      <c r="D196" s="59" t="s">
        <v>2648</v>
      </c>
      <c r="E196" s="58" t="s">
        <v>222</v>
      </c>
      <c r="F196" s="60" t="s">
        <v>2649</v>
      </c>
      <c r="G196" s="58" t="s">
        <v>2650</v>
      </c>
      <c r="H196" s="58" t="s">
        <v>1044</v>
      </c>
      <c r="I196" s="58" t="s">
        <v>1236</v>
      </c>
      <c r="J196" s="58" t="s">
        <v>2651</v>
      </c>
      <c r="K196" s="58" t="s">
        <v>2652</v>
      </c>
      <c r="L196" s="58" t="s">
        <v>2653</v>
      </c>
      <c r="M196" s="58" t="s">
        <v>2654</v>
      </c>
      <c r="N196" s="61" t="s">
        <v>91</v>
      </c>
      <c r="O196" s="58" t="s">
        <v>1820</v>
      </c>
      <c r="P196" s="61" t="n">
        <v>105</v>
      </c>
    </row>
    <row r="197" customFormat="false" ht="22.35" hidden="false" customHeight="false" outlineLevel="0" collapsed="false">
      <c r="A197" s="22" t="s">
        <v>2655</v>
      </c>
      <c r="B197" s="17" t="s">
        <v>1020</v>
      </c>
      <c r="C197" s="17" t="s">
        <v>113</v>
      </c>
      <c r="D197" s="55" t="s">
        <v>2656</v>
      </c>
      <c r="E197" s="17" t="s">
        <v>221</v>
      </c>
      <c r="F197" s="56" t="s">
        <v>2657</v>
      </c>
      <c r="G197" s="17" t="s">
        <v>2658</v>
      </c>
      <c r="H197" s="17" t="s">
        <v>2659</v>
      </c>
      <c r="I197" s="17" t="s">
        <v>2660</v>
      </c>
      <c r="J197" s="17" t="s">
        <v>2661</v>
      </c>
      <c r="K197" s="17" t="s">
        <v>2662</v>
      </c>
      <c r="L197" s="17" t="s">
        <v>2663</v>
      </c>
      <c r="M197" s="17" t="s">
        <v>2664</v>
      </c>
      <c r="N197" s="15" t="s">
        <v>91</v>
      </c>
      <c r="O197" s="17" t="s">
        <v>1962</v>
      </c>
      <c r="P197" s="15" t="n">
        <v>393</v>
      </c>
    </row>
    <row r="198" customFormat="false" ht="22.35" hidden="false" customHeight="false" outlineLevel="0" collapsed="false">
      <c r="A198" s="57" t="s">
        <v>2665</v>
      </c>
      <c r="B198" s="58" t="s">
        <v>1020</v>
      </c>
      <c r="C198" s="58" t="s">
        <v>113</v>
      </c>
      <c r="D198" s="59" t="s">
        <v>2666</v>
      </c>
      <c r="E198" s="58" t="s">
        <v>222</v>
      </c>
      <c r="F198" s="60" t="s">
        <v>2667</v>
      </c>
      <c r="G198" s="58" t="s">
        <v>2668</v>
      </c>
      <c r="H198" s="58" t="s">
        <v>2669</v>
      </c>
      <c r="I198" s="58" t="s">
        <v>1236</v>
      </c>
      <c r="J198" s="58" t="s">
        <v>2670</v>
      </c>
      <c r="K198" s="58" t="s">
        <v>2671</v>
      </c>
      <c r="L198" s="58" t="s">
        <v>2672</v>
      </c>
      <c r="M198" s="58" t="s">
        <v>2673</v>
      </c>
      <c r="N198" s="61" t="s">
        <v>91</v>
      </c>
      <c r="O198" s="58" t="s">
        <v>1284</v>
      </c>
      <c r="P198" s="61" t="n">
        <v>14</v>
      </c>
    </row>
    <row r="199" customFormat="false" ht="22.35" hidden="false" customHeight="false" outlineLevel="0" collapsed="false">
      <c r="A199" s="22" t="s">
        <v>2674</v>
      </c>
      <c r="B199" s="17" t="s">
        <v>1020</v>
      </c>
      <c r="C199" s="17" t="s">
        <v>114</v>
      </c>
      <c r="D199" s="55" t="s">
        <v>2675</v>
      </c>
      <c r="E199" s="17" t="s">
        <v>236</v>
      </c>
      <c r="F199" s="56" t="s">
        <v>2676</v>
      </c>
      <c r="G199" s="17" t="s">
        <v>2677</v>
      </c>
      <c r="H199" s="17" t="s">
        <v>2678</v>
      </c>
      <c r="I199" s="17" t="s">
        <v>2679</v>
      </c>
      <c r="J199" s="17" t="s">
        <v>2680</v>
      </c>
      <c r="K199" s="17" t="s">
        <v>631</v>
      </c>
      <c r="L199" s="17" t="s">
        <v>1896</v>
      </c>
      <c r="M199" s="17" t="s">
        <v>2681</v>
      </c>
      <c r="N199" s="15" t="s">
        <v>91</v>
      </c>
      <c r="O199" s="17" t="s">
        <v>1878</v>
      </c>
      <c r="P199" s="15" t="n">
        <v>33</v>
      </c>
    </row>
    <row r="200" customFormat="false" ht="22.35" hidden="false" customHeight="false" outlineLevel="0" collapsed="false">
      <c r="A200" s="57" t="s">
        <v>2682</v>
      </c>
      <c r="B200" s="58" t="s">
        <v>1020</v>
      </c>
      <c r="C200" s="58" t="s">
        <v>114</v>
      </c>
      <c r="D200" s="59" t="s">
        <v>2683</v>
      </c>
      <c r="E200" s="58" t="s">
        <v>223</v>
      </c>
      <c r="F200" s="60" t="s">
        <v>2684</v>
      </c>
      <c r="G200" s="58" t="s">
        <v>2685</v>
      </c>
      <c r="H200" s="58" t="s">
        <v>418</v>
      </c>
      <c r="I200" s="58" t="s">
        <v>2686</v>
      </c>
      <c r="J200" s="58" t="s">
        <v>2687</v>
      </c>
      <c r="K200" s="58" t="s">
        <v>1792</v>
      </c>
      <c r="L200" s="58" t="s">
        <v>2688</v>
      </c>
      <c r="M200" s="58"/>
      <c r="N200" s="61" t="s">
        <v>91</v>
      </c>
      <c r="O200" s="58" t="s">
        <v>2689</v>
      </c>
      <c r="P200" s="61" t="n">
        <v>49</v>
      </c>
    </row>
    <row r="201" customFormat="false" ht="43.25" hidden="false" customHeight="false" outlineLevel="0" collapsed="false">
      <c r="A201" s="22" t="s">
        <v>2690</v>
      </c>
      <c r="B201" s="17" t="s">
        <v>1020</v>
      </c>
      <c r="C201" s="17" t="s">
        <v>114</v>
      </c>
      <c r="D201" s="55" t="s">
        <v>2691</v>
      </c>
      <c r="E201" s="17" t="s">
        <v>222</v>
      </c>
      <c r="F201" s="56" t="s">
        <v>2692</v>
      </c>
      <c r="G201" s="17" t="s">
        <v>2693</v>
      </c>
      <c r="H201" s="17" t="s">
        <v>2694</v>
      </c>
      <c r="I201" s="17" t="s">
        <v>2695</v>
      </c>
      <c r="J201" s="17" t="s">
        <v>2696</v>
      </c>
      <c r="K201" s="17" t="s">
        <v>2697</v>
      </c>
      <c r="L201" s="17" t="s">
        <v>2698</v>
      </c>
      <c r="M201" s="17" t="s">
        <v>2699</v>
      </c>
      <c r="N201" s="15" t="s">
        <v>91</v>
      </c>
      <c r="O201" s="17" t="s">
        <v>2689</v>
      </c>
      <c r="P201" s="15" t="n">
        <v>51</v>
      </c>
    </row>
    <row r="202" customFormat="false" ht="43.25" hidden="false" customHeight="false" outlineLevel="0" collapsed="false">
      <c r="A202" s="57" t="s">
        <v>2700</v>
      </c>
      <c r="B202" s="58" t="s">
        <v>1020</v>
      </c>
      <c r="C202" s="58" t="s">
        <v>114</v>
      </c>
      <c r="D202" s="59" t="s">
        <v>2698</v>
      </c>
      <c r="E202" s="58" t="s">
        <v>222</v>
      </c>
      <c r="F202" s="60" t="s">
        <v>2701</v>
      </c>
      <c r="G202" s="58" t="s">
        <v>2702</v>
      </c>
      <c r="H202" s="58" t="s">
        <v>2703</v>
      </c>
      <c r="I202" s="58" t="s">
        <v>2704</v>
      </c>
      <c r="J202" s="58" t="s">
        <v>2705</v>
      </c>
      <c r="K202" s="58" t="s">
        <v>2706</v>
      </c>
      <c r="L202" s="58" t="s">
        <v>2707</v>
      </c>
      <c r="M202" s="58" t="s">
        <v>2708</v>
      </c>
      <c r="N202" s="61" t="s">
        <v>91</v>
      </c>
      <c r="O202" s="58" t="s">
        <v>2689</v>
      </c>
      <c r="P202" s="61" t="n">
        <v>146</v>
      </c>
    </row>
    <row r="203" customFormat="false" ht="32.8" hidden="false" customHeight="false" outlineLevel="0" collapsed="false">
      <c r="A203" s="22" t="s">
        <v>2709</v>
      </c>
      <c r="B203" s="17" t="s">
        <v>1020</v>
      </c>
      <c r="C203" s="17" t="s">
        <v>114</v>
      </c>
      <c r="D203" s="55" t="s">
        <v>2710</v>
      </c>
      <c r="E203" s="17" t="s">
        <v>221</v>
      </c>
      <c r="F203" s="56" t="s">
        <v>2711</v>
      </c>
      <c r="G203" s="17" t="s">
        <v>2712</v>
      </c>
      <c r="H203" s="17" t="s">
        <v>2713</v>
      </c>
      <c r="I203" s="17" t="s">
        <v>2678</v>
      </c>
      <c r="J203" s="17" t="s">
        <v>2714</v>
      </c>
      <c r="K203" s="17" t="s">
        <v>1895</v>
      </c>
      <c r="L203" s="17" t="s">
        <v>2715</v>
      </c>
      <c r="M203" s="17"/>
      <c r="N203" s="15" t="s">
        <v>91</v>
      </c>
      <c r="O203" s="17" t="s">
        <v>2716</v>
      </c>
      <c r="P203" s="15" t="n">
        <v>26</v>
      </c>
    </row>
    <row r="204" customFormat="false" ht="22.35" hidden="false" customHeight="false" outlineLevel="0" collapsed="false">
      <c r="A204" s="57" t="s">
        <v>2717</v>
      </c>
      <c r="B204" s="58" t="s">
        <v>1020</v>
      </c>
      <c r="C204" s="58" t="s">
        <v>114</v>
      </c>
      <c r="D204" s="59" t="s">
        <v>2718</v>
      </c>
      <c r="E204" s="58" t="s">
        <v>221</v>
      </c>
      <c r="F204" s="60" t="s">
        <v>2719</v>
      </c>
      <c r="G204" s="58" t="s">
        <v>2720</v>
      </c>
      <c r="H204" s="58" t="s">
        <v>2713</v>
      </c>
      <c r="I204" s="58" t="s">
        <v>2721</v>
      </c>
      <c r="J204" s="58" t="s">
        <v>2722</v>
      </c>
      <c r="K204" s="58" t="s">
        <v>2723</v>
      </c>
      <c r="L204" s="58" t="s">
        <v>2715</v>
      </c>
      <c r="M204" s="58" t="s">
        <v>2724</v>
      </c>
      <c r="N204" s="61" t="s">
        <v>91</v>
      </c>
      <c r="O204" s="58" t="s">
        <v>2716</v>
      </c>
      <c r="P204" s="61" t="n">
        <v>38</v>
      </c>
    </row>
    <row r="205" customFormat="false" ht="32.8" hidden="false" customHeight="false" outlineLevel="0" collapsed="false">
      <c r="A205" s="22" t="s">
        <v>2725</v>
      </c>
      <c r="B205" s="17" t="s">
        <v>1020</v>
      </c>
      <c r="C205" s="17" t="s">
        <v>114</v>
      </c>
      <c r="D205" s="55" t="s">
        <v>2726</v>
      </c>
      <c r="E205" s="17" t="s">
        <v>223</v>
      </c>
      <c r="F205" s="56" t="s">
        <v>2727</v>
      </c>
      <c r="G205" s="17" t="s">
        <v>2728</v>
      </c>
      <c r="H205" s="17" t="s">
        <v>418</v>
      </c>
      <c r="I205" s="17" t="s">
        <v>2729</v>
      </c>
      <c r="J205" s="17"/>
      <c r="K205" s="17" t="s">
        <v>2730</v>
      </c>
      <c r="L205" s="17" t="s">
        <v>2731</v>
      </c>
      <c r="M205" s="17" t="s">
        <v>2732</v>
      </c>
      <c r="N205" s="15" t="s">
        <v>91</v>
      </c>
      <c r="O205" s="17" t="s">
        <v>2716</v>
      </c>
      <c r="P205" s="15" t="n">
        <v>64</v>
      </c>
    </row>
    <row r="206" customFormat="false" ht="22.35" hidden="false" customHeight="false" outlineLevel="0" collapsed="false">
      <c r="A206" s="57" t="s">
        <v>2733</v>
      </c>
      <c r="B206" s="58" t="s">
        <v>1020</v>
      </c>
      <c r="C206" s="58" t="s">
        <v>114</v>
      </c>
      <c r="D206" s="59" t="s">
        <v>2734</v>
      </c>
      <c r="E206" s="58" t="s">
        <v>221</v>
      </c>
      <c r="F206" s="60" t="s">
        <v>2735</v>
      </c>
      <c r="G206" s="58" t="s">
        <v>2736</v>
      </c>
      <c r="H206" s="58" t="s">
        <v>2737</v>
      </c>
      <c r="I206" s="58" t="s">
        <v>1044</v>
      </c>
      <c r="J206" s="58" t="s">
        <v>2738</v>
      </c>
      <c r="K206" s="58" t="s">
        <v>1046</v>
      </c>
      <c r="L206" s="58" t="s">
        <v>2739</v>
      </c>
      <c r="M206" s="58" t="s">
        <v>2740</v>
      </c>
      <c r="N206" s="61" t="s">
        <v>91</v>
      </c>
      <c r="O206" s="58" t="s">
        <v>2741</v>
      </c>
      <c r="P206" s="61" t="n">
        <v>13</v>
      </c>
    </row>
    <row r="207" customFormat="false" ht="43.25" hidden="false" customHeight="false" outlineLevel="0" collapsed="false">
      <c r="A207" s="22" t="s">
        <v>2742</v>
      </c>
      <c r="B207" s="17" t="s">
        <v>1020</v>
      </c>
      <c r="C207" s="17" t="s">
        <v>114</v>
      </c>
      <c r="D207" s="55" t="s">
        <v>2743</v>
      </c>
      <c r="E207" s="17" t="s">
        <v>221</v>
      </c>
      <c r="F207" s="56" t="s">
        <v>2744</v>
      </c>
      <c r="G207" s="17" t="s">
        <v>2745</v>
      </c>
      <c r="H207" s="17" t="s">
        <v>2746</v>
      </c>
      <c r="I207" s="17" t="s">
        <v>2747</v>
      </c>
      <c r="J207" s="17" t="s">
        <v>2748</v>
      </c>
      <c r="K207" s="17" t="s">
        <v>1970</v>
      </c>
      <c r="L207" s="17" t="s">
        <v>2749</v>
      </c>
      <c r="M207" s="17" t="s">
        <v>2750</v>
      </c>
      <c r="N207" s="15" t="s">
        <v>91</v>
      </c>
      <c r="O207" s="17" t="s">
        <v>2741</v>
      </c>
      <c r="P207" s="15" t="n">
        <v>23</v>
      </c>
    </row>
    <row r="208" customFormat="false" ht="32.8" hidden="false" customHeight="false" outlineLevel="0" collapsed="false">
      <c r="A208" s="57" t="s">
        <v>2751</v>
      </c>
      <c r="B208" s="58" t="s">
        <v>1020</v>
      </c>
      <c r="C208" s="58" t="s">
        <v>114</v>
      </c>
      <c r="D208" s="59" t="s">
        <v>2752</v>
      </c>
      <c r="E208" s="58" t="s">
        <v>221</v>
      </c>
      <c r="F208" s="60" t="s">
        <v>2753</v>
      </c>
      <c r="G208" s="58" t="s">
        <v>2754</v>
      </c>
      <c r="H208" s="58" t="s">
        <v>2755</v>
      </c>
      <c r="I208" s="58" t="s">
        <v>2756</v>
      </c>
      <c r="J208" s="58" t="s">
        <v>2757</v>
      </c>
      <c r="K208" s="58" t="s">
        <v>2758</v>
      </c>
      <c r="L208" s="58" t="s">
        <v>2759</v>
      </c>
      <c r="M208" s="58" t="s">
        <v>2760</v>
      </c>
      <c r="N208" s="61" t="s">
        <v>91</v>
      </c>
      <c r="O208" s="58" t="s">
        <v>2741</v>
      </c>
      <c r="P208" s="61" t="n">
        <v>123</v>
      </c>
    </row>
    <row r="209" customFormat="false" ht="43.25" hidden="false" customHeight="false" outlineLevel="0" collapsed="false">
      <c r="A209" s="22" t="s">
        <v>2761</v>
      </c>
      <c r="B209" s="17" t="s">
        <v>1020</v>
      </c>
      <c r="C209" s="17" t="s">
        <v>114</v>
      </c>
      <c r="D209" s="55" t="s">
        <v>2762</v>
      </c>
      <c r="E209" s="17" t="s">
        <v>229</v>
      </c>
      <c r="F209" s="56" t="s">
        <v>2763</v>
      </c>
      <c r="G209" s="17" t="s">
        <v>2764</v>
      </c>
      <c r="H209" s="17" t="s">
        <v>2765</v>
      </c>
      <c r="I209" s="17" t="s">
        <v>2766</v>
      </c>
      <c r="J209" s="17" t="s">
        <v>2767</v>
      </c>
      <c r="K209" s="17" t="s">
        <v>2768</v>
      </c>
      <c r="L209" s="17" t="s">
        <v>2769</v>
      </c>
      <c r="M209" s="17" t="s">
        <v>2770</v>
      </c>
      <c r="N209" s="15" t="s">
        <v>91</v>
      </c>
      <c r="O209" s="17" t="s">
        <v>2741</v>
      </c>
      <c r="P209" s="15" t="n">
        <v>135</v>
      </c>
    </row>
    <row r="210" customFormat="false" ht="22.35" hidden="false" customHeight="false" outlineLevel="0" collapsed="false">
      <c r="A210" s="57" t="s">
        <v>2771</v>
      </c>
      <c r="B210" s="58" t="s">
        <v>1020</v>
      </c>
      <c r="C210" s="58" t="s">
        <v>114</v>
      </c>
      <c r="D210" s="59" t="s">
        <v>2772</v>
      </c>
      <c r="E210" s="58" t="s">
        <v>223</v>
      </c>
      <c r="F210" s="60" t="s">
        <v>2773</v>
      </c>
      <c r="G210" s="58" t="s">
        <v>2774</v>
      </c>
      <c r="H210" s="58" t="s">
        <v>418</v>
      </c>
      <c r="I210" s="58" t="s">
        <v>2775</v>
      </c>
      <c r="J210" s="58" t="s">
        <v>2776</v>
      </c>
      <c r="K210" s="58" t="s">
        <v>1046</v>
      </c>
      <c r="L210" s="58" t="s">
        <v>2777</v>
      </c>
      <c r="M210" s="58"/>
      <c r="N210" s="61" t="s">
        <v>91</v>
      </c>
      <c r="O210" s="58" t="s">
        <v>2778</v>
      </c>
      <c r="P210" s="61" t="n">
        <v>60</v>
      </c>
    </row>
    <row r="211" customFormat="false" ht="22.35" hidden="false" customHeight="false" outlineLevel="0" collapsed="false">
      <c r="A211" s="22" t="s">
        <v>2779</v>
      </c>
      <c r="B211" s="17" t="s">
        <v>1020</v>
      </c>
      <c r="C211" s="17" t="s">
        <v>114</v>
      </c>
      <c r="D211" s="55" t="s">
        <v>2780</v>
      </c>
      <c r="E211" s="17" t="s">
        <v>223</v>
      </c>
      <c r="F211" s="56" t="s">
        <v>2781</v>
      </c>
      <c r="G211" s="17" t="s">
        <v>2782</v>
      </c>
      <c r="H211" s="17" t="s">
        <v>418</v>
      </c>
      <c r="I211" s="17" t="s">
        <v>2783</v>
      </c>
      <c r="J211" s="17" t="s">
        <v>2784</v>
      </c>
      <c r="K211" s="17" t="s">
        <v>1792</v>
      </c>
      <c r="L211" s="17" t="s">
        <v>2777</v>
      </c>
      <c r="M211" s="17"/>
      <c r="N211" s="15" t="s">
        <v>91</v>
      </c>
      <c r="O211" s="17" t="s">
        <v>2778</v>
      </c>
      <c r="P211" s="15" t="n">
        <v>61</v>
      </c>
    </row>
    <row r="212" customFormat="false" ht="22.35" hidden="false" customHeight="false" outlineLevel="0" collapsed="false">
      <c r="A212" s="57" t="s">
        <v>2785</v>
      </c>
      <c r="B212" s="58" t="s">
        <v>1020</v>
      </c>
      <c r="C212" s="58" t="s">
        <v>114</v>
      </c>
      <c r="D212" s="59" t="s">
        <v>2786</v>
      </c>
      <c r="E212" s="58" t="s">
        <v>223</v>
      </c>
      <c r="F212" s="60" t="s">
        <v>2787</v>
      </c>
      <c r="G212" s="58" t="s">
        <v>2788</v>
      </c>
      <c r="H212" s="58" t="s">
        <v>418</v>
      </c>
      <c r="I212" s="58" t="s">
        <v>2789</v>
      </c>
      <c r="J212" s="58"/>
      <c r="K212" s="58" t="s">
        <v>1792</v>
      </c>
      <c r="L212" s="58" t="s">
        <v>2790</v>
      </c>
      <c r="M212" s="58"/>
      <c r="N212" s="61" t="s">
        <v>91</v>
      </c>
      <c r="O212" s="58" t="s">
        <v>2778</v>
      </c>
      <c r="P212" s="61" t="n">
        <v>63</v>
      </c>
    </row>
    <row r="213" customFormat="false" ht="22.35" hidden="false" customHeight="false" outlineLevel="0" collapsed="false">
      <c r="A213" s="22" t="s">
        <v>2791</v>
      </c>
      <c r="B213" s="17" t="s">
        <v>1020</v>
      </c>
      <c r="C213" s="17" t="s">
        <v>114</v>
      </c>
      <c r="D213" s="55" t="s">
        <v>2792</v>
      </c>
      <c r="E213" s="17" t="s">
        <v>223</v>
      </c>
      <c r="F213" s="56" t="s">
        <v>2793</v>
      </c>
      <c r="G213" s="17" t="s">
        <v>2794</v>
      </c>
      <c r="H213" s="17" t="s">
        <v>418</v>
      </c>
      <c r="I213" s="17" t="s">
        <v>2795</v>
      </c>
      <c r="J213" s="17"/>
      <c r="K213" s="17" t="s">
        <v>1792</v>
      </c>
      <c r="L213" s="17" t="s">
        <v>2796</v>
      </c>
      <c r="M213" s="17"/>
      <c r="N213" s="15" t="s">
        <v>91</v>
      </c>
      <c r="O213" s="17" t="s">
        <v>2778</v>
      </c>
      <c r="P213" s="15" t="n">
        <v>64</v>
      </c>
    </row>
    <row r="214" customFormat="false" ht="22.35" hidden="false" customHeight="false" outlineLevel="0" collapsed="false">
      <c r="A214" s="57" t="s">
        <v>2797</v>
      </c>
      <c r="B214" s="58" t="s">
        <v>1020</v>
      </c>
      <c r="C214" s="58" t="s">
        <v>114</v>
      </c>
      <c r="D214" s="59" t="s">
        <v>2798</v>
      </c>
      <c r="E214" s="58" t="s">
        <v>223</v>
      </c>
      <c r="F214" s="60" t="s">
        <v>2799</v>
      </c>
      <c r="G214" s="58" t="s">
        <v>2800</v>
      </c>
      <c r="H214" s="58" t="s">
        <v>418</v>
      </c>
      <c r="I214" s="58" t="s">
        <v>2801</v>
      </c>
      <c r="J214" s="58"/>
      <c r="K214" s="58" t="s">
        <v>2802</v>
      </c>
      <c r="L214" s="58" t="s">
        <v>2796</v>
      </c>
      <c r="M214" s="58"/>
      <c r="N214" s="61" t="s">
        <v>91</v>
      </c>
      <c r="O214" s="58" t="s">
        <v>2778</v>
      </c>
      <c r="P214" s="61" t="n">
        <v>67</v>
      </c>
    </row>
    <row r="215" customFormat="false" ht="22.35" hidden="false" customHeight="false" outlineLevel="0" collapsed="false">
      <c r="A215" s="22" t="s">
        <v>2803</v>
      </c>
      <c r="B215" s="17" t="s">
        <v>1020</v>
      </c>
      <c r="C215" s="17" t="s">
        <v>114</v>
      </c>
      <c r="D215" s="55" t="s">
        <v>2804</v>
      </c>
      <c r="E215" s="17" t="s">
        <v>223</v>
      </c>
      <c r="F215" s="56" t="s">
        <v>2805</v>
      </c>
      <c r="G215" s="17" t="s">
        <v>2806</v>
      </c>
      <c r="H215" s="17" t="s">
        <v>418</v>
      </c>
      <c r="I215" s="17" t="s">
        <v>1865</v>
      </c>
      <c r="J215" s="17"/>
      <c r="K215" s="17" t="s">
        <v>2807</v>
      </c>
      <c r="L215" s="17" t="s">
        <v>2796</v>
      </c>
      <c r="M215" s="17"/>
      <c r="N215" s="15" t="s">
        <v>91</v>
      </c>
      <c r="O215" s="17" t="s">
        <v>2778</v>
      </c>
      <c r="P215" s="15" t="n">
        <v>68</v>
      </c>
    </row>
    <row r="216" customFormat="false" ht="32.8" hidden="false" customHeight="false" outlineLevel="0" collapsed="false">
      <c r="A216" s="57" t="s">
        <v>2808</v>
      </c>
      <c r="B216" s="58" t="s">
        <v>1020</v>
      </c>
      <c r="C216" s="58" t="s">
        <v>114</v>
      </c>
      <c r="D216" s="59" t="s">
        <v>2809</v>
      </c>
      <c r="E216" s="58" t="s">
        <v>221</v>
      </c>
      <c r="F216" s="60" t="s">
        <v>2810</v>
      </c>
      <c r="G216" s="58" t="s">
        <v>2811</v>
      </c>
      <c r="H216" s="58" t="s">
        <v>2812</v>
      </c>
      <c r="I216" s="58" t="s">
        <v>2813</v>
      </c>
      <c r="J216" s="58" t="s">
        <v>2814</v>
      </c>
      <c r="K216" s="58" t="s">
        <v>722</v>
      </c>
      <c r="L216" s="58" t="s">
        <v>2815</v>
      </c>
      <c r="M216" s="58" t="s">
        <v>2816</v>
      </c>
      <c r="N216" s="61" t="s">
        <v>91</v>
      </c>
      <c r="O216" s="58" t="s">
        <v>1962</v>
      </c>
      <c r="P216" s="61" t="n">
        <v>255</v>
      </c>
    </row>
    <row r="217" customFormat="false" ht="22.35" hidden="false" customHeight="false" outlineLevel="0" collapsed="false">
      <c r="A217" s="22" t="s">
        <v>2817</v>
      </c>
      <c r="B217" s="17" t="s">
        <v>1020</v>
      </c>
      <c r="C217" s="17" t="s">
        <v>114</v>
      </c>
      <c r="D217" s="55" t="s">
        <v>2818</v>
      </c>
      <c r="E217" s="17" t="s">
        <v>224</v>
      </c>
      <c r="F217" s="56" t="s">
        <v>2819</v>
      </c>
      <c r="G217" s="17" t="s">
        <v>2820</v>
      </c>
      <c r="H217" s="17" t="s">
        <v>418</v>
      </c>
      <c r="I217" s="17" t="s">
        <v>2821</v>
      </c>
      <c r="J217" s="17" t="s">
        <v>2822</v>
      </c>
      <c r="K217" s="17" t="s">
        <v>722</v>
      </c>
      <c r="L217" s="17" t="s">
        <v>2823</v>
      </c>
      <c r="M217" s="17"/>
      <c r="N217" s="15" t="s">
        <v>91</v>
      </c>
      <c r="O217" s="17" t="s">
        <v>2824</v>
      </c>
      <c r="P217" s="15" t="n">
        <v>125</v>
      </c>
    </row>
    <row r="218" customFormat="false" ht="32.8" hidden="false" customHeight="false" outlineLevel="0" collapsed="false">
      <c r="A218" s="57" t="s">
        <v>2825</v>
      </c>
      <c r="B218" s="58" t="s">
        <v>1020</v>
      </c>
      <c r="C218" s="58" t="s">
        <v>115</v>
      </c>
      <c r="D218" s="59" t="s">
        <v>2826</v>
      </c>
      <c r="E218" s="58" t="s">
        <v>221</v>
      </c>
      <c r="F218" s="60" t="s">
        <v>2827</v>
      </c>
      <c r="G218" s="58" t="s">
        <v>2828</v>
      </c>
      <c r="H218" s="58" t="s">
        <v>2829</v>
      </c>
      <c r="I218" s="58" t="s">
        <v>1394</v>
      </c>
      <c r="J218" s="58" t="s">
        <v>2830</v>
      </c>
      <c r="K218" s="58" t="s">
        <v>485</v>
      </c>
      <c r="L218" s="58" t="s">
        <v>2831</v>
      </c>
      <c r="M218" s="58"/>
      <c r="N218" s="61" t="s">
        <v>91</v>
      </c>
      <c r="O218" s="58" t="s">
        <v>1029</v>
      </c>
      <c r="P218" s="61" t="n">
        <v>110</v>
      </c>
    </row>
    <row r="219" customFormat="false" ht="32.8" hidden="false" customHeight="false" outlineLevel="0" collapsed="false">
      <c r="A219" s="22" t="s">
        <v>2832</v>
      </c>
      <c r="B219" s="17" t="s">
        <v>1020</v>
      </c>
      <c r="C219" s="17" t="s">
        <v>115</v>
      </c>
      <c r="D219" s="55" t="s">
        <v>2833</v>
      </c>
      <c r="E219" s="17" t="s">
        <v>222</v>
      </c>
      <c r="F219" s="56" t="s">
        <v>2834</v>
      </c>
      <c r="G219" s="17" t="s">
        <v>2835</v>
      </c>
      <c r="H219" s="17" t="s">
        <v>2836</v>
      </c>
      <c r="I219" s="17" t="s">
        <v>2837</v>
      </c>
      <c r="J219" s="17" t="s">
        <v>2838</v>
      </c>
      <c r="K219" s="17" t="s">
        <v>1037</v>
      </c>
      <c r="L219" s="17" t="s">
        <v>2839</v>
      </c>
      <c r="M219" s="17" t="s">
        <v>2840</v>
      </c>
      <c r="N219" s="15" t="s">
        <v>91</v>
      </c>
      <c r="O219" s="17" t="s">
        <v>1029</v>
      </c>
      <c r="P219" s="15" t="n">
        <v>134</v>
      </c>
    </row>
    <row r="220" customFormat="false" ht="43.25" hidden="false" customHeight="false" outlineLevel="0" collapsed="false">
      <c r="A220" s="57" t="s">
        <v>2841</v>
      </c>
      <c r="B220" s="58" t="s">
        <v>1020</v>
      </c>
      <c r="C220" s="58" t="s">
        <v>115</v>
      </c>
      <c r="D220" s="59" t="s">
        <v>2842</v>
      </c>
      <c r="E220" s="58" t="s">
        <v>221</v>
      </c>
      <c r="F220" s="60" t="s">
        <v>2843</v>
      </c>
      <c r="G220" s="58" t="s">
        <v>2844</v>
      </c>
      <c r="H220" s="58" t="s">
        <v>2845</v>
      </c>
      <c r="I220" s="58" t="s">
        <v>2846</v>
      </c>
      <c r="J220" s="58" t="s">
        <v>2847</v>
      </c>
      <c r="K220" s="58" t="s">
        <v>1037</v>
      </c>
      <c r="L220" s="58" t="s">
        <v>2848</v>
      </c>
      <c r="M220" s="58" t="s">
        <v>2849</v>
      </c>
      <c r="N220" s="61" t="s">
        <v>91</v>
      </c>
      <c r="O220" s="58" t="s">
        <v>1029</v>
      </c>
      <c r="P220" s="61" t="n">
        <v>150</v>
      </c>
    </row>
    <row r="221" customFormat="false" ht="32.8" hidden="false" customHeight="false" outlineLevel="0" collapsed="false">
      <c r="A221" s="22" t="s">
        <v>2850</v>
      </c>
      <c r="B221" s="17" t="s">
        <v>1020</v>
      </c>
      <c r="C221" s="17" t="s">
        <v>115</v>
      </c>
      <c r="D221" s="55" t="s">
        <v>2851</v>
      </c>
      <c r="E221" s="17" t="s">
        <v>221</v>
      </c>
      <c r="F221" s="56" t="s">
        <v>2852</v>
      </c>
      <c r="G221" s="17" t="s">
        <v>2853</v>
      </c>
      <c r="H221" s="17" t="s">
        <v>2854</v>
      </c>
      <c r="I221" s="17" t="s">
        <v>2855</v>
      </c>
      <c r="J221" s="17" t="s">
        <v>2856</v>
      </c>
      <c r="K221" s="17" t="s">
        <v>1037</v>
      </c>
      <c r="L221" s="17" t="s">
        <v>2857</v>
      </c>
      <c r="M221" s="17" t="s">
        <v>2858</v>
      </c>
      <c r="N221" s="15" t="s">
        <v>91</v>
      </c>
      <c r="O221" s="17" t="s">
        <v>1029</v>
      </c>
      <c r="P221" s="15" t="n">
        <v>169</v>
      </c>
    </row>
    <row r="222" customFormat="false" ht="43.25" hidden="false" customHeight="false" outlineLevel="0" collapsed="false">
      <c r="A222" s="57" t="s">
        <v>2859</v>
      </c>
      <c r="B222" s="58" t="s">
        <v>1020</v>
      </c>
      <c r="C222" s="58" t="s">
        <v>115</v>
      </c>
      <c r="D222" s="59" t="s">
        <v>2860</v>
      </c>
      <c r="E222" s="58" t="s">
        <v>224</v>
      </c>
      <c r="F222" s="60" t="s">
        <v>2861</v>
      </c>
      <c r="G222" s="58" t="s">
        <v>2862</v>
      </c>
      <c r="H222" s="58" t="s">
        <v>418</v>
      </c>
      <c r="I222" s="58" t="s">
        <v>1116</v>
      </c>
      <c r="J222" s="58" t="s">
        <v>2863</v>
      </c>
      <c r="K222" s="58" t="s">
        <v>2864</v>
      </c>
      <c r="L222" s="58" t="s">
        <v>2865</v>
      </c>
      <c r="M222" s="58" t="s">
        <v>2866</v>
      </c>
      <c r="N222" s="61" t="s">
        <v>91</v>
      </c>
      <c r="O222" s="58" t="s">
        <v>1064</v>
      </c>
      <c r="P222" s="61" t="n">
        <v>81</v>
      </c>
    </row>
    <row r="223" customFormat="false" ht="22.35" hidden="false" customHeight="false" outlineLevel="0" collapsed="false">
      <c r="A223" s="22" t="s">
        <v>2867</v>
      </c>
      <c r="B223" s="17" t="s">
        <v>1020</v>
      </c>
      <c r="C223" s="17" t="s">
        <v>115</v>
      </c>
      <c r="D223" s="55" t="s">
        <v>2868</v>
      </c>
      <c r="E223" s="17" t="s">
        <v>223</v>
      </c>
      <c r="F223" s="56" t="s">
        <v>2869</v>
      </c>
      <c r="G223" s="17" t="s">
        <v>2870</v>
      </c>
      <c r="H223" s="17" t="s">
        <v>418</v>
      </c>
      <c r="I223" s="17" t="s">
        <v>2871</v>
      </c>
      <c r="J223" s="17" t="s">
        <v>2872</v>
      </c>
      <c r="K223" s="17" t="s">
        <v>1082</v>
      </c>
      <c r="L223" s="17" t="s">
        <v>2873</v>
      </c>
      <c r="M223" s="17"/>
      <c r="N223" s="15" t="s">
        <v>91</v>
      </c>
      <c r="O223" s="17" t="s">
        <v>2874</v>
      </c>
      <c r="P223" s="15" t="n">
        <v>36</v>
      </c>
    </row>
    <row r="224" customFormat="false" ht="32.8" hidden="false" customHeight="false" outlineLevel="0" collapsed="false">
      <c r="A224" s="57" t="s">
        <v>2875</v>
      </c>
      <c r="B224" s="58" t="s">
        <v>1020</v>
      </c>
      <c r="C224" s="58" t="s">
        <v>115</v>
      </c>
      <c r="D224" s="59" t="s">
        <v>2876</v>
      </c>
      <c r="E224" s="58" t="s">
        <v>236</v>
      </c>
      <c r="F224" s="60" t="s">
        <v>2877</v>
      </c>
      <c r="G224" s="58" t="s">
        <v>2878</v>
      </c>
      <c r="H224" s="58" t="s">
        <v>2879</v>
      </c>
      <c r="I224" s="58" t="s">
        <v>2880</v>
      </c>
      <c r="J224" s="58" t="s">
        <v>2881</v>
      </c>
      <c r="K224" s="58" t="s">
        <v>1413</v>
      </c>
      <c r="L224" s="58" t="s">
        <v>2882</v>
      </c>
      <c r="M224" s="58" t="s">
        <v>2883</v>
      </c>
      <c r="N224" s="61" t="s">
        <v>91</v>
      </c>
      <c r="O224" s="58" t="s">
        <v>2874</v>
      </c>
      <c r="P224" s="61" t="n">
        <v>40</v>
      </c>
    </row>
    <row r="225" customFormat="false" ht="22.35" hidden="false" customHeight="false" outlineLevel="0" collapsed="false">
      <c r="A225" s="22" t="s">
        <v>2884</v>
      </c>
      <c r="B225" s="17" t="s">
        <v>1020</v>
      </c>
      <c r="C225" s="17" t="s">
        <v>115</v>
      </c>
      <c r="D225" s="55" t="s">
        <v>2885</v>
      </c>
      <c r="E225" s="17" t="s">
        <v>236</v>
      </c>
      <c r="F225" s="56" t="s">
        <v>2886</v>
      </c>
      <c r="G225" s="17" t="s">
        <v>2887</v>
      </c>
      <c r="H225" s="17" t="s">
        <v>2888</v>
      </c>
      <c r="I225" s="17" t="s">
        <v>1394</v>
      </c>
      <c r="J225" s="17" t="s">
        <v>2889</v>
      </c>
      <c r="K225" s="17" t="s">
        <v>485</v>
      </c>
      <c r="L225" s="17" t="s">
        <v>2890</v>
      </c>
      <c r="M225" s="17" t="s">
        <v>2891</v>
      </c>
      <c r="N225" s="15" t="s">
        <v>91</v>
      </c>
      <c r="O225" s="17" t="s">
        <v>2874</v>
      </c>
      <c r="P225" s="15" t="n">
        <v>62</v>
      </c>
    </row>
    <row r="226" customFormat="false" ht="22.35" hidden="false" customHeight="false" outlineLevel="0" collapsed="false">
      <c r="A226" s="57" t="s">
        <v>2892</v>
      </c>
      <c r="B226" s="58" t="s">
        <v>1020</v>
      </c>
      <c r="C226" s="58" t="s">
        <v>115</v>
      </c>
      <c r="D226" s="59" t="s">
        <v>2893</v>
      </c>
      <c r="E226" s="58" t="s">
        <v>236</v>
      </c>
      <c r="F226" s="60" t="s">
        <v>2894</v>
      </c>
      <c r="G226" s="58" t="s">
        <v>2895</v>
      </c>
      <c r="H226" s="58" t="s">
        <v>2896</v>
      </c>
      <c r="I226" s="58" t="s">
        <v>2897</v>
      </c>
      <c r="J226" s="58" t="s">
        <v>2898</v>
      </c>
      <c r="K226" s="58" t="s">
        <v>707</v>
      </c>
      <c r="L226" s="58" t="s">
        <v>2899</v>
      </c>
      <c r="M226" s="58" t="s">
        <v>2900</v>
      </c>
      <c r="N226" s="61" t="s">
        <v>91</v>
      </c>
      <c r="O226" s="58" t="s">
        <v>2874</v>
      </c>
      <c r="P226" s="61" t="n">
        <v>68</v>
      </c>
    </row>
    <row r="227" customFormat="false" ht="22.35" hidden="false" customHeight="false" outlineLevel="0" collapsed="false">
      <c r="A227" s="22" t="s">
        <v>2901</v>
      </c>
      <c r="B227" s="17" t="s">
        <v>1020</v>
      </c>
      <c r="C227" s="17" t="s">
        <v>115</v>
      </c>
      <c r="D227" s="55" t="s">
        <v>2902</v>
      </c>
      <c r="E227" s="17" t="s">
        <v>236</v>
      </c>
      <c r="F227" s="56" t="s">
        <v>2903</v>
      </c>
      <c r="G227" s="17" t="s">
        <v>2904</v>
      </c>
      <c r="H227" s="17" t="s">
        <v>2896</v>
      </c>
      <c r="I227" s="17" t="s">
        <v>1394</v>
      </c>
      <c r="J227" s="17" t="s">
        <v>2905</v>
      </c>
      <c r="K227" s="17" t="s">
        <v>485</v>
      </c>
      <c r="L227" s="17" t="s">
        <v>2906</v>
      </c>
      <c r="M227" s="17" t="s">
        <v>2907</v>
      </c>
      <c r="N227" s="15" t="s">
        <v>91</v>
      </c>
      <c r="O227" s="17" t="s">
        <v>2874</v>
      </c>
      <c r="P227" s="15" t="n">
        <v>75</v>
      </c>
    </row>
    <row r="228" customFormat="false" ht="32.8" hidden="false" customHeight="false" outlineLevel="0" collapsed="false">
      <c r="A228" s="57" t="s">
        <v>2908</v>
      </c>
      <c r="B228" s="58" t="s">
        <v>1020</v>
      </c>
      <c r="C228" s="58" t="s">
        <v>115</v>
      </c>
      <c r="D228" s="59" t="s">
        <v>2909</v>
      </c>
      <c r="E228" s="58" t="s">
        <v>236</v>
      </c>
      <c r="F228" s="60" t="s">
        <v>2910</v>
      </c>
      <c r="G228" s="58" t="s">
        <v>2911</v>
      </c>
      <c r="H228" s="58" t="s">
        <v>2912</v>
      </c>
      <c r="I228" s="58" t="s">
        <v>2913</v>
      </c>
      <c r="J228" s="58" t="s">
        <v>2914</v>
      </c>
      <c r="K228" s="58" t="s">
        <v>1082</v>
      </c>
      <c r="L228" s="58" t="s">
        <v>2915</v>
      </c>
      <c r="M228" s="58" t="s">
        <v>2916</v>
      </c>
      <c r="N228" s="61" t="s">
        <v>91</v>
      </c>
      <c r="O228" s="58" t="s">
        <v>2874</v>
      </c>
      <c r="P228" s="61" t="n">
        <v>84</v>
      </c>
    </row>
    <row r="229" customFormat="false" ht="32.8" hidden="false" customHeight="false" outlineLevel="0" collapsed="false">
      <c r="A229" s="22" t="s">
        <v>2917</v>
      </c>
      <c r="B229" s="17" t="s">
        <v>1020</v>
      </c>
      <c r="C229" s="17" t="s">
        <v>115</v>
      </c>
      <c r="D229" s="55" t="s">
        <v>2918</v>
      </c>
      <c r="E229" s="17" t="s">
        <v>221</v>
      </c>
      <c r="F229" s="56" t="s">
        <v>2919</v>
      </c>
      <c r="G229" s="17" t="s">
        <v>2920</v>
      </c>
      <c r="H229" s="17" t="s">
        <v>2921</v>
      </c>
      <c r="I229" s="17" t="s">
        <v>2922</v>
      </c>
      <c r="J229" s="17" t="s">
        <v>2923</v>
      </c>
      <c r="K229" s="17" t="s">
        <v>2924</v>
      </c>
      <c r="L229" s="17" t="s">
        <v>2925</v>
      </c>
      <c r="M229" s="17" t="s">
        <v>2926</v>
      </c>
      <c r="N229" s="15" t="s">
        <v>91</v>
      </c>
      <c r="O229" s="17" t="s">
        <v>1094</v>
      </c>
      <c r="P229" s="15" t="n">
        <v>1780</v>
      </c>
    </row>
    <row r="230" customFormat="false" ht="32.8" hidden="false" customHeight="false" outlineLevel="0" collapsed="false">
      <c r="A230" s="57" t="s">
        <v>2927</v>
      </c>
      <c r="B230" s="58" t="s">
        <v>1020</v>
      </c>
      <c r="C230" s="58" t="s">
        <v>115</v>
      </c>
      <c r="D230" s="59" t="s">
        <v>2928</v>
      </c>
      <c r="E230" s="58" t="s">
        <v>221</v>
      </c>
      <c r="F230" s="60" t="s">
        <v>2929</v>
      </c>
      <c r="G230" s="58" t="s">
        <v>2930</v>
      </c>
      <c r="H230" s="58" t="s">
        <v>2931</v>
      </c>
      <c r="I230" s="58" t="s">
        <v>2932</v>
      </c>
      <c r="J230" s="58" t="s">
        <v>2933</v>
      </c>
      <c r="K230" s="58" t="s">
        <v>485</v>
      </c>
      <c r="L230" s="58" t="s">
        <v>2934</v>
      </c>
      <c r="M230" s="58" t="s">
        <v>2935</v>
      </c>
      <c r="N230" s="61" t="s">
        <v>91</v>
      </c>
      <c r="O230" s="58" t="s">
        <v>1094</v>
      </c>
      <c r="P230" s="61" t="n">
        <v>1804</v>
      </c>
    </row>
    <row r="231" customFormat="false" ht="22.35" hidden="false" customHeight="false" outlineLevel="0" collapsed="false">
      <c r="A231" s="22" t="s">
        <v>2936</v>
      </c>
      <c r="B231" s="17" t="s">
        <v>1020</v>
      </c>
      <c r="C231" s="17" t="s">
        <v>116</v>
      </c>
      <c r="D231" s="55" t="s">
        <v>2937</v>
      </c>
      <c r="E231" s="17" t="s">
        <v>236</v>
      </c>
      <c r="F231" s="56" t="s">
        <v>2938</v>
      </c>
      <c r="G231" s="17" t="s">
        <v>2939</v>
      </c>
      <c r="H231" s="17" t="s">
        <v>2940</v>
      </c>
      <c r="I231" s="17" t="s">
        <v>2941</v>
      </c>
      <c r="J231" s="17" t="s">
        <v>2942</v>
      </c>
      <c r="K231" s="17" t="s">
        <v>1503</v>
      </c>
      <c r="L231" s="17" t="s">
        <v>2943</v>
      </c>
      <c r="M231" s="17" t="s">
        <v>2944</v>
      </c>
      <c r="N231" s="15" t="s">
        <v>91</v>
      </c>
      <c r="O231" s="17" t="s">
        <v>1432</v>
      </c>
      <c r="P231" s="15" t="n">
        <v>45</v>
      </c>
    </row>
    <row r="232" customFormat="false" ht="43.25" hidden="false" customHeight="false" outlineLevel="0" collapsed="false">
      <c r="A232" s="57" t="s">
        <v>2945</v>
      </c>
      <c r="B232" s="58" t="s">
        <v>1020</v>
      </c>
      <c r="C232" s="58" t="s">
        <v>116</v>
      </c>
      <c r="D232" s="59" t="s">
        <v>2946</v>
      </c>
      <c r="E232" s="58" t="s">
        <v>236</v>
      </c>
      <c r="F232" s="60" t="s">
        <v>2947</v>
      </c>
      <c r="G232" s="58" t="s">
        <v>2948</v>
      </c>
      <c r="H232" s="58" t="s">
        <v>2949</v>
      </c>
      <c r="I232" s="58" t="s">
        <v>2950</v>
      </c>
      <c r="J232" s="58" t="s">
        <v>2951</v>
      </c>
      <c r="K232" s="58" t="s">
        <v>1503</v>
      </c>
      <c r="L232" s="58" t="s">
        <v>2952</v>
      </c>
      <c r="M232" s="58" t="s">
        <v>2953</v>
      </c>
      <c r="N232" s="61" t="s">
        <v>91</v>
      </c>
      <c r="O232" s="58" t="s">
        <v>1432</v>
      </c>
      <c r="P232" s="61" t="n">
        <v>59</v>
      </c>
    </row>
    <row r="233" customFormat="false" ht="22.35" hidden="false" customHeight="false" outlineLevel="0" collapsed="false">
      <c r="A233" s="22" t="s">
        <v>2954</v>
      </c>
      <c r="B233" s="17" t="s">
        <v>1020</v>
      </c>
      <c r="C233" s="17" t="s">
        <v>116</v>
      </c>
      <c r="D233" s="55" t="s">
        <v>2955</v>
      </c>
      <c r="E233" s="17" t="s">
        <v>229</v>
      </c>
      <c r="F233" s="56" t="s">
        <v>2956</v>
      </c>
      <c r="G233" s="17" t="s">
        <v>2957</v>
      </c>
      <c r="H233" s="17" t="s">
        <v>2958</v>
      </c>
      <c r="I233" s="17" t="s">
        <v>2959</v>
      </c>
      <c r="J233" s="17" t="s">
        <v>2960</v>
      </c>
      <c r="K233" s="17" t="s">
        <v>1503</v>
      </c>
      <c r="L233" s="17" t="s">
        <v>2961</v>
      </c>
      <c r="M233" s="17" t="s">
        <v>2962</v>
      </c>
      <c r="N233" s="15" t="s">
        <v>91</v>
      </c>
      <c r="O233" s="17" t="s">
        <v>1432</v>
      </c>
      <c r="P233" s="15" t="n">
        <v>70</v>
      </c>
    </row>
    <row r="234" customFormat="false" ht="22.35" hidden="false" customHeight="false" outlineLevel="0" collapsed="false">
      <c r="A234" s="57" t="s">
        <v>2963</v>
      </c>
      <c r="B234" s="58" t="s">
        <v>1020</v>
      </c>
      <c r="C234" s="58" t="s">
        <v>116</v>
      </c>
      <c r="D234" s="59" t="s">
        <v>2964</v>
      </c>
      <c r="E234" s="58" t="s">
        <v>229</v>
      </c>
      <c r="F234" s="60" t="s">
        <v>2965</v>
      </c>
      <c r="G234" s="58" t="s">
        <v>2966</v>
      </c>
      <c r="H234" s="58" t="s">
        <v>2958</v>
      </c>
      <c r="I234" s="58" t="s">
        <v>2959</v>
      </c>
      <c r="J234" s="58" t="s">
        <v>2967</v>
      </c>
      <c r="K234" s="58" t="s">
        <v>1503</v>
      </c>
      <c r="L234" s="58" t="s">
        <v>2961</v>
      </c>
      <c r="M234" s="58" t="s">
        <v>2968</v>
      </c>
      <c r="N234" s="61" t="s">
        <v>91</v>
      </c>
      <c r="O234" s="58" t="s">
        <v>1432</v>
      </c>
      <c r="P234" s="61" t="n">
        <v>73</v>
      </c>
    </row>
    <row r="235" customFormat="false" ht="22.35" hidden="false" customHeight="false" outlineLevel="0" collapsed="false">
      <c r="A235" s="22" t="s">
        <v>2969</v>
      </c>
      <c r="B235" s="17" t="s">
        <v>1020</v>
      </c>
      <c r="C235" s="17" t="s">
        <v>116</v>
      </c>
      <c r="D235" s="55" t="s">
        <v>2970</v>
      </c>
      <c r="E235" s="17" t="s">
        <v>229</v>
      </c>
      <c r="F235" s="56" t="s">
        <v>2971</v>
      </c>
      <c r="G235" s="17" t="s">
        <v>2972</v>
      </c>
      <c r="H235" s="17" t="s">
        <v>2958</v>
      </c>
      <c r="I235" s="17" t="s">
        <v>2959</v>
      </c>
      <c r="J235" s="17" t="s">
        <v>2973</v>
      </c>
      <c r="K235" s="17" t="s">
        <v>1503</v>
      </c>
      <c r="L235" s="17" t="s">
        <v>2961</v>
      </c>
      <c r="M235" s="17" t="s">
        <v>2974</v>
      </c>
      <c r="N235" s="15" t="s">
        <v>91</v>
      </c>
      <c r="O235" s="17" t="s">
        <v>1432</v>
      </c>
      <c r="P235" s="15" t="n">
        <v>76</v>
      </c>
    </row>
    <row r="236" customFormat="false" ht="22.35" hidden="false" customHeight="false" outlineLevel="0" collapsed="false">
      <c r="A236" s="57" t="s">
        <v>2975</v>
      </c>
      <c r="B236" s="58" t="s">
        <v>1020</v>
      </c>
      <c r="C236" s="58" t="s">
        <v>116</v>
      </c>
      <c r="D236" s="59" t="s">
        <v>2976</v>
      </c>
      <c r="E236" s="58" t="s">
        <v>229</v>
      </c>
      <c r="F236" s="60" t="s">
        <v>2977</v>
      </c>
      <c r="G236" s="58" t="s">
        <v>2978</v>
      </c>
      <c r="H236" s="58" t="s">
        <v>2958</v>
      </c>
      <c r="I236" s="58" t="s">
        <v>2959</v>
      </c>
      <c r="J236" s="58" t="s">
        <v>2979</v>
      </c>
      <c r="K236" s="58" t="s">
        <v>1503</v>
      </c>
      <c r="L236" s="58" t="s">
        <v>2961</v>
      </c>
      <c r="M236" s="58" t="s">
        <v>2980</v>
      </c>
      <c r="N236" s="61" t="s">
        <v>91</v>
      </c>
      <c r="O236" s="58" t="s">
        <v>1432</v>
      </c>
      <c r="P236" s="61" t="n">
        <v>79</v>
      </c>
    </row>
    <row r="237" customFormat="false" ht="32.8" hidden="false" customHeight="false" outlineLevel="0" collapsed="false">
      <c r="A237" s="22" t="s">
        <v>2981</v>
      </c>
      <c r="B237" s="17" t="s">
        <v>1020</v>
      </c>
      <c r="C237" s="17" t="s">
        <v>116</v>
      </c>
      <c r="D237" s="55" t="s">
        <v>2982</v>
      </c>
      <c r="E237" s="17" t="s">
        <v>229</v>
      </c>
      <c r="F237" s="56" t="s">
        <v>2983</v>
      </c>
      <c r="G237" s="17" t="s">
        <v>2984</v>
      </c>
      <c r="H237" s="17" t="s">
        <v>2958</v>
      </c>
      <c r="I237" s="17" t="s">
        <v>2959</v>
      </c>
      <c r="J237" s="17" t="s">
        <v>2985</v>
      </c>
      <c r="K237" s="17" t="s">
        <v>1503</v>
      </c>
      <c r="L237" s="17" t="s">
        <v>2986</v>
      </c>
      <c r="M237" s="17" t="s">
        <v>2987</v>
      </c>
      <c r="N237" s="15" t="s">
        <v>91</v>
      </c>
      <c r="O237" s="17" t="s">
        <v>1432</v>
      </c>
      <c r="P237" s="15" t="n">
        <v>82</v>
      </c>
    </row>
    <row r="238" customFormat="false" ht="43.25" hidden="false" customHeight="false" outlineLevel="0" collapsed="false">
      <c r="A238" s="57" t="s">
        <v>2988</v>
      </c>
      <c r="B238" s="58" t="s">
        <v>1020</v>
      </c>
      <c r="C238" s="58" t="s">
        <v>116</v>
      </c>
      <c r="D238" s="59" t="s">
        <v>2989</v>
      </c>
      <c r="E238" s="58" t="s">
        <v>229</v>
      </c>
      <c r="F238" s="60" t="s">
        <v>2990</v>
      </c>
      <c r="G238" s="58" t="s">
        <v>2991</v>
      </c>
      <c r="H238" s="58" t="s">
        <v>2958</v>
      </c>
      <c r="I238" s="58" t="s">
        <v>2959</v>
      </c>
      <c r="J238" s="58" t="s">
        <v>2992</v>
      </c>
      <c r="K238" s="58" t="s">
        <v>1503</v>
      </c>
      <c r="L238" s="58" t="s">
        <v>2961</v>
      </c>
      <c r="M238" s="58" t="s">
        <v>2993</v>
      </c>
      <c r="N238" s="61" t="s">
        <v>91</v>
      </c>
      <c r="O238" s="58" t="s">
        <v>1432</v>
      </c>
      <c r="P238" s="61" t="n">
        <v>86</v>
      </c>
    </row>
    <row r="239" customFormat="false" ht="43.25" hidden="false" customHeight="false" outlineLevel="0" collapsed="false">
      <c r="A239" s="22" t="s">
        <v>2994</v>
      </c>
      <c r="B239" s="17" t="s">
        <v>1020</v>
      </c>
      <c r="C239" s="17" t="s">
        <v>116</v>
      </c>
      <c r="D239" s="55" t="s">
        <v>2995</v>
      </c>
      <c r="E239" s="17" t="s">
        <v>229</v>
      </c>
      <c r="F239" s="56" t="s">
        <v>2996</v>
      </c>
      <c r="G239" s="17" t="s">
        <v>2997</v>
      </c>
      <c r="H239" s="17" t="s">
        <v>2958</v>
      </c>
      <c r="I239" s="17" t="s">
        <v>2959</v>
      </c>
      <c r="J239" s="17" t="s">
        <v>2998</v>
      </c>
      <c r="K239" s="17" t="s">
        <v>1503</v>
      </c>
      <c r="L239" s="17" t="s">
        <v>2961</v>
      </c>
      <c r="M239" s="17" t="s">
        <v>2999</v>
      </c>
      <c r="N239" s="15" t="s">
        <v>91</v>
      </c>
      <c r="O239" s="17" t="s">
        <v>1432</v>
      </c>
      <c r="P239" s="15" t="n">
        <v>92</v>
      </c>
    </row>
    <row r="240" customFormat="false" ht="22.35" hidden="false" customHeight="false" outlineLevel="0" collapsed="false">
      <c r="A240" s="57" t="s">
        <v>3000</v>
      </c>
      <c r="B240" s="58" t="s">
        <v>1020</v>
      </c>
      <c r="C240" s="58" t="s">
        <v>116</v>
      </c>
      <c r="D240" s="59" t="s">
        <v>3001</v>
      </c>
      <c r="E240" s="58" t="s">
        <v>223</v>
      </c>
      <c r="F240" s="60" t="s">
        <v>3002</v>
      </c>
      <c r="G240" s="58" t="s">
        <v>3003</v>
      </c>
      <c r="H240" s="58" t="s">
        <v>418</v>
      </c>
      <c r="I240" s="58" t="s">
        <v>3004</v>
      </c>
      <c r="J240" s="58" t="s">
        <v>3005</v>
      </c>
      <c r="K240" s="58" t="s">
        <v>1503</v>
      </c>
      <c r="L240" s="58" t="s">
        <v>2943</v>
      </c>
      <c r="M240" s="58" t="s">
        <v>3006</v>
      </c>
      <c r="N240" s="61" t="s">
        <v>91</v>
      </c>
      <c r="O240" s="58" t="s">
        <v>1432</v>
      </c>
      <c r="P240" s="61" t="n">
        <v>93</v>
      </c>
    </row>
    <row r="241" customFormat="false" ht="43.25" hidden="false" customHeight="false" outlineLevel="0" collapsed="false">
      <c r="A241" s="22" t="s">
        <v>3007</v>
      </c>
      <c r="B241" s="17" t="s">
        <v>1020</v>
      </c>
      <c r="C241" s="17" t="s">
        <v>116</v>
      </c>
      <c r="D241" s="55" t="s">
        <v>3008</v>
      </c>
      <c r="E241" s="17" t="s">
        <v>236</v>
      </c>
      <c r="F241" s="56" t="s">
        <v>3009</v>
      </c>
      <c r="G241" s="17" t="s">
        <v>3010</v>
      </c>
      <c r="H241" s="17" t="s">
        <v>3011</v>
      </c>
      <c r="I241" s="17" t="s">
        <v>3012</v>
      </c>
      <c r="J241" s="17" t="s">
        <v>3013</v>
      </c>
      <c r="K241" s="17" t="s">
        <v>3014</v>
      </c>
      <c r="L241" s="17" t="s">
        <v>3015</v>
      </c>
      <c r="M241" s="17" t="s">
        <v>3016</v>
      </c>
      <c r="N241" s="15" t="s">
        <v>91</v>
      </c>
      <c r="O241" s="17" t="s">
        <v>1432</v>
      </c>
      <c r="P241" s="15" t="n">
        <v>106</v>
      </c>
    </row>
    <row r="242" customFormat="false" ht="43.25" hidden="false" customHeight="false" outlineLevel="0" collapsed="false">
      <c r="A242" s="57" t="s">
        <v>3017</v>
      </c>
      <c r="B242" s="58" t="s">
        <v>1020</v>
      </c>
      <c r="C242" s="58" t="s">
        <v>116</v>
      </c>
      <c r="D242" s="59" t="s">
        <v>3018</v>
      </c>
      <c r="E242" s="58" t="s">
        <v>236</v>
      </c>
      <c r="F242" s="60" t="s">
        <v>3019</v>
      </c>
      <c r="G242" s="58" t="s">
        <v>3020</v>
      </c>
      <c r="H242" s="58" t="s">
        <v>3021</v>
      </c>
      <c r="I242" s="58" t="s">
        <v>3022</v>
      </c>
      <c r="J242" s="58" t="s">
        <v>3023</v>
      </c>
      <c r="K242" s="58" t="s">
        <v>788</v>
      </c>
      <c r="L242" s="58" t="s">
        <v>3024</v>
      </c>
      <c r="M242" s="58" t="s">
        <v>3025</v>
      </c>
      <c r="N242" s="61" t="s">
        <v>91</v>
      </c>
      <c r="O242" s="58" t="s">
        <v>1432</v>
      </c>
      <c r="P242" s="61" t="n">
        <v>113</v>
      </c>
    </row>
  </sheetData>
  <autoFilter ref="A4:P242"/>
  <mergeCells count="1">
    <mergeCell ref="A2:J2"/>
  </mergeCells>
  <printOptions headings="false" gridLines="false" gridLinesSet="true" horizontalCentered="true" verticalCentered="false"/>
  <pageMargins left="0.4" right="0.4" top="0.5" bottom="0.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&amp;LiW-ASCEJ-01-API-Reference-R1.0-REL1.0&amp;C&amp;A&amp;RPage &amp;P of &amp;N</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P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8"/>
    <col collapsed="false" customWidth="true" hidden="false" outlineLevel="0" max="4" min="4" style="0" width="30"/>
    <col collapsed="false" customWidth="true" hidden="false" outlineLevel="0" max="5" min="5" style="0" width="12"/>
    <col collapsed="false" customWidth="true" hidden="false" outlineLevel="0" max="6" min="6" style="0" width="46"/>
    <col collapsed="false" customWidth="true" hidden="false" outlineLevel="0" max="7" min="7" style="0" width="52"/>
    <col collapsed="false" customWidth="true" hidden="false" outlineLevel="0" max="9" min="8" style="0" width="34"/>
    <col collapsed="false" customWidth="true" hidden="false" outlineLevel="0" max="10" min="10" style="0" width="46"/>
    <col collapsed="false" customWidth="true" hidden="false" outlineLevel="0" max="11" min="11" style="0" width="10"/>
    <col collapsed="false" customWidth="true" hidden="false" outlineLevel="0" max="12" min="12" style="0" width="34"/>
    <col collapsed="false" customWidth="true" hidden="false" outlineLevel="0" max="13" min="13" style="0" width="40"/>
    <col collapsed="false" customWidth="true" hidden="false" outlineLevel="0" max="14" min="14" style="0" width="6"/>
    <col collapsed="false" customWidth="true" hidden="false" outlineLevel="0" max="15" min="15" style="0" width="46"/>
    <col collapsed="false" customWidth="true" hidden="false" outlineLevel="0" max="16" min="16" style="0" width="7"/>
  </cols>
  <sheetData>
    <row r="1" customFormat="false" ht="25.5" hidden="false" customHeight="true" outlineLevel="0" collapsed="false">
      <c r="A1" s="12" t="s">
        <v>3026</v>
      </c>
    </row>
    <row r="2" customFormat="false" ht="30" hidden="false" customHeight="true" outlineLevel="0" collapsed="false">
      <c r="A2" s="13" t="s">
        <v>56</v>
      </c>
      <c r="B2" s="13"/>
      <c r="C2" s="13"/>
      <c r="D2" s="13"/>
      <c r="E2" s="13"/>
      <c r="F2" s="13"/>
      <c r="G2" s="13"/>
      <c r="H2" s="13"/>
      <c r="I2" s="13"/>
      <c r="J2" s="13"/>
    </row>
    <row r="3" customFormat="false" ht="15" hidden="false" customHeight="false" outlineLevel="0" collapsed="false">
      <c r="A3" s="9" t="s">
        <v>3027</v>
      </c>
    </row>
    <row r="4" customFormat="false" ht="30" hidden="false" customHeight="true" outlineLevel="0" collapsed="false">
      <c r="A4" s="14" t="s">
        <v>398</v>
      </c>
      <c r="B4" s="14" t="s">
        <v>1006</v>
      </c>
      <c r="C4" s="14" t="s">
        <v>98</v>
      </c>
      <c r="D4" s="14" t="s">
        <v>1007</v>
      </c>
      <c r="E4" s="14" t="s">
        <v>220</v>
      </c>
      <c r="F4" s="14" t="s">
        <v>1008</v>
      </c>
      <c r="G4" s="14" t="s">
        <v>1009</v>
      </c>
      <c r="H4" s="14" t="s">
        <v>1010</v>
      </c>
      <c r="I4" s="14" t="s">
        <v>1011</v>
      </c>
      <c r="J4" s="14" t="s">
        <v>1012</v>
      </c>
      <c r="K4" s="14" t="s">
        <v>1013</v>
      </c>
      <c r="L4" s="14" t="s">
        <v>1014</v>
      </c>
      <c r="M4" s="14" t="s">
        <v>1015</v>
      </c>
      <c r="N4" s="14" t="s">
        <v>1016</v>
      </c>
      <c r="O4" s="14" t="s">
        <v>1017</v>
      </c>
      <c r="P4" s="14" t="s">
        <v>1018</v>
      </c>
    </row>
    <row r="5" customFormat="false" ht="43.25" hidden="false" customHeight="false" outlineLevel="0" collapsed="false">
      <c r="A5" s="22" t="s">
        <v>3028</v>
      </c>
      <c r="B5" s="17" t="s">
        <v>3029</v>
      </c>
      <c r="C5" s="17" t="s">
        <v>117</v>
      </c>
      <c r="D5" s="55" t="s">
        <v>3030</v>
      </c>
      <c r="E5" s="17" t="s">
        <v>235</v>
      </c>
      <c r="F5" s="56" t="s">
        <v>3031</v>
      </c>
      <c r="G5" s="17" t="s">
        <v>3032</v>
      </c>
      <c r="H5" s="17"/>
      <c r="I5" s="17"/>
      <c r="J5" s="17"/>
      <c r="K5" s="17"/>
      <c r="L5" s="17" t="s">
        <v>3033</v>
      </c>
      <c r="M5" s="17" t="s">
        <v>3034</v>
      </c>
      <c r="N5" s="15" t="s">
        <v>91</v>
      </c>
      <c r="O5" s="17" t="s">
        <v>3035</v>
      </c>
      <c r="P5" s="15" t="n">
        <v>23</v>
      </c>
    </row>
    <row r="6" customFormat="false" ht="32.8" hidden="false" customHeight="false" outlineLevel="0" collapsed="false">
      <c r="A6" s="57" t="s">
        <v>3036</v>
      </c>
      <c r="B6" s="58" t="s">
        <v>3029</v>
      </c>
      <c r="C6" s="58" t="s">
        <v>117</v>
      </c>
      <c r="D6" s="59" t="s">
        <v>3037</v>
      </c>
      <c r="E6" s="58" t="s">
        <v>221</v>
      </c>
      <c r="F6" s="60" t="s">
        <v>3038</v>
      </c>
      <c r="G6" s="58" t="s">
        <v>3039</v>
      </c>
      <c r="H6" s="58" t="s">
        <v>3040</v>
      </c>
      <c r="I6" s="58"/>
      <c r="J6" s="58"/>
      <c r="K6" s="58"/>
      <c r="L6" s="58"/>
      <c r="M6" s="58" t="s">
        <v>3041</v>
      </c>
      <c r="N6" s="61" t="s">
        <v>91</v>
      </c>
      <c r="O6" s="58" t="s">
        <v>3035</v>
      </c>
      <c r="P6" s="61" t="n">
        <v>27</v>
      </c>
    </row>
    <row r="7" customFormat="false" ht="15" hidden="false" customHeight="false" outlineLevel="0" collapsed="false">
      <c r="A7" s="22" t="s">
        <v>3042</v>
      </c>
      <c r="B7" s="17" t="s">
        <v>3029</v>
      </c>
      <c r="C7" s="17" t="s">
        <v>117</v>
      </c>
      <c r="D7" s="55" t="s">
        <v>3043</v>
      </c>
      <c r="E7" s="17" t="s">
        <v>221</v>
      </c>
      <c r="F7" s="56" t="s">
        <v>3044</v>
      </c>
      <c r="G7" s="17" t="s">
        <v>3045</v>
      </c>
      <c r="H7" s="17"/>
      <c r="I7" s="17" t="s">
        <v>3046</v>
      </c>
      <c r="J7" s="17"/>
      <c r="K7" s="17"/>
      <c r="L7" s="17"/>
      <c r="M7" s="17" t="s">
        <v>3041</v>
      </c>
      <c r="N7" s="15" t="s">
        <v>91</v>
      </c>
      <c r="O7" s="17" t="s">
        <v>3035</v>
      </c>
      <c r="P7" s="15" t="n">
        <v>69</v>
      </c>
    </row>
    <row r="8" customFormat="false" ht="22.35" hidden="false" customHeight="false" outlineLevel="0" collapsed="false">
      <c r="A8" s="57" t="s">
        <v>3047</v>
      </c>
      <c r="B8" s="58" t="s">
        <v>3029</v>
      </c>
      <c r="C8" s="58" t="s">
        <v>118</v>
      </c>
      <c r="D8" s="59" t="s">
        <v>3048</v>
      </c>
      <c r="E8" s="58" t="s">
        <v>235</v>
      </c>
      <c r="F8" s="60" t="s">
        <v>3049</v>
      </c>
      <c r="G8" s="58" t="s">
        <v>3050</v>
      </c>
      <c r="H8" s="58"/>
      <c r="I8" s="58"/>
      <c r="J8" s="58"/>
      <c r="K8" s="58"/>
      <c r="L8" s="58" t="s">
        <v>3051</v>
      </c>
      <c r="M8" s="58" t="s">
        <v>3052</v>
      </c>
      <c r="N8" s="61" t="s">
        <v>91</v>
      </c>
      <c r="O8" s="58" t="s">
        <v>3053</v>
      </c>
      <c r="P8" s="61" t="n">
        <v>26</v>
      </c>
    </row>
    <row r="9" customFormat="false" ht="22.35" hidden="false" customHeight="false" outlineLevel="0" collapsed="false">
      <c r="A9" s="22" t="s">
        <v>3054</v>
      </c>
      <c r="B9" s="17" t="s">
        <v>3029</v>
      </c>
      <c r="C9" s="17" t="s">
        <v>118</v>
      </c>
      <c r="D9" s="55" t="s">
        <v>3055</v>
      </c>
      <c r="E9" s="17" t="s">
        <v>221</v>
      </c>
      <c r="F9" s="56" t="s">
        <v>3056</v>
      </c>
      <c r="G9" s="17" t="s">
        <v>3057</v>
      </c>
      <c r="H9" s="17" t="s">
        <v>3058</v>
      </c>
      <c r="I9" s="17"/>
      <c r="J9" s="17"/>
      <c r="K9" s="17"/>
      <c r="L9" s="17" t="s">
        <v>3051</v>
      </c>
      <c r="M9" s="17" t="s">
        <v>3041</v>
      </c>
      <c r="N9" s="15" t="s">
        <v>91</v>
      </c>
      <c r="O9" s="17" t="s">
        <v>3053</v>
      </c>
      <c r="P9" s="15" t="n">
        <v>32</v>
      </c>
    </row>
    <row r="10" customFormat="false" ht="15" hidden="false" customHeight="false" outlineLevel="0" collapsed="false">
      <c r="A10" s="57" t="s">
        <v>3059</v>
      </c>
      <c r="B10" s="58" t="s">
        <v>3029</v>
      </c>
      <c r="C10" s="58" t="s">
        <v>118</v>
      </c>
      <c r="D10" s="59" t="s">
        <v>3060</v>
      </c>
      <c r="E10" s="58" t="s">
        <v>221</v>
      </c>
      <c r="F10" s="60" t="s">
        <v>3061</v>
      </c>
      <c r="G10" s="58" t="s">
        <v>3062</v>
      </c>
      <c r="H10" s="58"/>
      <c r="I10" s="58" t="s">
        <v>3063</v>
      </c>
      <c r="J10" s="58"/>
      <c r="K10" s="58"/>
      <c r="L10" s="58" t="s">
        <v>3051</v>
      </c>
      <c r="M10" s="58" t="s">
        <v>3041</v>
      </c>
      <c r="N10" s="61" t="s">
        <v>91</v>
      </c>
      <c r="O10" s="58" t="s">
        <v>3053</v>
      </c>
      <c r="P10" s="61" t="n">
        <v>100</v>
      </c>
    </row>
    <row r="11" customFormat="false" ht="22.35" hidden="false" customHeight="false" outlineLevel="0" collapsed="false">
      <c r="A11" s="22" t="s">
        <v>3064</v>
      </c>
      <c r="B11" s="17" t="s">
        <v>3029</v>
      </c>
      <c r="C11" s="17" t="s">
        <v>118</v>
      </c>
      <c r="D11" s="55" t="s">
        <v>3065</v>
      </c>
      <c r="E11" s="17" t="s">
        <v>221</v>
      </c>
      <c r="F11" s="56" t="s">
        <v>3066</v>
      </c>
      <c r="G11" s="17" t="s">
        <v>3067</v>
      </c>
      <c r="H11" s="17" t="s">
        <v>3068</v>
      </c>
      <c r="I11" s="17" t="s">
        <v>3069</v>
      </c>
      <c r="J11" s="17"/>
      <c r="K11" s="17"/>
      <c r="L11" s="17" t="s">
        <v>3070</v>
      </c>
      <c r="M11" s="17" t="s">
        <v>3071</v>
      </c>
      <c r="N11" s="15" t="s">
        <v>91</v>
      </c>
      <c r="O11" s="17" t="s">
        <v>3053</v>
      </c>
      <c r="P11" s="15" t="n">
        <v>109</v>
      </c>
    </row>
    <row r="12" customFormat="false" ht="15" hidden="false" customHeight="false" outlineLevel="0" collapsed="false">
      <c r="A12" s="57" t="s">
        <v>3072</v>
      </c>
      <c r="B12" s="58" t="s">
        <v>3029</v>
      </c>
      <c r="C12" s="58" t="s">
        <v>118</v>
      </c>
      <c r="D12" s="59" t="s">
        <v>3073</v>
      </c>
      <c r="E12" s="58" t="s">
        <v>225</v>
      </c>
      <c r="F12" s="60" t="s">
        <v>3074</v>
      </c>
      <c r="G12" s="58" t="s">
        <v>3075</v>
      </c>
      <c r="H12" s="58"/>
      <c r="I12" s="58"/>
      <c r="J12" s="58"/>
      <c r="K12" s="58"/>
      <c r="L12" s="58" t="s">
        <v>3076</v>
      </c>
      <c r="M12" s="58" t="s">
        <v>3041</v>
      </c>
      <c r="N12" s="61" t="s">
        <v>91</v>
      </c>
      <c r="O12" s="58" t="s">
        <v>3053</v>
      </c>
      <c r="P12" s="61" t="n">
        <v>121</v>
      </c>
    </row>
    <row r="13" customFormat="false" ht="22.35" hidden="false" customHeight="false" outlineLevel="0" collapsed="false">
      <c r="A13" s="22" t="s">
        <v>3077</v>
      </c>
      <c r="B13" s="17" t="s">
        <v>3029</v>
      </c>
      <c r="C13" s="17" t="s">
        <v>119</v>
      </c>
      <c r="D13" s="55" t="s">
        <v>3078</v>
      </c>
      <c r="E13" s="17" t="s">
        <v>235</v>
      </c>
      <c r="F13" s="56" t="s">
        <v>3079</v>
      </c>
      <c r="G13" s="17" t="s">
        <v>3080</v>
      </c>
      <c r="H13" s="17"/>
      <c r="I13" s="17"/>
      <c r="J13" s="17"/>
      <c r="K13" s="17"/>
      <c r="L13" s="17" t="s">
        <v>3081</v>
      </c>
      <c r="M13" s="17" t="s">
        <v>3082</v>
      </c>
      <c r="N13" s="15" t="s">
        <v>91</v>
      </c>
      <c r="O13" s="17" t="s">
        <v>1138</v>
      </c>
      <c r="P13" s="15" t="n">
        <v>13</v>
      </c>
    </row>
    <row r="14" customFormat="false" ht="22.35" hidden="false" customHeight="false" outlineLevel="0" collapsed="false">
      <c r="A14" s="57" t="s">
        <v>3083</v>
      </c>
      <c r="B14" s="58" t="s">
        <v>3029</v>
      </c>
      <c r="C14" s="58" t="s">
        <v>119</v>
      </c>
      <c r="D14" s="59" t="s">
        <v>3084</v>
      </c>
      <c r="E14" s="58" t="s">
        <v>243</v>
      </c>
      <c r="F14" s="60" t="s">
        <v>3085</v>
      </c>
      <c r="G14" s="58" t="s">
        <v>3086</v>
      </c>
      <c r="H14" s="58"/>
      <c r="I14" s="58"/>
      <c r="J14" s="58"/>
      <c r="K14" s="58"/>
      <c r="L14" s="58" t="s">
        <v>3087</v>
      </c>
      <c r="M14" s="58"/>
      <c r="N14" s="61" t="s">
        <v>91</v>
      </c>
      <c r="O14" s="58" t="s">
        <v>1138</v>
      </c>
      <c r="P14" s="61" t="n">
        <v>16</v>
      </c>
    </row>
    <row r="15" customFormat="false" ht="22.35" hidden="false" customHeight="false" outlineLevel="0" collapsed="false">
      <c r="A15" s="22" t="s">
        <v>3088</v>
      </c>
      <c r="B15" s="17" t="s">
        <v>3029</v>
      </c>
      <c r="C15" s="17" t="s">
        <v>119</v>
      </c>
      <c r="D15" s="55" t="s">
        <v>3089</v>
      </c>
      <c r="E15" s="17" t="s">
        <v>221</v>
      </c>
      <c r="F15" s="56" t="s">
        <v>3090</v>
      </c>
      <c r="G15" s="17" t="s">
        <v>3091</v>
      </c>
      <c r="H15" s="17"/>
      <c r="I15" s="17" t="s">
        <v>3092</v>
      </c>
      <c r="J15" s="17"/>
      <c r="K15" s="17"/>
      <c r="L15" s="17" t="s">
        <v>3093</v>
      </c>
      <c r="M15" s="17"/>
      <c r="N15" s="15" t="s">
        <v>91</v>
      </c>
      <c r="O15" s="17" t="s">
        <v>1138</v>
      </c>
      <c r="P15" s="15" t="n">
        <v>18</v>
      </c>
    </row>
    <row r="16" customFormat="false" ht="32.8" hidden="false" customHeight="false" outlineLevel="0" collapsed="false">
      <c r="A16" s="57" t="s">
        <v>3094</v>
      </c>
      <c r="B16" s="58" t="s">
        <v>3029</v>
      </c>
      <c r="C16" s="58" t="s">
        <v>119</v>
      </c>
      <c r="D16" s="59" t="s">
        <v>3095</v>
      </c>
      <c r="E16" s="58" t="s">
        <v>221</v>
      </c>
      <c r="F16" s="60" t="s">
        <v>3096</v>
      </c>
      <c r="G16" s="58" t="s">
        <v>3097</v>
      </c>
      <c r="H16" s="58" t="s">
        <v>3098</v>
      </c>
      <c r="I16" s="58"/>
      <c r="J16" s="58"/>
      <c r="K16" s="58"/>
      <c r="L16" s="58" t="s">
        <v>3099</v>
      </c>
      <c r="M16" s="58"/>
      <c r="N16" s="61" t="s">
        <v>91</v>
      </c>
      <c r="O16" s="58" t="s">
        <v>1138</v>
      </c>
      <c r="P16" s="61" t="n">
        <v>27</v>
      </c>
    </row>
    <row r="17" customFormat="false" ht="15" hidden="false" customHeight="false" outlineLevel="0" collapsed="false">
      <c r="A17" s="22" t="s">
        <v>3100</v>
      </c>
      <c r="B17" s="17" t="s">
        <v>3029</v>
      </c>
      <c r="C17" s="17" t="s">
        <v>119</v>
      </c>
      <c r="D17" s="55" t="s">
        <v>3101</v>
      </c>
      <c r="E17" s="17" t="s">
        <v>221</v>
      </c>
      <c r="F17" s="56" t="s">
        <v>1131</v>
      </c>
      <c r="G17" s="17" t="s">
        <v>3102</v>
      </c>
      <c r="H17" s="17" t="s">
        <v>3103</v>
      </c>
      <c r="I17" s="17" t="s">
        <v>3104</v>
      </c>
      <c r="J17" s="17" t="s">
        <v>3105</v>
      </c>
      <c r="K17" s="17"/>
      <c r="L17" s="17" t="s">
        <v>3106</v>
      </c>
      <c r="M17" s="17"/>
      <c r="N17" s="15" t="s">
        <v>91</v>
      </c>
      <c r="O17" s="17" t="s">
        <v>1138</v>
      </c>
      <c r="P17" s="15" t="n">
        <v>30</v>
      </c>
    </row>
    <row r="18" customFormat="false" ht="43.25" hidden="false" customHeight="false" outlineLevel="0" collapsed="false">
      <c r="A18" s="57" t="s">
        <v>3107</v>
      </c>
      <c r="B18" s="58" t="s">
        <v>3029</v>
      </c>
      <c r="C18" s="58" t="s">
        <v>120</v>
      </c>
      <c r="D18" s="59" t="s">
        <v>3108</v>
      </c>
      <c r="E18" s="58" t="s">
        <v>235</v>
      </c>
      <c r="F18" s="60" t="s">
        <v>3109</v>
      </c>
      <c r="G18" s="58" t="s">
        <v>3110</v>
      </c>
      <c r="H18" s="58"/>
      <c r="I18" s="58"/>
      <c r="J18" s="58"/>
      <c r="K18" s="58"/>
      <c r="L18" s="58" t="s">
        <v>3111</v>
      </c>
      <c r="M18" s="58" t="s">
        <v>3112</v>
      </c>
      <c r="N18" s="61" t="s">
        <v>91</v>
      </c>
      <c r="O18" s="58" t="s">
        <v>3113</v>
      </c>
      <c r="P18" s="61" t="n">
        <v>18</v>
      </c>
    </row>
    <row r="19" customFormat="false" ht="32.8" hidden="false" customHeight="false" outlineLevel="0" collapsed="false">
      <c r="A19" s="22" t="s">
        <v>3114</v>
      </c>
      <c r="B19" s="17" t="s">
        <v>3029</v>
      </c>
      <c r="C19" s="17" t="s">
        <v>120</v>
      </c>
      <c r="D19" s="55" t="s">
        <v>3115</v>
      </c>
      <c r="E19" s="17" t="s">
        <v>221</v>
      </c>
      <c r="F19" s="56" t="s">
        <v>3116</v>
      </c>
      <c r="G19" s="17" t="s">
        <v>3117</v>
      </c>
      <c r="H19" s="17" t="s">
        <v>3118</v>
      </c>
      <c r="I19" s="17"/>
      <c r="J19" s="17"/>
      <c r="K19" s="17"/>
      <c r="L19" s="17" t="s">
        <v>161</v>
      </c>
      <c r="M19" s="17" t="s">
        <v>3119</v>
      </c>
      <c r="N19" s="15" t="s">
        <v>91</v>
      </c>
      <c r="O19" s="17" t="s">
        <v>3113</v>
      </c>
      <c r="P19" s="15" t="n">
        <v>22</v>
      </c>
    </row>
    <row r="20" customFormat="false" ht="22.35" hidden="false" customHeight="false" outlineLevel="0" collapsed="false">
      <c r="A20" s="57" t="s">
        <v>3120</v>
      </c>
      <c r="B20" s="58" t="s">
        <v>3029</v>
      </c>
      <c r="C20" s="58" t="s">
        <v>120</v>
      </c>
      <c r="D20" s="59" t="s">
        <v>3121</v>
      </c>
      <c r="E20" s="58" t="s">
        <v>221</v>
      </c>
      <c r="F20" s="60" t="s">
        <v>3122</v>
      </c>
      <c r="G20" s="58" t="s">
        <v>3123</v>
      </c>
      <c r="H20" s="58"/>
      <c r="I20" s="58" t="s">
        <v>3124</v>
      </c>
      <c r="J20" s="58"/>
      <c r="K20" s="58"/>
      <c r="L20" s="58" t="s">
        <v>3125</v>
      </c>
      <c r="M20" s="58" t="s">
        <v>3041</v>
      </c>
      <c r="N20" s="61" t="s">
        <v>91</v>
      </c>
      <c r="O20" s="58" t="s">
        <v>3113</v>
      </c>
      <c r="P20" s="61" t="n">
        <v>24</v>
      </c>
    </row>
    <row r="21" customFormat="false" ht="22.35" hidden="false" customHeight="false" outlineLevel="0" collapsed="false">
      <c r="A21" s="22" t="s">
        <v>3126</v>
      </c>
      <c r="B21" s="17" t="s">
        <v>3029</v>
      </c>
      <c r="C21" s="17" t="s">
        <v>120</v>
      </c>
      <c r="D21" s="55" t="s">
        <v>3127</v>
      </c>
      <c r="E21" s="17" t="s">
        <v>221</v>
      </c>
      <c r="F21" s="56" t="s">
        <v>3128</v>
      </c>
      <c r="G21" s="17" t="s">
        <v>3129</v>
      </c>
      <c r="H21" s="17"/>
      <c r="I21" s="17"/>
      <c r="J21" s="17"/>
      <c r="K21" s="17"/>
      <c r="L21" s="17" t="s">
        <v>3130</v>
      </c>
      <c r="M21" s="17" t="s">
        <v>3131</v>
      </c>
      <c r="N21" s="15" t="s">
        <v>91</v>
      </c>
      <c r="O21" s="17" t="s">
        <v>3113</v>
      </c>
      <c r="P21" s="15" t="n">
        <v>31</v>
      </c>
    </row>
    <row r="22" customFormat="false" ht="32.8" hidden="false" customHeight="false" outlineLevel="0" collapsed="false">
      <c r="A22" s="57" t="s">
        <v>3132</v>
      </c>
      <c r="B22" s="58" t="s">
        <v>3029</v>
      </c>
      <c r="C22" s="58" t="s">
        <v>120</v>
      </c>
      <c r="D22" s="59" t="s">
        <v>3133</v>
      </c>
      <c r="E22" s="58" t="s">
        <v>221</v>
      </c>
      <c r="F22" s="60" t="s">
        <v>3134</v>
      </c>
      <c r="G22" s="58" t="s">
        <v>3135</v>
      </c>
      <c r="H22" s="58"/>
      <c r="I22" s="58"/>
      <c r="J22" s="58"/>
      <c r="K22" s="58"/>
      <c r="L22" s="58" t="s">
        <v>3136</v>
      </c>
      <c r="M22" s="58" t="s">
        <v>3137</v>
      </c>
      <c r="N22" s="61" t="s">
        <v>91</v>
      </c>
      <c r="O22" s="58" t="s">
        <v>3113</v>
      </c>
      <c r="P22" s="61" t="n">
        <v>32</v>
      </c>
    </row>
    <row r="23" customFormat="false" ht="43.25" hidden="false" customHeight="false" outlineLevel="0" collapsed="false">
      <c r="A23" s="22" t="s">
        <v>3138</v>
      </c>
      <c r="B23" s="17" t="s">
        <v>3029</v>
      </c>
      <c r="C23" s="17" t="s">
        <v>120</v>
      </c>
      <c r="D23" s="55" t="s">
        <v>3139</v>
      </c>
      <c r="E23" s="17" t="s">
        <v>221</v>
      </c>
      <c r="F23" s="56" t="s">
        <v>3140</v>
      </c>
      <c r="G23" s="17" t="s">
        <v>3141</v>
      </c>
      <c r="H23" s="17"/>
      <c r="I23" s="17" t="s">
        <v>3142</v>
      </c>
      <c r="J23" s="17"/>
      <c r="K23" s="17"/>
      <c r="L23" s="17" t="s">
        <v>3143</v>
      </c>
      <c r="M23" s="17" t="s">
        <v>3144</v>
      </c>
      <c r="N23" s="15" t="s">
        <v>91</v>
      </c>
      <c r="O23" s="17" t="s">
        <v>3113</v>
      </c>
      <c r="P23" s="15" t="n">
        <v>33</v>
      </c>
    </row>
    <row r="24" customFormat="false" ht="22.35" hidden="false" customHeight="false" outlineLevel="0" collapsed="false">
      <c r="A24" s="57" t="s">
        <v>3145</v>
      </c>
      <c r="B24" s="58" t="s">
        <v>3029</v>
      </c>
      <c r="C24" s="58" t="s">
        <v>120</v>
      </c>
      <c r="D24" s="59" t="s">
        <v>3146</v>
      </c>
      <c r="E24" s="58" t="s">
        <v>221</v>
      </c>
      <c r="F24" s="60" t="s">
        <v>3147</v>
      </c>
      <c r="G24" s="58" t="s">
        <v>3148</v>
      </c>
      <c r="H24" s="58" t="s">
        <v>3149</v>
      </c>
      <c r="I24" s="58" t="s">
        <v>3150</v>
      </c>
      <c r="J24" s="58"/>
      <c r="K24" s="58"/>
      <c r="L24" s="58" t="s">
        <v>3151</v>
      </c>
      <c r="M24" s="58" t="s">
        <v>3152</v>
      </c>
      <c r="N24" s="61" t="s">
        <v>91</v>
      </c>
      <c r="O24" s="58" t="s">
        <v>3113</v>
      </c>
      <c r="P24" s="61" t="n">
        <v>43</v>
      </c>
    </row>
    <row r="25" customFormat="false" ht="32.8" hidden="false" customHeight="false" outlineLevel="0" collapsed="false">
      <c r="A25" s="22" t="s">
        <v>3153</v>
      </c>
      <c r="B25" s="17" t="s">
        <v>3029</v>
      </c>
      <c r="C25" s="17" t="s">
        <v>120</v>
      </c>
      <c r="D25" s="55" t="s">
        <v>3154</v>
      </c>
      <c r="E25" s="17" t="s">
        <v>221</v>
      </c>
      <c r="F25" s="56" t="s">
        <v>3155</v>
      </c>
      <c r="G25" s="17" t="s">
        <v>3156</v>
      </c>
      <c r="H25" s="17" t="s">
        <v>3149</v>
      </c>
      <c r="I25" s="17" t="s">
        <v>3150</v>
      </c>
      <c r="J25" s="17"/>
      <c r="K25" s="17"/>
      <c r="L25" s="17" t="s">
        <v>3157</v>
      </c>
      <c r="M25" s="17" t="s">
        <v>3158</v>
      </c>
      <c r="N25" s="15" t="s">
        <v>91</v>
      </c>
      <c r="O25" s="17" t="s">
        <v>3113</v>
      </c>
      <c r="P25" s="15" t="n">
        <v>45</v>
      </c>
    </row>
    <row r="26" customFormat="false" ht="22.35" hidden="false" customHeight="false" outlineLevel="0" collapsed="false">
      <c r="A26" s="57" t="s">
        <v>3159</v>
      </c>
      <c r="B26" s="58" t="s">
        <v>3029</v>
      </c>
      <c r="C26" s="58" t="s">
        <v>120</v>
      </c>
      <c r="D26" s="59" t="s">
        <v>3160</v>
      </c>
      <c r="E26" s="58" t="s">
        <v>221</v>
      </c>
      <c r="F26" s="60" t="s">
        <v>3161</v>
      </c>
      <c r="G26" s="58" t="s">
        <v>3162</v>
      </c>
      <c r="H26" s="58" t="s">
        <v>3149</v>
      </c>
      <c r="I26" s="58" t="s">
        <v>3150</v>
      </c>
      <c r="J26" s="58"/>
      <c r="K26" s="58"/>
      <c r="L26" s="58" t="s">
        <v>3157</v>
      </c>
      <c r="M26" s="58" t="s">
        <v>3163</v>
      </c>
      <c r="N26" s="61" t="s">
        <v>91</v>
      </c>
      <c r="O26" s="58" t="s">
        <v>3113</v>
      </c>
      <c r="P26" s="61" t="n">
        <v>47</v>
      </c>
    </row>
    <row r="27" customFormat="false" ht="22.35" hidden="false" customHeight="false" outlineLevel="0" collapsed="false">
      <c r="A27" s="22" t="s">
        <v>3164</v>
      </c>
      <c r="B27" s="17" t="s">
        <v>3029</v>
      </c>
      <c r="C27" s="17" t="s">
        <v>120</v>
      </c>
      <c r="D27" s="55" t="s">
        <v>3165</v>
      </c>
      <c r="E27" s="17" t="s">
        <v>221</v>
      </c>
      <c r="F27" s="56" t="s">
        <v>3166</v>
      </c>
      <c r="G27" s="17" t="s">
        <v>3167</v>
      </c>
      <c r="H27" s="17" t="s">
        <v>3168</v>
      </c>
      <c r="I27" s="17"/>
      <c r="J27" s="17"/>
      <c r="K27" s="17"/>
      <c r="L27" s="17" t="s">
        <v>3151</v>
      </c>
      <c r="M27" s="17" t="s">
        <v>3169</v>
      </c>
      <c r="N27" s="15" t="s">
        <v>91</v>
      </c>
      <c r="O27" s="17" t="s">
        <v>3113</v>
      </c>
      <c r="P27" s="15" t="n">
        <v>49</v>
      </c>
    </row>
    <row r="28" customFormat="false" ht="22.35" hidden="false" customHeight="false" outlineLevel="0" collapsed="false">
      <c r="A28" s="57" t="s">
        <v>3170</v>
      </c>
      <c r="B28" s="58" t="s">
        <v>3029</v>
      </c>
      <c r="C28" s="58" t="s">
        <v>121</v>
      </c>
      <c r="D28" s="59" t="s">
        <v>3171</v>
      </c>
      <c r="E28" s="58" t="s">
        <v>235</v>
      </c>
      <c r="F28" s="60" t="s">
        <v>3172</v>
      </c>
      <c r="G28" s="58" t="s">
        <v>3173</v>
      </c>
      <c r="H28" s="58"/>
      <c r="I28" s="58"/>
      <c r="J28" s="58"/>
      <c r="K28" s="58"/>
      <c r="L28" s="58" t="s">
        <v>3174</v>
      </c>
      <c r="M28" s="58" t="s">
        <v>3175</v>
      </c>
      <c r="N28" s="61" t="s">
        <v>91</v>
      </c>
      <c r="O28" s="58" t="s">
        <v>1399</v>
      </c>
      <c r="P28" s="61" t="n">
        <v>140</v>
      </c>
    </row>
    <row r="29" customFormat="false" ht="22.35" hidden="false" customHeight="false" outlineLevel="0" collapsed="false">
      <c r="A29" s="22" t="s">
        <v>3176</v>
      </c>
      <c r="B29" s="17" t="s">
        <v>3029</v>
      </c>
      <c r="C29" s="17" t="s">
        <v>121</v>
      </c>
      <c r="D29" s="55" t="s">
        <v>3177</v>
      </c>
      <c r="E29" s="17" t="s">
        <v>221</v>
      </c>
      <c r="F29" s="56" t="s">
        <v>3178</v>
      </c>
      <c r="G29" s="17" t="s">
        <v>3179</v>
      </c>
      <c r="H29" s="17" t="s">
        <v>3180</v>
      </c>
      <c r="I29" s="17"/>
      <c r="J29" s="17" t="s">
        <v>3181</v>
      </c>
      <c r="K29" s="17"/>
      <c r="L29" s="17" t="s">
        <v>1282</v>
      </c>
      <c r="M29" s="17" t="s">
        <v>3182</v>
      </c>
      <c r="N29" s="15" t="s">
        <v>91</v>
      </c>
      <c r="O29" s="17" t="s">
        <v>1399</v>
      </c>
      <c r="P29" s="15" t="n">
        <v>146</v>
      </c>
    </row>
    <row r="30" customFormat="false" ht="22.35" hidden="false" customHeight="false" outlineLevel="0" collapsed="false">
      <c r="A30" s="57" t="s">
        <v>3183</v>
      </c>
      <c r="B30" s="58" t="s">
        <v>3029</v>
      </c>
      <c r="C30" s="58" t="s">
        <v>121</v>
      </c>
      <c r="D30" s="59" t="s">
        <v>3184</v>
      </c>
      <c r="E30" s="58" t="s">
        <v>221</v>
      </c>
      <c r="F30" s="60" t="s">
        <v>3185</v>
      </c>
      <c r="G30" s="58" t="s">
        <v>3186</v>
      </c>
      <c r="H30" s="58" t="s">
        <v>3187</v>
      </c>
      <c r="I30" s="58"/>
      <c r="J30" s="58"/>
      <c r="K30" s="58"/>
      <c r="L30" s="58" t="s">
        <v>3188</v>
      </c>
      <c r="M30" s="58" t="s">
        <v>3189</v>
      </c>
      <c r="N30" s="61" t="s">
        <v>91</v>
      </c>
      <c r="O30" s="58" t="s">
        <v>1399</v>
      </c>
      <c r="P30" s="61" t="n">
        <v>147</v>
      </c>
    </row>
    <row r="31" customFormat="false" ht="15" hidden="false" customHeight="false" outlineLevel="0" collapsed="false">
      <c r="A31" s="22" t="s">
        <v>3190</v>
      </c>
      <c r="B31" s="17" t="s">
        <v>3029</v>
      </c>
      <c r="C31" s="17" t="s">
        <v>121</v>
      </c>
      <c r="D31" s="55" t="s">
        <v>3191</v>
      </c>
      <c r="E31" s="17" t="s">
        <v>221</v>
      </c>
      <c r="F31" s="56" t="s">
        <v>3192</v>
      </c>
      <c r="G31" s="17" t="s">
        <v>3193</v>
      </c>
      <c r="H31" s="17"/>
      <c r="I31" s="17"/>
      <c r="J31" s="17"/>
      <c r="K31" s="17"/>
      <c r="L31" s="17" t="s">
        <v>3194</v>
      </c>
      <c r="M31" s="17" t="s">
        <v>3195</v>
      </c>
      <c r="N31" s="15" t="s">
        <v>91</v>
      </c>
      <c r="O31" s="17" t="s">
        <v>1399</v>
      </c>
      <c r="P31" s="15" t="n">
        <v>148</v>
      </c>
    </row>
    <row r="32" customFormat="false" ht="43.25" hidden="false" customHeight="false" outlineLevel="0" collapsed="false">
      <c r="A32" s="57" t="s">
        <v>3196</v>
      </c>
      <c r="B32" s="58" t="s">
        <v>3029</v>
      </c>
      <c r="C32" s="58" t="s">
        <v>122</v>
      </c>
      <c r="D32" s="59" t="s">
        <v>3197</v>
      </c>
      <c r="E32" s="58" t="s">
        <v>235</v>
      </c>
      <c r="F32" s="60" t="s">
        <v>3198</v>
      </c>
      <c r="G32" s="58" t="s">
        <v>3199</v>
      </c>
      <c r="H32" s="58"/>
      <c r="I32" s="58"/>
      <c r="J32" s="58"/>
      <c r="K32" s="58"/>
      <c r="L32" s="58" t="s">
        <v>3200</v>
      </c>
      <c r="M32" s="58" t="s">
        <v>3201</v>
      </c>
      <c r="N32" s="61" t="s">
        <v>91</v>
      </c>
      <c r="O32" s="58" t="s">
        <v>3202</v>
      </c>
      <c r="P32" s="61" t="n">
        <v>54</v>
      </c>
    </row>
    <row r="33" customFormat="false" ht="43.25" hidden="false" customHeight="false" outlineLevel="0" collapsed="false">
      <c r="A33" s="22" t="s">
        <v>3203</v>
      </c>
      <c r="B33" s="17" t="s">
        <v>3029</v>
      </c>
      <c r="C33" s="17" t="s">
        <v>122</v>
      </c>
      <c r="D33" s="55" t="s">
        <v>3204</v>
      </c>
      <c r="E33" s="17" t="s">
        <v>221</v>
      </c>
      <c r="F33" s="56" t="s">
        <v>3205</v>
      </c>
      <c r="G33" s="17" t="s">
        <v>3206</v>
      </c>
      <c r="H33" s="17" t="s">
        <v>3207</v>
      </c>
      <c r="I33" s="17"/>
      <c r="J33" s="17"/>
      <c r="K33" s="17"/>
      <c r="L33" s="17" t="s">
        <v>3208</v>
      </c>
      <c r="M33" s="17" t="s">
        <v>3209</v>
      </c>
      <c r="N33" s="15" t="s">
        <v>91</v>
      </c>
      <c r="O33" s="17" t="s">
        <v>3202</v>
      </c>
      <c r="P33" s="15" t="n">
        <v>58</v>
      </c>
    </row>
    <row r="34" customFormat="false" ht="22.35" hidden="false" customHeight="false" outlineLevel="0" collapsed="false">
      <c r="A34" s="57" t="s">
        <v>3210</v>
      </c>
      <c r="B34" s="58" t="s">
        <v>3029</v>
      </c>
      <c r="C34" s="58" t="s">
        <v>122</v>
      </c>
      <c r="D34" s="59" t="s">
        <v>3211</v>
      </c>
      <c r="E34" s="58" t="s">
        <v>221</v>
      </c>
      <c r="F34" s="60" t="s">
        <v>3212</v>
      </c>
      <c r="G34" s="58" t="s">
        <v>3213</v>
      </c>
      <c r="H34" s="58"/>
      <c r="I34" s="58"/>
      <c r="J34" s="58"/>
      <c r="K34" s="58"/>
      <c r="L34" s="58" t="s">
        <v>3214</v>
      </c>
      <c r="M34" s="58" t="s">
        <v>3215</v>
      </c>
      <c r="N34" s="61" t="s">
        <v>91</v>
      </c>
      <c r="O34" s="58" t="s">
        <v>3202</v>
      </c>
      <c r="P34" s="61" t="n">
        <v>59</v>
      </c>
    </row>
    <row r="35" customFormat="false" ht="22.35" hidden="false" customHeight="false" outlineLevel="0" collapsed="false">
      <c r="A35" s="22" t="s">
        <v>3216</v>
      </c>
      <c r="B35" s="17" t="s">
        <v>3029</v>
      </c>
      <c r="C35" s="17" t="s">
        <v>122</v>
      </c>
      <c r="D35" s="55" t="s">
        <v>3217</v>
      </c>
      <c r="E35" s="17" t="s">
        <v>221</v>
      </c>
      <c r="F35" s="56" t="s">
        <v>3218</v>
      </c>
      <c r="G35" s="17" t="s">
        <v>3219</v>
      </c>
      <c r="H35" s="17" t="s">
        <v>3220</v>
      </c>
      <c r="I35" s="17"/>
      <c r="J35" s="17"/>
      <c r="K35" s="17"/>
      <c r="L35" s="17" t="s">
        <v>3221</v>
      </c>
      <c r="M35" s="17" t="s">
        <v>3222</v>
      </c>
      <c r="N35" s="15" t="s">
        <v>91</v>
      </c>
      <c r="O35" s="17" t="s">
        <v>3202</v>
      </c>
      <c r="P35" s="15" t="n">
        <v>62</v>
      </c>
    </row>
    <row r="36" customFormat="false" ht="22.35" hidden="false" customHeight="false" outlineLevel="0" collapsed="false">
      <c r="A36" s="57" t="s">
        <v>3223</v>
      </c>
      <c r="B36" s="58" t="s">
        <v>3029</v>
      </c>
      <c r="C36" s="58" t="s">
        <v>122</v>
      </c>
      <c r="D36" s="59" t="s">
        <v>3224</v>
      </c>
      <c r="E36" s="58" t="s">
        <v>221</v>
      </c>
      <c r="F36" s="60" t="s">
        <v>3225</v>
      </c>
      <c r="G36" s="58" t="s">
        <v>3226</v>
      </c>
      <c r="H36" s="58" t="s">
        <v>3227</v>
      </c>
      <c r="I36" s="58" t="s">
        <v>3228</v>
      </c>
      <c r="J36" s="58"/>
      <c r="K36" s="58"/>
      <c r="L36" s="58" t="s">
        <v>3229</v>
      </c>
      <c r="M36" s="58" t="s">
        <v>3230</v>
      </c>
      <c r="N36" s="61" t="s">
        <v>91</v>
      </c>
      <c r="O36" s="58" t="s">
        <v>3202</v>
      </c>
      <c r="P36" s="61" t="n">
        <v>66</v>
      </c>
    </row>
    <row r="37" customFormat="false" ht="22.35" hidden="false" customHeight="false" outlineLevel="0" collapsed="false">
      <c r="A37" s="22" t="s">
        <v>3231</v>
      </c>
      <c r="B37" s="17" t="s">
        <v>3029</v>
      </c>
      <c r="C37" s="17" t="s">
        <v>122</v>
      </c>
      <c r="D37" s="55" t="s">
        <v>3232</v>
      </c>
      <c r="E37" s="17" t="s">
        <v>221</v>
      </c>
      <c r="F37" s="56" t="s">
        <v>3233</v>
      </c>
      <c r="G37" s="17" t="s">
        <v>3234</v>
      </c>
      <c r="H37" s="17"/>
      <c r="I37" s="17" t="s">
        <v>3235</v>
      </c>
      <c r="J37" s="17"/>
      <c r="K37" s="17"/>
      <c r="L37" s="17"/>
      <c r="M37" s="17" t="s">
        <v>3041</v>
      </c>
      <c r="N37" s="15" t="s">
        <v>91</v>
      </c>
      <c r="O37" s="17" t="s">
        <v>3202</v>
      </c>
      <c r="P37" s="15" t="n">
        <v>69</v>
      </c>
    </row>
    <row r="38" customFormat="false" ht="32.8" hidden="false" customHeight="false" outlineLevel="0" collapsed="false">
      <c r="A38" s="57" t="s">
        <v>3236</v>
      </c>
      <c r="B38" s="58" t="s">
        <v>3029</v>
      </c>
      <c r="C38" s="58" t="s">
        <v>122</v>
      </c>
      <c r="D38" s="59" t="s">
        <v>3237</v>
      </c>
      <c r="E38" s="58" t="s">
        <v>221</v>
      </c>
      <c r="F38" s="60" t="s">
        <v>3238</v>
      </c>
      <c r="G38" s="58" t="s">
        <v>3239</v>
      </c>
      <c r="H38" s="58" t="s">
        <v>3240</v>
      </c>
      <c r="I38" s="58"/>
      <c r="J38" s="58"/>
      <c r="K38" s="58"/>
      <c r="L38" s="58" t="s">
        <v>3241</v>
      </c>
      <c r="M38" s="58" t="s">
        <v>3242</v>
      </c>
      <c r="N38" s="61" t="s">
        <v>91</v>
      </c>
      <c r="O38" s="58" t="s">
        <v>3202</v>
      </c>
      <c r="P38" s="61" t="n">
        <v>73</v>
      </c>
    </row>
    <row r="39" customFormat="false" ht="22.35" hidden="false" customHeight="false" outlineLevel="0" collapsed="false">
      <c r="A39" s="22" t="s">
        <v>3243</v>
      </c>
      <c r="B39" s="17" t="s">
        <v>3029</v>
      </c>
      <c r="C39" s="17" t="s">
        <v>122</v>
      </c>
      <c r="D39" s="55" t="s">
        <v>3244</v>
      </c>
      <c r="E39" s="17" t="s">
        <v>221</v>
      </c>
      <c r="F39" s="56" t="s">
        <v>3245</v>
      </c>
      <c r="G39" s="17" t="s">
        <v>3246</v>
      </c>
      <c r="H39" s="17" t="s">
        <v>3247</v>
      </c>
      <c r="I39" s="17" t="s">
        <v>3248</v>
      </c>
      <c r="J39" s="17"/>
      <c r="K39" s="17"/>
      <c r="L39" s="17" t="s">
        <v>3249</v>
      </c>
      <c r="M39" s="17" t="s">
        <v>3250</v>
      </c>
      <c r="N39" s="15" t="s">
        <v>91</v>
      </c>
      <c r="O39" s="17" t="s">
        <v>3202</v>
      </c>
      <c r="P39" s="15" t="n">
        <v>78</v>
      </c>
    </row>
    <row r="40" customFormat="false" ht="32.8" hidden="false" customHeight="false" outlineLevel="0" collapsed="false">
      <c r="A40" s="57" t="s">
        <v>3251</v>
      </c>
      <c r="B40" s="58" t="s">
        <v>3029</v>
      </c>
      <c r="C40" s="58" t="s">
        <v>122</v>
      </c>
      <c r="D40" s="59" t="s">
        <v>3252</v>
      </c>
      <c r="E40" s="58" t="s">
        <v>221</v>
      </c>
      <c r="F40" s="60" t="s">
        <v>3253</v>
      </c>
      <c r="G40" s="58" t="s">
        <v>3254</v>
      </c>
      <c r="H40" s="58" t="s">
        <v>3255</v>
      </c>
      <c r="I40" s="58" t="s">
        <v>3256</v>
      </c>
      <c r="J40" s="58"/>
      <c r="K40" s="58"/>
      <c r="L40" s="58" t="s">
        <v>3257</v>
      </c>
      <c r="M40" s="58" t="s">
        <v>3258</v>
      </c>
      <c r="N40" s="61" t="s">
        <v>91</v>
      </c>
      <c r="O40" s="58" t="s">
        <v>3202</v>
      </c>
      <c r="P40" s="61" t="n">
        <v>84</v>
      </c>
    </row>
    <row r="41" customFormat="false" ht="32.8" hidden="false" customHeight="false" outlineLevel="0" collapsed="false">
      <c r="A41" s="22" t="s">
        <v>3259</v>
      </c>
      <c r="B41" s="17" t="s">
        <v>3029</v>
      </c>
      <c r="C41" s="17" t="s">
        <v>122</v>
      </c>
      <c r="D41" s="55" t="s">
        <v>3260</v>
      </c>
      <c r="E41" s="17" t="s">
        <v>221</v>
      </c>
      <c r="F41" s="56" t="s">
        <v>3261</v>
      </c>
      <c r="G41" s="17" t="s">
        <v>3262</v>
      </c>
      <c r="H41" s="17"/>
      <c r="I41" s="17" t="s">
        <v>2372</v>
      </c>
      <c r="J41" s="17"/>
      <c r="K41" s="17"/>
      <c r="L41" s="17" t="s">
        <v>3263</v>
      </c>
      <c r="M41" s="17" t="s">
        <v>3264</v>
      </c>
      <c r="N41" s="15" t="s">
        <v>91</v>
      </c>
      <c r="O41" s="17" t="s">
        <v>3202</v>
      </c>
      <c r="P41" s="15" t="n">
        <v>87</v>
      </c>
    </row>
    <row r="42" customFormat="false" ht="32.8" hidden="false" customHeight="false" outlineLevel="0" collapsed="false">
      <c r="A42" s="57" t="s">
        <v>3265</v>
      </c>
      <c r="B42" s="58" t="s">
        <v>3029</v>
      </c>
      <c r="C42" s="58" t="s">
        <v>122</v>
      </c>
      <c r="D42" s="59" t="s">
        <v>3266</v>
      </c>
      <c r="E42" s="58" t="s">
        <v>221</v>
      </c>
      <c r="F42" s="60" t="s">
        <v>3267</v>
      </c>
      <c r="G42" s="58" t="s">
        <v>3268</v>
      </c>
      <c r="H42" s="58" t="s">
        <v>3269</v>
      </c>
      <c r="I42" s="58"/>
      <c r="J42" s="58"/>
      <c r="K42" s="58" t="s">
        <v>1046</v>
      </c>
      <c r="L42" s="58" t="s">
        <v>3270</v>
      </c>
      <c r="M42" s="58" t="s">
        <v>3271</v>
      </c>
      <c r="N42" s="61" t="s">
        <v>91</v>
      </c>
      <c r="O42" s="58" t="s">
        <v>3202</v>
      </c>
      <c r="P42" s="61" t="n">
        <v>92</v>
      </c>
    </row>
    <row r="43" customFormat="false" ht="22.35" hidden="false" customHeight="false" outlineLevel="0" collapsed="false">
      <c r="A43" s="22" t="s">
        <v>3272</v>
      </c>
      <c r="B43" s="17" t="s">
        <v>3029</v>
      </c>
      <c r="C43" s="17" t="s">
        <v>122</v>
      </c>
      <c r="D43" s="55" t="s">
        <v>3273</v>
      </c>
      <c r="E43" s="17" t="s">
        <v>221</v>
      </c>
      <c r="F43" s="56" t="s">
        <v>3274</v>
      </c>
      <c r="G43" s="17" t="s">
        <v>3275</v>
      </c>
      <c r="H43" s="17" t="s">
        <v>3276</v>
      </c>
      <c r="I43" s="17" t="s">
        <v>3277</v>
      </c>
      <c r="J43" s="17" t="s">
        <v>3278</v>
      </c>
      <c r="K43" s="17" t="s">
        <v>607</v>
      </c>
      <c r="L43" s="17" t="s">
        <v>3279</v>
      </c>
      <c r="M43" s="17" t="s">
        <v>3280</v>
      </c>
      <c r="N43" s="15" t="s">
        <v>91</v>
      </c>
      <c r="O43" s="17" t="s">
        <v>3202</v>
      </c>
      <c r="P43" s="15" t="n">
        <v>96</v>
      </c>
    </row>
    <row r="44" customFormat="false" ht="32.8" hidden="false" customHeight="false" outlineLevel="0" collapsed="false">
      <c r="A44" s="57" t="s">
        <v>3281</v>
      </c>
      <c r="B44" s="58" t="s">
        <v>3029</v>
      </c>
      <c r="C44" s="58" t="s">
        <v>122</v>
      </c>
      <c r="D44" s="59" t="s">
        <v>3282</v>
      </c>
      <c r="E44" s="58" t="s">
        <v>221</v>
      </c>
      <c r="F44" s="60" t="s">
        <v>3283</v>
      </c>
      <c r="G44" s="58" t="s">
        <v>3284</v>
      </c>
      <c r="H44" s="58" t="s">
        <v>3285</v>
      </c>
      <c r="I44" s="58"/>
      <c r="J44" s="58"/>
      <c r="K44" s="58" t="s">
        <v>1396</v>
      </c>
      <c r="L44" s="58" t="s">
        <v>3286</v>
      </c>
      <c r="M44" s="58" t="s">
        <v>3287</v>
      </c>
      <c r="N44" s="61" t="s">
        <v>91</v>
      </c>
      <c r="O44" s="58" t="s">
        <v>3202</v>
      </c>
      <c r="P44" s="61" t="n">
        <v>101</v>
      </c>
    </row>
    <row r="45" customFormat="false" ht="22.35" hidden="false" customHeight="false" outlineLevel="0" collapsed="false">
      <c r="A45" s="22" t="s">
        <v>3288</v>
      </c>
      <c r="B45" s="17" t="s">
        <v>3029</v>
      </c>
      <c r="C45" s="17" t="s">
        <v>122</v>
      </c>
      <c r="D45" s="55" t="s">
        <v>3289</v>
      </c>
      <c r="E45" s="17" t="s">
        <v>221</v>
      </c>
      <c r="F45" s="56" t="s">
        <v>3290</v>
      </c>
      <c r="G45" s="17" t="s">
        <v>3291</v>
      </c>
      <c r="H45" s="17" t="s">
        <v>3292</v>
      </c>
      <c r="I45" s="17"/>
      <c r="J45" s="17"/>
      <c r="K45" s="17"/>
      <c r="L45" s="17" t="s">
        <v>3293</v>
      </c>
      <c r="M45" s="17" t="s">
        <v>3294</v>
      </c>
      <c r="N45" s="15" t="s">
        <v>91</v>
      </c>
      <c r="O45" s="17" t="s">
        <v>3202</v>
      </c>
      <c r="P45" s="15" t="n">
        <v>105</v>
      </c>
    </row>
    <row r="46" customFormat="false" ht="32.8" hidden="false" customHeight="false" outlineLevel="0" collapsed="false">
      <c r="A46" s="57" t="s">
        <v>3295</v>
      </c>
      <c r="B46" s="58" t="s">
        <v>3029</v>
      </c>
      <c r="C46" s="58" t="s">
        <v>122</v>
      </c>
      <c r="D46" s="59" t="s">
        <v>3296</v>
      </c>
      <c r="E46" s="58" t="s">
        <v>221</v>
      </c>
      <c r="F46" s="60" t="s">
        <v>3297</v>
      </c>
      <c r="G46" s="58" t="s">
        <v>3298</v>
      </c>
      <c r="H46" s="58" t="s">
        <v>3299</v>
      </c>
      <c r="I46" s="58"/>
      <c r="J46" s="58"/>
      <c r="K46" s="58"/>
      <c r="L46" s="58" t="s">
        <v>3300</v>
      </c>
      <c r="M46" s="58" t="s">
        <v>3301</v>
      </c>
      <c r="N46" s="61" t="s">
        <v>91</v>
      </c>
      <c r="O46" s="58" t="s">
        <v>3202</v>
      </c>
      <c r="P46" s="61" t="n">
        <v>108</v>
      </c>
    </row>
    <row r="47" customFormat="false" ht="22.35" hidden="false" customHeight="false" outlineLevel="0" collapsed="false">
      <c r="A47" s="22" t="s">
        <v>3302</v>
      </c>
      <c r="B47" s="17" t="s">
        <v>3029</v>
      </c>
      <c r="C47" s="17" t="s">
        <v>122</v>
      </c>
      <c r="D47" s="55" t="s">
        <v>3303</v>
      </c>
      <c r="E47" s="17" t="s">
        <v>221</v>
      </c>
      <c r="F47" s="56" t="s">
        <v>3304</v>
      </c>
      <c r="G47" s="17" t="s">
        <v>3305</v>
      </c>
      <c r="H47" s="17" t="s">
        <v>3306</v>
      </c>
      <c r="I47" s="17"/>
      <c r="J47" s="17"/>
      <c r="K47" s="17"/>
      <c r="L47" s="17" t="s">
        <v>3307</v>
      </c>
      <c r="M47" s="17" t="s">
        <v>3308</v>
      </c>
      <c r="N47" s="15" t="s">
        <v>91</v>
      </c>
      <c r="O47" s="17" t="s">
        <v>3202</v>
      </c>
      <c r="P47" s="15" t="n">
        <v>113</v>
      </c>
    </row>
    <row r="48" customFormat="false" ht="32.8" hidden="false" customHeight="false" outlineLevel="0" collapsed="false">
      <c r="A48" s="57" t="s">
        <v>3309</v>
      </c>
      <c r="B48" s="58" t="s">
        <v>3029</v>
      </c>
      <c r="C48" s="58" t="s">
        <v>122</v>
      </c>
      <c r="D48" s="59" t="s">
        <v>3310</v>
      </c>
      <c r="E48" s="58" t="s">
        <v>221</v>
      </c>
      <c r="F48" s="60" t="s">
        <v>3311</v>
      </c>
      <c r="G48" s="58" t="s">
        <v>3312</v>
      </c>
      <c r="H48" s="58" t="s">
        <v>3313</v>
      </c>
      <c r="I48" s="58"/>
      <c r="J48" s="58"/>
      <c r="K48" s="58" t="s">
        <v>3314</v>
      </c>
      <c r="L48" s="58" t="s">
        <v>3315</v>
      </c>
      <c r="M48" s="58" t="s">
        <v>3316</v>
      </c>
      <c r="N48" s="61" t="s">
        <v>91</v>
      </c>
      <c r="O48" s="58" t="s">
        <v>3202</v>
      </c>
      <c r="P48" s="61" t="n">
        <v>117</v>
      </c>
    </row>
    <row r="49" customFormat="false" ht="22.35" hidden="false" customHeight="false" outlineLevel="0" collapsed="false">
      <c r="A49" s="22" t="s">
        <v>3317</v>
      </c>
      <c r="B49" s="17" t="s">
        <v>3029</v>
      </c>
      <c r="C49" s="17" t="s">
        <v>122</v>
      </c>
      <c r="D49" s="55" t="s">
        <v>3318</v>
      </c>
      <c r="E49" s="17" t="s">
        <v>221</v>
      </c>
      <c r="F49" s="56" t="s">
        <v>3319</v>
      </c>
      <c r="G49" s="17" t="s">
        <v>3320</v>
      </c>
      <c r="H49" s="17" t="s">
        <v>1895</v>
      </c>
      <c r="I49" s="17"/>
      <c r="J49" s="17"/>
      <c r="K49" s="17"/>
      <c r="L49" s="17" t="s">
        <v>3321</v>
      </c>
      <c r="M49" s="17" t="s">
        <v>3322</v>
      </c>
      <c r="N49" s="15" t="s">
        <v>91</v>
      </c>
      <c r="O49" s="17" t="s">
        <v>3202</v>
      </c>
      <c r="P49" s="15" t="n">
        <v>122</v>
      </c>
    </row>
    <row r="50" customFormat="false" ht="22.35" hidden="false" customHeight="false" outlineLevel="0" collapsed="false">
      <c r="A50" s="57" t="s">
        <v>3323</v>
      </c>
      <c r="B50" s="58" t="s">
        <v>3029</v>
      </c>
      <c r="C50" s="58" t="s">
        <v>122</v>
      </c>
      <c r="D50" s="59" t="s">
        <v>3324</v>
      </c>
      <c r="E50" s="58" t="s">
        <v>221</v>
      </c>
      <c r="F50" s="60" t="s">
        <v>3325</v>
      </c>
      <c r="G50" s="58" t="s">
        <v>3326</v>
      </c>
      <c r="H50" s="58"/>
      <c r="I50" s="58" t="s">
        <v>3235</v>
      </c>
      <c r="J50" s="58"/>
      <c r="K50" s="58"/>
      <c r="L50" s="58" t="s">
        <v>1896</v>
      </c>
      <c r="M50" s="58" t="s">
        <v>3041</v>
      </c>
      <c r="N50" s="61" t="s">
        <v>91</v>
      </c>
      <c r="O50" s="58" t="s">
        <v>3202</v>
      </c>
      <c r="P50" s="61" t="n">
        <v>125</v>
      </c>
    </row>
    <row r="51" customFormat="false" ht="22.35" hidden="false" customHeight="false" outlineLevel="0" collapsed="false">
      <c r="A51" s="22" t="s">
        <v>3327</v>
      </c>
      <c r="B51" s="17" t="s">
        <v>3029</v>
      </c>
      <c r="C51" s="17" t="s">
        <v>122</v>
      </c>
      <c r="D51" s="55" t="s">
        <v>3328</v>
      </c>
      <c r="E51" s="17" t="s">
        <v>221</v>
      </c>
      <c r="F51" s="56" t="s">
        <v>3329</v>
      </c>
      <c r="G51" s="17" t="s">
        <v>3330</v>
      </c>
      <c r="H51" s="17"/>
      <c r="I51" s="17" t="s">
        <v>3331</v>
      </c>
      <c r="J51" s="17"/>
      <c r="K51" s="17"/>
      <c r="L51" s="17" t="s">
        <v>1896</v>
      </c>
      <c r="M51" s="17" t="s">
        <v>3332</v>
      </c>
      <c r="N51" s="15" t="s">
        <v>91</v>
      </c>
      <c r="O51" s="17" t="s">
        <v>3202</v>
      </c>
      <c r="P51" s="15" t="n">
        <v>127</v>
      </c>
    </row>
    <row r="52" customFormat="false" ht="32.8" hidden="false" customHeight="false" outlineLevel="0" collapsed="false">
      <c r="A52" s="57" t="s">
        <v>3333</v>
      </c>
      <c r="B52" s="58" t="s">
        <v>3029</v>
      </c>
      <c r="C52" s="58" t="s">
        <v>122</v>
      </c>
      <c r="D52" s="59" t="s">
        <v>3334</v>
      </c>
      <c r="E52" s="58" t="s">
        <v>221</v>
      </c>
      <c r="F52" s="60" t="s">
        <v>3335</v>
      </c>
      <c r="G52" s="58" t="s">
        <v>3336</v>
      </c>
      <c r="H52" s="58" t="s">
        <v>3337</v>
      </c>
      <c r="I52" s="58" t="s">
        <v>3338</v>
      </c>
      <c r="J52" s="58"/>
      <c r="K52" s="58"/>
      <c r="L52" s="58" t="s">
        <v>3339</v>
      </c>
      <c r="M52" s="58" t="s">
        <v>3340</v>
      </c>
      <c r="N52" s="61" t="s">
        <v>91</v>
      </c>
      <c r="O52" s="58" t="s">
        <v>3202</v>
      </c>
      <c r="P52" s="61" t="n">
        <v>129</v>
      </c>
    </row>
    <row r="53" customFormat="false" ht="22.35" hidden="false" customHeight="false" outlineLevel="0" collapsed="false">
      <c r="A53" s="22" t="s">
        <v>3341</v>
      </c>
      <c r="B53" s="17" t="s">
        <v>3029</v>
      </c>
      <c r="C53" s="17" t="s">
        <v>122</v>
      </c>
      <c r="D53" s="55" t="s">
        <v>3342</v>
      </c>
      <c r="E53" s="17" t="s">
        <v>221</v>
      </c>
      <c r="F53" s="56" t="s">
        <v>3343</v>
      </c>
      <c r="G53" s="17" t="s">
        <v>3344</v>
      </c>
      <c r="H53" s="17" t="s">
        <v>3168</v>
      </c>
      <c r="I53" s="17"/>
      <c r="J53" s="17"/>
      <c r="K53" s="17"/>
      <c r="L53" s="17" t="s">
        <v>3345</v>
      </c>
      <c r="M53" s="17" t="s">
        <v>3346</v>
      </c>
      <c r="N53" s="15" t="s">
        <v>91</v>
      </c>
      <c r="O53" s="17" t="s">
        <v>3202</v>
      </c>
      <c r="P53" s="15" t="n">
        <v>134</v>
      </c>
    </row>
    <row r="54" customFormat="false" ht="22.35" hidden="false" customHeight="false" outlineLevel="0" collapsed="false">
      <c r="A54" s="57" t="s">
        <v>3347</v>
      </c>
      <c r="B54" s="58" t="s">
        <v>3029</v>
      </c>
      <c r="C54" s="58" t="s">
        <v>122</v>
      </c>
      <c r="D54" s="59" t="s">
        <v>3348</v>
      </c>
      <c r="E54" s="58" t="s">
        <v>221</v>
      </c>
      <c r="F54" s="60" t="s">
        <v>3349</v>
      </c>
      <c r="G54" s="58" t="s">
        <v>3350</v>
      </c>
      <c r="H54" s="58" t="s">
        <v>3351</v>
      </c>
      <c r="I54" s="58"/>
      <c r="J54" s="58"/>
      <c r="K54" s="58"/>
      <c r="L54" s="58" t="s">
        <v>3352</v>
      </c>
      <c r="M54" s="58" t="s">
        <v>3353</v>
      </c>
      <c r="N54" s="61" t="s">
        <v>91</v>
      </c>
      <c r="O54" s="58" t="s">
        <v>3202</v>
      </c>
      <c r="P54" s="61" t="n">
        <v>138</v>
      </c>
    </row>
    <row r="55" customFormat="false" ht="32.8" hidden="false" customHeight="false" outlineLevel="0" collapsed="false">
      <c r="A55" s="22" t="s">
        <v>3354</v>
      </c>
      <c r="B55" s="17" t="s">
        <v>3029</v>
      </c>
      <c r="C55" s="17" t="s">
        <v>122</v>
      </c>
      <c r="D55" s="55" t="s">
        <v>3355</v>
      </c>
      <c r="E55" s="17" t="s">
        <v>227</v>
      </c>
      <c r="F55" s="56" t="s">
        <v>3356</v>
      </c>
      <c r="G55" s="17" t="s">
        <v>3357</v>
      </c>
      <c r="H55" s="17"/>
      <c r="I55" s="17" t="s">
        <v>3358</v>
      </c>
      <c r="J55" s="17"/>
      <c r="K55" s="17" t="s">
        <v>3359</v>
      </c>
      <c r="L55" s="17" t="s">
        <v>3360</v>
      </c>
      <c r="M55" s="17"/>
      <c r="N55" s="15" t="s">
        <v>91</v>
      </c>
      <c r="O55" s="17" t="s">
        <v>3202</v>
      </c>
      <c r="P55" s="15" t="n">
        <v>144</v>
      </c>
    </row>
    <row r="56" customFormat="false" ht="53.7" hidden="false" customHeight="false" outlineLevel="0" collapsed="false">
      <c r="A56" s="57" t="s">
        <v>3361</v>
      </c>
      <c r="B56" s="58" t="s">
        <v>3029</v>
      </c>
      <c r="C56" s="58" t="s">
        <v>122</v>
      </c>
      <c r="D56" s="59" t="s">
        <v>3362</v>
      </c>
      <c r="E56" s="58" t="s">
        <v>227</v>
      </c>
      <c r="F56" s="60" t="s">
        <v>3363</v>
      </c>
      <c r="G56" s="58" t="s">
        <v>3364</v>
      </c>
      <c r="H56" s="58"/>
      <c r="I56" s="58" t="s">
        <v>2372</v>
      </c>
      <c r="J56" s="58"/>
      <c r="K56" s="58"/>
      <c r="L56" s="58" t="s">
        <v>3365</v>
      </c>
      <c r="M56" s="58" t="s">
        <v>3366</v>
      </c>
      <c r="N56" s="61" t="s">
        <v>91</v>
      </c>
      <c r="O56" s="58" t="s">
        <v>3202</v>
      </c>
      <c r="P56" s="61" t="n">
        <v>149</v>
      </c>
    </row>
    <row r="57" customFormat="false" ht="32.8" hidden="false" customHeight="false" outlineLevel="0" collapsed="false">
      <c r="A57" s="22" t="s">
        <v>3367</v>
      </c>
      <c r="B57" s="17" t="s">
        <v>3029</v>
      </c>
      <c r="C57" s="17" t="s">
        <v>122</v>
      </c>
      <c r="D57" s="55" t="s">
        <v>3368</v>
      </c>
      <c r="E57" s="17" t="s">
        <v>227</v>
      </c>
      <c r="F57" s="56" t="s">
        <v>3369</v>
      </c>
      <c r="G57" s="17" t="s">
        <v>3370</v>
      </c>
      <c r="H57" s="17"/>
      <c r="I57" s="17" t="s">
        <v>3371</v>
      </c>
      <c r="J57" s="17"/>
      <c r="K57" s="17" t="s">
        <v>407</v>
      </c>
      <c r="L57" s="17" t="s">
        <v>3372</v>
      </c>
      <c r="M57" s="17" t="s">
        <v>3373</v>
      </c>
      <c r="N57" s="15" t="s">
        <v>91</v>
      </c>
      <c r="O57" s="17" t="s">
        <v>3202</v>
      </c>
      <c r="P57" s="15" t="n">
        <v>153</v>
      </c>
    </row>
    <row r="58" customFormat="false" ht="32.8" hidden="false" customHeight="false" outlineLevel="0" collapsed="false">
      <c r="A58" s="57" t="s">
        <v>3374</v>
      </c>
      <c r="B58" s="58" t="s">
        <v>3029</v>
      </c>
      <c r="C58" s="58" t="s">
        <v>122</v>
      </c>
      <c r="D58" s="59" t="s">
        <v>3375</v>
      </c>
      <c r="E58" s="58" t="s">
        <v>227</v>
      </c>
      <c r="F58" s="60" t="s">
        <v>3376</v>
      </c>
      <c r="G58" s="58" t="s">
        <v>3377</v>
      </c>
      <c r="H58" s="58"/>
      <c r="I58" s="58"/>
      <c r="J58" s="58"/>
      <c r="K58" s="58"/>
      <c r="L58" s="58" t="s">
        <v>3378</v>
      </c>
      <c r="M58" s="58"/>
      <c r="N58" s="61" t="s">
        <v>91</v>
      </c>
      <c r="O58" s="58" t="s">
        <v>3202</v>
      </c>
      <c r="P58" s="61" t="n">
        <v>156</v>
      </c>
    </row>
    <row r="59" customFormat="false" ht="22.35" hidden="false" customHeight="false" outlineLevel="0" collapsed="false">
      <c r="A59" s="22" t="s">
        <v>3379</v>
      </c>
      <c r="B59" s="17" t="s">
        <v>3029</v>
      </c>
      <c r="C59" s="17" t="s">
        <v>122</v>
      </c>
      <c r="D59" s="55" t="s">
        <v>3380</v>
      </c>
      <c r="E59" s="17" t="s">
        <v>227</v>
      </c>
      <c r="F59" s="56" t="s">
        <v>3381</v>
      </c>
      <c r="G59" s="17" t="s">
        <v>3382</v>
      </c>
      <c r="H59" s="17"/>
      <c r="I59" s="17" t="s">
        <v>1895</v>
      </c>
      <c r="J59" s="17"/>
      <c r="K59" s="17"/>
      <c r="L59" s="17" t="s">
        <v>3383</v>
      </c>
      <c r="M59" s="17" t="s">
        <v>3384</v>
      </c>
      <c r="N59" s="15" t="s">
        <v>91</v>
      </c>
      <c r="O59" s="17" t="s">
        <v>3202</v>
      </c>
      <c r="P59" s="15" t="n">
        <v>159</v>
      </c>
    </row>
    <row r="60" customFormat="false" ht="22.35" hidden="false" customHeight="false" outlineLevel="0" collapsed="false">
      <c r="A60" s="57" t="s">
        <v>3385</v>
      </c>
      <c r="B60" s="58" t="s">
        <v>3029</v>
      </c>
      <c r="C60" s="58" t="s">
        <v>122</v>
      </c>
      <c r="D60" s="59" t="s">
        <v>3386</v>
      </c>
      <c r="E60" s="58" t="s">
        <v>225</v>
      </c>
      <c r="F60" s="60" t="s">
        <v>3387</v>
      </c>
      <c r="G60" s="58" t="s">
        <v>3388</v>
      </c>
      <c r="H60" s="58"/>
      <c r="I60" s="58" t="s">
        <v>3389</v>
      </c>
      <c r="J60" s="58"/>
      <c r="K60" s="58" t="s">
        <v>3390</v>
      </c>
      <c r="L60" s="58" t="s">
        <v>3391</v>
      </c>
      <c r="M60" s="58" t="s">
        <v>3392</v>
      </c>
      <c r="N60" s="61" t="s">
        <v>91</v>
      </c>
      <c r="O60" s="58" t="s">
        <v>3202</v>
      </c>
      <c r="P60" s="61" t="n">
        <v>162</v>
      </c>
    </row>
    <row r="61" customFormat="false" ht="22.35" hidden="false" customHeight="false" outlineLevel="0" collapsed="false">
      <c r="A61" s="22" t="s">
        <v>3393</v>
      </c>
      <c r="B61" s="17" t="s">
        <v>3029</v>
      </c>
      <c r="C61" s="17" t="s">
        <v>122</v>
      </c>
      <c r="D61" s="55" t="s">
        <v>3394</v>
      </c>
      <c r="E61" s="17" t="s">
        <v>225</v>
      </c>
      <c r="F61" s="56" t="s">
        <v>3395</v>
      </c>
      <c r="G61" s="17" t="s">
        <v>3396</v>
      </c>
      <c r="H61" s="17"/>
      <c r="I61" s="17"/>
      <c r="J61" s="17"/>
      <c r="K61" s="17"/>
      <c r="L61" s="17" t="s">
        <v>3397</v>
      </c>
      <c r="M61" s="17" t="s">
        <v>3398</v>
      </c>
      <c r="N61" s="15" t="s">
        <v>91</v>
      </c>
      <c r="O61" s="17" t="s">
        <v>3202</v>
      </c>
      <c r="P61" s="15" t="n">
        <v>163</v>
      </c>
    </row>
    <row r="62" customFormat="false" ht="15" hidden="false" customHeight="false" outlineLevel="0" collapsed="false">
      <c r="A62" s="57" t="s">
        <v>3399</v>
      </c>
      <c r="B62" s="58" t="s">
        <v>3029</v>
      </c>
      <c r="C62" s="58" t="s">
        <v>122</v>
      </c>
      <c r="D62" s="59" t="s">
        <v>3400</v>
      </c>
      <c r="E62" s="58" t="s">
        <v>225</v>
      </c>
      <c r="F62" s="60" t="s">
        <v>3401</v>
      </c>
      <c r="G62" s="58" t="s">
        <v>3402</v>
      </c>
      <c r="H62" s="58"/>
      <c r="I62" s="58"/>
      <c r="J62" s="58"/>
      <c r="K62" s="58"/>
      <c r="L62" s="58" t="s">
        <v>3403</v>
      </c>
      <c r="M62" s="58" t="s">
        <v>3404</v>
      </c>
      <c r="N62" s="61" t="s">
        <v>91</v>
      </c>
      <c r="O62" s="58" t="s">
        <v>3202</v>
      </c>
      <c r="P62" s="61" t="n">
        <v>164</v>
      </c>
    </row>
    <row r="63" customFormat="false" ht="32.8" hidden="false" customHeight="false" outlineLevel="0" collapsed="false">
      <c r="A63" s="22" t="s">
        <v>3405</v>
      </c>
      <c r="B63" s="17" t="s">
        <v>3029</v>
      </c>
      <c r="C63" s="17" t="s">
        <v>122</v>
      </c>
      <c r="D63" s="55" t="s">
        <v>3406</v>
      </c>
      <c r="E63" s="17" t="s">
        <v>225</v>
      </c>
      <c r="F63" s="56" t="s">
        <v>3407</v>
      </c>
      <c r="G63" s="17" t="s">
        <v>3408</v>
      </c>
      <c r="H63" s="17"/>
      <c r="I63" s="17" t="s">
        <v>3409</v>
      </c>
      <c r="J63" s="17"/>
      <c r="K63" s="17"/>
      <c r="L63" s="17" t="s">
        <v>3410</v>
      </c>
      <c r="M63" s="17" t="s">
        <v>3411</v>
      </c>
      <c r="N63" s="15" t="s">
        <v>91</v>
      </c>
      <c r="O63" s="17" t="s">
        <v>3202</v>
      </c>
      <c r="P63" s="15" t="n">
        <v>165</v>
      </c>
    </row>
    <row r="64" customFormat="false" ht="15" hidden="false" customHeight="false" outlineLevel="0" collapsed="false">
      <c r="A64" s="57" t="s">
        <v>3412</v>
      </c>
      <c r="B64" s="58" t="s">
        <v>3029</v>
      </c>
      <c r="C64" s="58" t="s">
        <v>122</v>
      </c>
      <c r="D64" s="59" t="s">
        <v>3413</v>
      </c>
      <c r="E64" s="58" t="s">
        <v>225</v>
      </c>
      <c r="F64" s="60" t="s">
        <v>3414</v>
      </c>
      <c r="G64" s="58" t="s">
        <v>3415</v>
      </c>
      <c r="H64" s="58"/>
      <c r="I64" s="58" t="s">
        <v>3416</v>
      </c>
      <c r="J64" s="58"/>
      <c r="K64" s="58"/>
      <c r="L64" s="58" t="s">
        <v>3417</v>
      </c>
      <c r="M64" s="58" t="s">
        <v>3418</v>
      </c>
      <c r="N64" s="61" t="s">
        <v>91</v>
      </c>
      <c r="O64" s="58" t="s">
        <v>3202</v>
      </c>
      <c r="P64" s="61" t="n">
        <v>166</v>
      </c>
    </row>
    <row r="65" customFormat="false" ht="22.35" hidden="false" customHeight="false" outlineLevel="0" collapsed="false">
      <c r="A65" s="22" t="s">
        <v>3419</v>
      </c>
      <c r="B65" s="17" t="s">
        <v>3029</v>
      </c>
      <c r="C65" s="17" t="s">
        <v>122</v>
      </c>
      <c r="D65" s="55" t="s">
        <v>3420</v>
      </c>
      <c r="E65" s="17" t="s">
        <v>225</v>
      </c>
      <c r="F65" s="56" t="s">
        <v>3421</v>
      </c>
      <c r="G65" s="17" t="s">
        <v>3422</v>
      </c>
      <c r="H65" s="17"/>
      <c r="I65" s="17" t="s">
        <v>3423</v>
      </c>
      <c r="J65" s="17"/>
      <c r="K65" s="17"/>
      <c r="L65" s="17" t="s">
        <v>3424</v>
      </c>
      <c r="M65" s="17" t="s">
        <v>3425</v>
      </c>
      <c r="N65" s="15" t="s">
        <v>91</v>
      </c>
      <c r="O65" s="17" t="s">
        <v>3202</v>
      </c>
      <c r="P65" s="15" t="n">
        <v>167</v>
      </c>
    </row>
    <row r="66" customFormat="false" ht="22.35" hidden="false" customHeight="false" outlineLevel="0" collapsed="false">
      <c r="A66" s="57" t="s">
        <v>3426</v>
      </c>
      <c r="B66" s="58" t="s">
        <v>3029</v>
      </c>
      <c r="C66" s="58" t="s">
        <v>122</v>
      </c>
      <c r="D66" s="59" t="s">
        <v>3427</v>
      </c>
      <c r="E66" s="58" t="s">
        <v>225</v>
      </c>
      <c r="F66" s="60" t="s">
        <v>3428</v>
      </c>
      <c r="G66" s="58" t="s">
        <v>3429</v>
      </c>
      <c r="H66" s="58"/>
      <c r="I66" s="58" t="s">
        <v>3430</v>
      </c>
      <c r="J66" s="58"/>
      <c r="K66" s="58"/>
      <c r="L66" s="58" t="s">
        <v>3431</v>
      </c>
      <c r="M66" s="58" t="s">
        <v>3432</v>
      </c>
      <c r="N66" s="61" t="s">
        <v>91</v>
      </c>
      <c r="O66" s="58" t="s">
        <v>3202</v>
      </c>
      <c r="P66" s="61" t="n">
        <v>168</v>
      </c>
    </row>
    <row r="67" customFormat="false" ht="22.35" hidden="false" customHeight="false" outlineLevel="0" collapsed="false">
      <c r="A67" s="22" t="s">
        <v>3433</v>
      </c>
      <c r="B67" s="17" t="s">
        <v>3029</v>
      </c>
      <c r="C67" s="17" t="s">
        <v>122</v>
      </c>
      <c r="D67" s="55" t="s">
        <v>3434</v>
      </c>
      <c r="E67" s="17" t="s">
        <v>225</v>
      </c>
      <c r="F67" s="56" t="s">
        <v>3435</v>
      </c>
      <c r="G67" s="17" t="s">
        <v>3436</v>
      </c>
      <c r="H67" s="17" t="s">
        <v>3437</v>
      </c>
      <c r="I67" s="17"/>
      <c r="J67" s="17"/>
      <c r="K67" s="17"/>
      <c r="L67" s="17" t="s">
        <v>3438</v>
      </c>
      <c r="M67" s="17" t="s">
        <v>3439</v>
      </c>
      <c r="N67" s="15" t="s">
        <v>91</v>
      </c>
      <c r="O67" s="17" t="s">
        <v>3202</v>
      </c>
      <c r="P67" s="15" t="n">
        <v>169</v>
      </c>
    </row>
    <row r="68" customFormat="false" ht="53.7" hidden="false" customHeight="false" outlineLevel="0" collapsed="false">
      <c r="A68" s="57" t="s">
        <v>3440</v>
      </c>
      <c r="B68" s="58" t="s">
        <v>3029</v>
      </c>
      <c r="C68" s="58" t="s">
        <v>122</v>
      </c>
      <c r="D68" s="59" t="s">
        <v>3441</v>
      </c>
      <c r="E68" s="58" t="s">
        <v>225</v>
      </c>
      <c r="F68" s="60" t="s">
        <v>3442</v>
      </c>
      <c r="G68" s="58" t="s">
        <v>3443</v>
      </c>
      <c r="H68" s="58" t="s">
        <v>3444</v>
      </c>
      <c r="I68" s="58" t="s">
        <v>3445</v>
      </c>
      <c r="J68" s="58" t="s">
        <v>3446</v>
      </c>
      <c r="K68" s="58" t="s">
        <v>3447</v>
      </c>
      <c r="L68" s="58" t="s">
        <v>3448</v>
      </c>
      <c r="M68" s="58" t="s">
        <v>3449</v>
      </c>
      <c r="N68" s="61" t="s">
        <v>91</v>
      </c>
      <c r="O68" s="58" t="s">
        <v>3202</v>
      </c>
      <c r="P68" s="61" t="n">
        <v>170</v>
      </c>
    </row>
    <row r="69" customFormat="false" ht="22.35" hidden="false" customHeight="false" outlineLevel="0" collapsed="false">
      <c r="A69" s="22" t="s">
        <v>3450</v>
      </c>
      <c r="B69" s="17" t="s">
        <v>3029</v>
      </c>
      <c r="C69" s="17" t="s">
        <v>122</v>
      </c>
      <c r="D69" s="55" t="s">
        <v>3451</v>
      </c>
      <c r="E69" s="17" t="s">
        <v>225</v>
      </c>
      <c r="F69" s="56" t="s">
        <v>3452</v>
      </c>
      <c r="G69" s="17" t="s">
        <v>3453</v>
      </c>
      <c r="H69" s="17" t="s">
        <v>3454</v>
      </c>
      <c r="I69" s="17"/>
      <c r="J69" s="17"/>
      <c r="K69" s="17"/>
      <c r="L69" s="17" t="s">
        <v>3455</v>
      </c>
      <c r="M69" s="17" t="s">
        <v>3456</v>
      </c>
      <c r="N69" s="15" t="s">
        <v>91</v>
      </c>
      <c r="O69" s="17" t="s">
        <v>3202</v>
      </c>
      <c r="P69" s="15" t="n">
        <v>171</v>
      </c>
    </row>
    <row r="70" customFormat="false" ht="32.8" hidden="false" customHeight="false" outlineLevel="0" collapsed="false">
      <c r="A70" s="57" t="s">
        <v>3457</v>
      </c>
      <c r="B70" s="58" t="s">
        <v>3029</v>
      </c>
      <c r="C70" s="58" t="s">
        <v>122</v>
      </c>
      <c r="D70" s="59" t="s">
        <v>3458</v>
      </c>
      <c r="E70" s="58" t="s">
        <v>225</v>
      </c>
      <c r="F70" s="60" t="s">
        <v>3459</v>
      </c>
      <c r="G70" s="58" t="s">
        <v>3460</v>
      </c>
      <c r="H70" s="58" t="s">
        <v>3461</v>
      </c>
      <c r="I70" s="58"/>
      <c r="J70" s="58"/>
      <c r="K70" s="58"/>
      <c r="L70" s="58" t="s">
        <v>3462</v>
      </c>
      <c r="M70" s="58" t="s">
        <v>3463</v>
      </c>
      <c r="N70" s="61" t="s">
        <v>91</v>
      </c>
      <c r="O70" s="58" t="s">
        <v>3202</v>
      </c>
      <c r="P70" s="61" t="n">
        <v>172</v>
      </c>
    </row>
    <row r="71" customFormat="false" ht="15" hidden="false" customHeight="false" outlineLevel="0" collapsed="false">
      <c r="A71" s="22" t="s">
        <v>3464</v>
      </c>
      <c r="B71" s="17" t="s">
        <v>3029</v>
      </c>
      <c r="C71" s="17" t="s">
        <v>122</v>
      </c>
      <c r="D71" s="55" t="s">
        <v>3465</v>
      </c>
      <c r="E71" s="17" t="s">
        <v>225</v>
      </c>
      <c r="F71" s="56" t="s">
        <v>3466</v>
      </c>
      <c r="G71" s="17" t="s">
        <v>3467</v>
      </c>
      <c r="H71" s="17" t="s">
        <v>3468</v>
      </c>
      <c r="I71" s="17"/>
      <c r="J71" s="17"/>
      <c r="K71" s="17"/>
      <c r="L71" s="17" t="s">
        <v>3469</v>
      </c>
      <c r="M71" s="17" t="s">
        <v>3470</v>
      </c>
      <c r="N71" s="15" t="s">
        <v>91</v>
      </c>
      <c r="O71" s="17" t="s">
        <v>3202</v>
      </c>
      <c r="P71" s="15" t="n">
        <v>173</v>
      </c>
    </row>
    <row r="72" customFormat="false" ht="32.8" hidden="false" customHeight="false" outlineLevel="0" collapsed="false">
      <c r="A72" s="57" t="s">
        <v>3471</v>
      </c>
      <c r="B72" s="58" t="s">
        <v>3029</v>
      </c>
      <c r="C72" s="58" t="s">
        <v>122</v>
      </c>
      <c r="D72" s="59" t="s">
        <v>3472</v>
      </c>
      <c r="E72" s="58" t="s">
        <v>225</v>
      </c>
      <c r="F72" s="60" t="s">
        <v>3473</v>
      </c>
      <c r="G72" s="58" t="s">
        <v>3474</v>
      </c>
      <c r="H72" s="58" t="s">
        <v>3454</v>
      </c>
      <c r="I72" s="58"/>
      <c r="J72" s="58"/>
      <c r="K72" s="58"/>
      <c r="L72" s="58" t="s">
        <v>3475</v>
      </c>
      <c r="M72" s="58" t="s">
        <v>3476</v>
      </c>
      <c r="N72" s="61" t="s">
        <v>91</v>
      </c>
      <c r="O72" s="58" t="s">
        <v>3202</v>
      </c>
      <c r="P72" s="61" t="n">
        <v>174</v>
      </c>
    </row>
    <row r="73" customFormat="false" ht="32.8" hidden="false" customHeight="false" outlineLevel="0" collapsed="false">
      <c r="A73" s="22" t="s">
        <v>3477</v>
      </c>
      <c r="B73" s="17" t="s">
        <v>3029</v>
      </c>
      <c r="C73" s="17" t="s">
        <v>122</v>
      </c>
      <c r="D73" s="55" t="s">
        <v>3478</v>
      </c>
      <c r="E73" s="17" t="s">
        <v>225</v>
      </c>
      <c r="F73" s="56" t="s">
        <v>3479</v>
      </c>
      <c r="G73" s="17" t="s">
        <v>3480</v>
      </c>
      <c r="H73" s="17" t="s">
        <v>3481</v>
      </c>
      <c r="I73" s="17"/>
      <c r="J73" s="17"/>
      <c r="K73" s="17"/>
      <c r="L73" s="17" t="s">
        <v>3482</v>
      </c>
      <c r="M73" s="17" t="s">
        <v>3483</v>
      </c>
      <c r="N73" s="15" t="s">
        <v>91</v>
      </c>
      <c r="O73" s="17" t="s">
        <v>3202</v>
      </c>
      <c r="P73" s="15" t="n">
        <v>175</v>
      </c>
    </row>
    <row r="74" customFormat="false" ht="22.35" hidden="false" customHeight="false" outlineLevel="0" collapsed="false">
      <c r="A74" s="57" t="s">
        <v>3484</v>
      </c>
      <c r="B74" s="58" t="s">
        <v>3029</v>
      </c>
      <c r="C74" s="58" t="s">
        <v>122</v>
      </c>
      <c r="D74" s="59" t="s">
        <v>3485</v>
      </c>
      <c r="E74" s="58" t="s">
        <v>225</v>
      </c>
      <c r="F74" s="60" t="s">
        <v>3486</v>
      </c>
      <c r="G74" s="58" t="s">
        <v>3487</v>
      </c>
      <c r="H74" s="58" t="s">
        <v>3454</v>
      </c>
      <c r="I74" s="58"/>
      <c r="J74" s="58"/>
      <c r="K74" s="58"/>
      <c r="L74" s="58" t="s">
        <v>3488</v>
      </c>
      <c r="M74" s="58" t="s">
        <v>3489</v>
      </c>
      <c r="N74" s="61" t="s">
        <v>91</v>
      </c>
      <c r="O74" s="58" t="s">
        <v>3202</v>
      </c>
      <c r="P74" s="61" t="n">
        <v>177</v>
      </c>
    </row>
    <row r="75" customFormat="false" ht="22.35" hidden="false" customHeight="false" outlineLevel="0" collapsed="false">
      <c r="A75" s="22" t="s">
        <v>3490</v>
      </c>
      <c r="B75" s="17" t="s">
        <v>3029</v>
      </c>
      <c r="C75" s="17" t="s">
        <v>122</v>
      </c>
      <c r="D75" s="55" t="s">
        <v>3491</v>
      </c>
      <c r="E75" s="17" t="s">
        <v>225</v>
      </c>
      <c r="F75" s="56" t="s">
        <v>3492</v>
      </c>
      <c r="G75" s="17" t="s">
        <v>3493</v>
      </c>
      <c r="H75" s="17"/>
      <c r="I75" s="17" t="s">
        <v>3494</v>
      </c>
      <c r="J75" s="17"/>
      <c r="K75" s="17"/>
      <c r="L75" s="17" t="s">
        <v>3495</v>
      </c>
      <c r="M75" s="17" t="s">
        <v>3496</v>
      </c>
      <c r="N75" s="15" t="s">
        <v>91</v>
      </c>
      <c r="O75" s="17" t="s">
        <v>3202</v>
      </c>
      <c r="P75" s="15" t="n">
        <v>178</v>
      </c>
    </row>
    <row r="76" customFormat="false" ht="32.8" hidden="false" customHeight="false" outlineLevel="0" collapsed="false">
      <c r="A76" s="57" t="s">
        <v>3497</v>
      </c>
      <c r="B76" s="58" t="s">
        <v>3029</v>
      </c>
      <c r="C76" s="58" t="s">
        <v>122</v>
      </c>
      <c r="D76" s="59" t="s">
        <v>3498</v>
      </c>
      <c r="E76" s="58" t="s">
        <v>225</v>
      </c>
      <c r="F76" s="60" t="s">
        <v>3499</v>
      </c>
      <c r="G76" s="58" t="s">
        <v>3500</v>
      </c>
      <c r="H76" s="58"/>
      <c r="I76" s="58" t="s">
        <v>3501</v>
      </c>
      <c r="J76" s="58"/>
      <c r="K76" s="58"/>
      <c r="L76" s="58" t="s">
        <v>3502</v>
      </c>
      <c r="M76" s="58" t="s">
        <v>3503</v>
      </c>
      <c r="N76" s="61" t="s">
        <v>91</v>
      </c>
      <c r="O76" s="58" t="s">
        <v>3202</v>
      </c>
      <c r="P76" s="61" t="n">
        <v>179</v>
      </c>
    </row>
    <row r="77" customFormat="false" ht="32.8" hidden="false" customHeight="false" outlineLevel="0" collapsed="false">
      <c r="A77" s="22" t="s">
        <v>3504</v>
      </c>
      <c r="B77" s="17" t="s">
        <v>3029</v>
      </c>
      <c r="C77" s="17" t="s">
        <v>122</v>
      </c>
      <c r="D77" s="55" t="s">
        <v>3505</v>
      </c>
      <c r="E77" s="17" t="s">
        <v>225</v>
      </c>
      <c r="F77" s="56" t="s">
        <v>3506</v>
      </c>
      <c r="G77" s="17" t="s">
        <v>3507</v>
      </c>
      <c r="H77" s="17"/>
      <c r="I77" s="17" t="s">
        <v>3508</v>
      </c>
      <c r="J77" s="17"/>
      <c r="K77" s="17"/>
      <c r="L77" s="17" t="s">
        <v>3509</v>
      </c>
      <c r="M77" s="17" t="s">
        <v>3510</v>
      </c>
      <c r="N77" s="15" t="s">
        <v>91</v>
      </c>
      <c r="O77" s="17" t="s">
        <v>3202</v>
      </c>
      <c r="P77" s="15" t="n">
        <v>180</v>
      </c>
    </row>
    <row r="78" customFormat="false" ht="32.8" hidden="false" customHeight="false" outlineLevel="0" collapsed="false">
      <c r="A78" s="57" t="s">
        <v>3511</v>
      </c>
      <c r="B78" s="58" t="s">
        <v>3029</v>
      </c>
      <c r="C78" s="58" t="s">
        <v>122</v>
      </c>
      <c r="D78" s="59" t="s">
        <v>3512</v>
      </c>
      <c r="E78" s="58" t="s">
        <v>225</v>
      </c>
      <c r="F78" s="60" t="s">
        <v>3513</v>
      </c>
      <c r="G78" s="58" t="s">
        <v>3514</v>
      </c>
      <c r="H78" s="58"/>
      <c r="I78" s="58" t="s">
        <v>3515</v>
      </c>
      <c r="J78" s="58"/>
      <c r="K78" s="58"/>
      <c r="L78" s="58" t="s">
        <v>3516</v>
      </c>
      <c r="M78" s="58" t="s">
        <v>3517</v>
      </c>
      <c r="N78" s="61" t="s">
        <v>91</v>
      </c>
      <c r="O78" s="58" t="s">
        <v>3202</v>
      </c>
      <c r="P78" s="61" t="n">
        <v>181</v>
      </c>
    </row>
    <row r="79" customFormat="false" ht="32.8" hidden="false" customHeight="false" outlineLevel="0" collapsed="false">
      <c r="A79" s="22" t="s">
        <v>3518</v>
      </c>
      <c r="B79" s="17" t="s">
        <v>3029</v>
      </c>
      <c r="C79" s="17" t="s">
        <v>122</v>
      </c>
      <c r="D79" s="55" t="s">
        <v>3519</v>
      </c>
      <c r="E79" s="17" t="s">
        <v>225</v>
      </c>
      <c r="F79" s="56" t="s">
        <v>3520</v>
      </c>
      <c r="G79" s="17" t="s">
        <v>3521</v>
      </c>
      <c r="H79" s="17"/>
      <c r="I79" s="17"/>
      <c r="J79" s="17" t="s">
        <v>3522</v>
      </c>
      <c r="K79" s="17" t="s">
        <v>485</v>
      </c>
      <c r="L79" s="17" t="s">
        <v>3523</v>
      </c>
      <c r="M79" s="17" t="s">
        <v>3524</v>
      </c>
      <c r="N79" s="15" t="s">
        <v>91</v>
      </c>
      <c r="O79" s="17" t="s">
        <v>3202</v>
      </c>
      <c r="P79" s="15" t="n">
        <v>182</v>
      </c>
    </row>
    <row r="80" customFormat="false" ht="22.35" hidden="false" customHeight="false" outlineLevel="0" collapsed="false">
      <c r="A80" s="57" t="s">
        <v>3525</v>
      </c>
      <c r="B80" s="58" t="s">
        <v>3029</v>
      </c>
      <c r="C80" s="58" t="s">
        <v>122</v>
      </c>
      <c r="D80" s="59" t="s">
        <v>3526</v>
      </c>
      <c r="E80" s="58" t="s">
        <v>225</v>
      </c>
      <c r="F80" s="60" t="s">
        <v>3527</v>
      </c>
      <c r="G80" s="58" t="s">
        <v>3528</v>
      </c>
      <c r="H80" s="58" t="s">
        <v>3529</v>
      </c>
      <c r="I80" s="58"/>
      <c r="J80" s="58"/>
      <c r="K80" s="58"/>
      <c r="L80" s="58" t="s">
        <v>3530</v>
      </c>
      <c r="M80" s="58" t="s">
        <v>3531</v>
      </c>
      <c r="N80" s="61" t="s">
        <v>91</v>
      </c>
      <c r="O80" s="58" t="s">
        <v>3202</v>
      </c>
      <c r="P80" s="61" t="n">
        <v>183</v>
      </c>
    </row>
    <row r="81" customFormat="false" ht="32.8" hidden="false" customHeight="false" outlineLevel="0" collapsed="false">
      <c r="A81" s="22" t="s">
        <v>3532</v>
      </c>
      <c r="B81" s="17" t="s">
        <v>3029</v>
      </c>
      <c r="C81" s="17" t="s">
        <v>122</v>
      </c>
      <c r="D81" s="55" t="s">
        <v>3533</v>
      </c>
      <c r="E81" s="17" t="s">
        <v>221</v>
      </c>
      <c r="F81" s="56" t="s">
        <v>3534</v>
      </c>
      <c r="G81" s="17" t="s">
        <v>3535</v>
      </c>
      <c r="H81" s="17" t="s">
        <v>3536</v>
      </c>
      <c r="I81" s="17"/>
      <c r="J81" s="17"/>
      <c r="K81" s="17"/>
      <c r="L81" s="17" t="s">
        <v>3537</v>
      </c>
      <c r="M81" s="17" t="s">
        <v>3538</v>
      </c>
      <c r="N81" s="15" t="s">
        <v>91</v>
      </c>
      <c r="O81" s="17" t="s">
        <v>3202</v>
      </c>
      <c r="P81" s="15" t="n">
        <v>191</v>
      </c>
    </row>
    <row r="82" customFormat="false" ht="22.35" hidden="false" customHeight="false" outlineLevel="0" collapsed="false">
      <c r="A82" s="57" t="s">
        <v>3539</v>
      </c>
      <c r="B82" s="58" t="s">
        <v>3029</v>
      </c>
      <c r="C82" s="58" t="s">
        <v>122</v>
      </c>
      <c r="D82" s="59" t="s">
        <v>3540</v>
      </c>
      <c r="E82" s="58" t="s">
        <v>221</v>
      </c>
      <c r="F82" s="60" t="s">
        <v>3541</v>
      </c>
      <c r="G82" s="58" t="s">
        <v>3542</v>
      </c>
      <c r="H82" s="58" t="s">
        <v>3543</v>
      </c>
      <c r="I82" s="58" t="s">
        <v>3235</v>
      </c>
      <c r="J82" s="58"/>
      <c r="K82" s="58"/>
      <c r="L82" s="58" t="s">
        <v>3544</v>
      </c>
      <c r="M82" s="58" t="s">
        <v>3545</v>
      </c>
      <c r="N82" s="61" t="s">
        <v>91</v>
      </c>
      <c r="O82" s="58" t="s">
        <v>3202</v>
      </c>
      <c r="P82" s="61" t="n">
        <v>193</v>
      </c>
    </row>
    <row r="83" customFormat="false" ht="32.8" hidden="false" customHeight="false" outlineLevel="0" collapsed="false">
      <c r="A83" s="22" t="s">
        <v>3546</v>
      </c>
      <c r="B83" s="17" t="s">
        <v>3029</v>
      </c>
      <c r="C83" s="17" t="s">
        <v>122</v>
      </c>
      <c r="D83" s="55" t="s">
        <v>3547</v>
      </c>
      <c r="E83" s="17" t="s">
        <v>221</v>
      </c>
      <c r="F83" s="56" t="s">
        <v>3548</v>
      </c>
      <c r="G83" s="17" t="s">
        <v>3549</v>
      </c>
      <c r="H83" s="17"/>
      <c r="I83" s="17" t="s">
        <v>3550</v>
      </c>
      <c r="J83" s="17"/>
      <c r="K83" s="17"/>
      <c r="L83" s="17" t="s">
        <v>3551</v>
      </c>
      <c r="M83" s="17" t="s">
        <v>3552</v>
      </c>
      <c r="N83" s="15" t="s">
        <v>91</v>
      </c>
      <c r="O83" s="17" t="s">
        <v>3202</v>
      </c>
      <c r="P83" s="15" t="n">
        <v>202</v>
      </c>
    </row>
    <row r="84" customFormat="false" ht="22.35" hidden="false" customHeight="false" outlineLevel="0" collapsed="false">
      <c r="A84" s="57" t="s">
        <v>3553</v>
      </c>
      <c r="B84" s="58" t="s">
        <v>3029</v>
      </c>
      <c r="C84" s="58" t="s">
        <v>122</v>
      </c>
      <c r="D84" s="59" t="s">
        <v>3554</v>
      </c>
      <c r="E84" s="58" t="s">
        <v>221</v>
      </c>
      <c r="F84" s="60" t="s">
        <v>3555</v>
      </c>
      <c r="G84" s="58" t="s">
        <v>3556</v>
      </c>
      <c r="H84" s="58"/>
      <c r="I84" s="58" t="s">
        <v>3557</v>
      </c>
      <c r="J84" s="58"/>
      <c r="K84" s="58"/>
      <c r="L84" s="58" t="s">
        <v>3558</v>
      </c>
      <c r="M84" s="58" t="s">
        <v>3559</v>
      </c>
      <c r="N84" s="61" t="s">
        <v>91</v>
      </c>
      <c r="O84" s="58" t="s">
        <v>3202</v>
      </c>
      <c r="P84" s="61" t="n">
        <v>203</v>
      </c>
    </row>
    <row r="85" customFormat="false" ht="32.8" hidden="false" customHeight="false" outlineLevel="0" collapsed="false">
      <c r="A85" s="22" t="s">
        <v>3560</v>
      </c>
      <c r="B85" s="17" t="s">
        <v>3029</v>
      </c>
      <c r="C85" s="17" t="s">
        <v>122</v>
      </c>
      <c r="D85" s="55" t="s">
        <v>3561</v>
      </c>
      <c r="E85" s="17" t="s">
        <v>221</v>
      </c>
      <c r="F85" s="56" t="s">
        <v>3562</v>
      </c>
      <c r="G85" s="17" t="s">
        <v>3563</v>
      </c>
      <c r="H85" s="17"/>
      <c r="I85" s="17"/>
      <c r="J85" s="17"/>
      <c r="K85" s="17"/>
      <c r="L85" s="17" t="s">
        <v>3564</v>
      </c>
      <c r="M85" s="17" t="s">
        <v>3565</v>
      </c>
      <c r="N85" s="15" t="s">
        <v>91</v>
      </c>
      <c r="O85" s="17" t="s">
        <v>3202</v>
      </c>
      <c r="P85" s="15" t="n">
        <v>206</v>
      </c>
    </row>
    <row r="86" customFormat="false" ht="22.35" hidden="false" customHeight="false" outlineLevel="0" collapsed="false">
      <c r="A86" s="57" t="s">
        <v>3566</v>
      </c>
      <c r="B86" s="58" t="s">
        <v>3029</v>
      </c>
      <c r="C86" s="58" t="s">
        <v>122</v>
      </c>
      <c r="D86" s="59" t="s">
        <v>3567</v>
      </c>
      <c r="E86" s="58" t="s">
        <v>221</v>
      </c>
      <c r="F86" s="60" t="s">
        <v>3568</v>
      </c>
      <c r="G86" s="58" t="s">
        <v>3569</v>
      </c>
      <c r="H86" s="58" t="s">
        <v>3570</v>
      </c>
      <c r="I86" s="58" t="s">
        <v>485</v>
      </c>
      <c r="J86" s="58" t="s">
        <v>3571</v>
      </c>
      <c r="K86" s="58" t="s">
        <v>485</v>
      </c>
      <c r="L86" s="58" t="s">
        <v>3572</v>
      </c>
      <c r="M86" s="58" t="s">
        <v>3573</v>
      </c>
      <c r="N86" s="61" t="s">
        <v>91</v>
      </c>
      <c r="O86" s="58" t="s">
        <v>3202</v>
      </c>
      <c r="P86" s="61" t="n">
        <v>209</v>
      </c>
    </row>
    <row r="87" customFormat="false" ht="22.35" hidden="false" customHeight="false" outlineLevel="0" collapsed="false">
      <c r="A87" s="22" t="s">
        <v>3574</v>
      </c>
      <c r="B87" s="17" t="s">
        <v>3029</v>
      </c>
      <c r="C87" s="17" t="s">
        <v>122</v>
      </c>
      <c r="D87" s="55" t="s">
        <v>3575</v>
      </c>
      <c r="E87" s="17" t="s">
        <v>221</v>
      </c>
      <c r="F87" s="56" t="s">
        <v>3576</v>
      </c>
      <c r="G87" s="17" t="s">
        <v>3577</v>
      </c>
      <c r="H87" s="17" t="s">
        <v>3578</v>
      </c>
      <c r="I87" s="17" t="s">
        <v>485</v>
      </c>
      <c r="J87" s="17" t="s">
        <v>3579</v>
      </c>
      <c r="K87" s="17" t="s">
        <v>485</v>
      </c>
      <c r="L87" s="17" t="s">
        <v>3580</v>
      </c>
      <c r="M87" s="17" t="s">
        <v>3581</v>
      </c>
      <c r="N87" s="15" t="s">
        <v>91</v>
      </c>
      <c r="O87" s="17" t="s">
        <v>3202</v>
      </c>
      <c r="P87" s="15" t="n">
        <v>211</v>
      </c>
    </row>
    <row r="88" customFormat="false" ht="32.8" hidden="false" customHeight="false" outlineLevel="0" collapsed="false">
      <c r="A88" s="57" t="s">
        <v>3582</v>
      </c>
      <c r="B88" s="58" t="s">
        <v>3029</v>
      </c>
      <c r="C88" s="58" t="s">
        <v>123</v>
      </c>
      <c r="D88" s="59" t="s">
        <v>3583</v>
      </c>
      <c r="E88" s="58" t="s">
        <v>235</v>
      </c>
      <c r="F88" s="60" t="s">
        <v>3584</v>
      </c>
      <c r="G88" s="58" t="s">
        <v>3585</v>
      </c>
      <c r="H88" s="58"/>
      <c r="I88" s="58"/>
      <c r="J88" s="58"/>
      <c r="K88" s="58"/>
      <c r="L88" s="58" t="s">
        <v>3586</v>
      </c>
      <c r="M88" s="58" t="s">
        <v>3587</v>
      </c>
      <c r="N88" s="61" t="s">
        <v>91</v>
      </c>
      <c r="O88" s="58" t="s">
        <v>3588</v>
      </c>
      <c r="P88" s="61" t="n">
        <v>104</v>
      </c>
    </row>
    <row r="89" customFormat="false" ht="22.35" hidden="false" customHeight="false" outlineLevel="0" collapsed="false">
      <c r="A89" s="22" t="s">
        <v>3589</v>
      </c>
      <c r="B89" s="17" t="s">
        <v>3029</v>
      </c>
      <c r="C89" s="17" t="s">
        <v>123</v>
      </c>
      <c r="D89" s="55" t="s">
        <v>3590</v>
      </c>
      <c r="E89" s="17" t="s">
        <v>221</v>
      </c>
      <c r="F89" s="56" t="s">
        <v>3591</v>
      </c>
      <c r="G89" s="17" t="s">
        <v>3592</v>
      </c>
      <c r="H89" s="17"/>
      <c r="I89" s="17" t="s">
        <v>1113</v>
      </c>
      <c r="J89" s="17"/>
      <c r="K89" s="17" t="s">
        <v>492</v>
      </c>
      <c r="L89" s="17" t="s">
        <v>3593</v>
      </c>
      <c r="M89" s="17" t="s">
        <v>3594</v>
      </c>
      <c r="N89" s="15" t="s">
        <v>91</v>
      </c>
      <c r="O89" s="17" t="s">
        <v>3588</v>
      </c>
      <c r="P89" s="15" t="n">
        <v>110</v>
      </c>
    </row>
    <row r="90" customFormat="false" ht="22.35" hidden="false" customHeight="false" outlineLevel="0" collapsed="false">
      <c r="A90" s="57" t="s">
        <v>3595</v>
      </c>
      <c r="B90" s="58" t="s">
        <v>3029</v>
      </c>
      <c r="C90" s="58" t="s">
        <v>123</v>
      </c>
      <c r="D90" s="59" t="s">
        <v>3596</v>
      </c>
      <c r="E90" s="58" t="s">
        <v>221</v>
      </c>
      <c r="F90" s="60" t="s">
        <v>3597</v>
      </c>
      <c r="G90" s="58" t="s">
        <v>3598</v>
      </c>
      <c r="H90" s="58" t="s">
        <v>3187</v>
      </c>
      <c r="I90" s="58"/>
      <c r="J90" s="58"/>
      <c r="K90" s="58"/>
      <c r="L90" s="58" t="s">
        <v>3599</v>
      </c>
      <c r="M90" s="58" t="s">
        <v>3600</v>
      </c>
      <c r="N90" s="61" t="s">
        <v>91</v>
      </c>
      <c r="O90" s="58" t="s">
        <v>3588</v>
      </c>
      <c r="P90" s="61" t="n">
        <v>111</v>
      </c>
    </row>
    <row r="91" customFormat="false" ht="22.35" hidden="false" customHeight="false" outlineLevel="0" collapsed="false">
      <c r="A91" s="22" t="s">
        <v>3601</v>
      </c>
      <c r="B91" s="17" t="s">
        <v>3029</v>
      </c>
      <c r="C91" s="17" t="s">
        <v>123</v>
      </c>
      <c r="D91" s="55" t="s">
        <v>3602</v>
      </c>
      <c r="E91" s="17" t="s">
        <v>221</v>
      </c>
      <c r="F91" s="56" t="s">
        <v>3603</v>
      </c>
      <c r="G91" s="17" t="s">
        <v>3604</v>
      </c>
      <c r="H91" s="17" t="s">
        <v>3605</v>
      </c>
      <c r="I91" s="17"/>
      <c r="J91" s="17"/>
      <c r="K91" s="17"/>
      <c r="L91" s="17" t="s">
        <v>3188</v>
      </c>
      <c r="M91" s="17" t="s">
        <v>3606</v>
      </c>
      <c r="N91" s="15" t="s">
        <v>91</v>
      </c>
      <c r="O91" s="17" t="s">
        <v>3588</v>
      </c>
      <c r="P91" s="15" t="n">
        <v>112</v>
      </c>
    </row>
    <row r="92" customFormat="false" ht="15" hidden="false" customHeight="false" outlineLevel="0" collapsed="false">
      <c r="A92" s="57" t="s">
        <v>3607</v>
      </c>
      <c r="B92" s="58" t="s">
        <v>3029</v>
      </c>
      <c r="C92" s="58" t="s">
        <v>123</v>
      </c>
      <c r="D92" s="59" t="s">
        <v>3608</v>
      </c>
      <c r="E92" s="58" t="s">
        <v>227</v>
      </c>
      <c r="F92" s="60" t="s">
        <v>3609</v>
      </c>
      <c r="G92" s="58" t="s">
        <v>3610</v>
      </c>
      <c r="H92" s="58"/>
      <c r="I92" s="58"/>
      <c r="J92" s="58"/>
      <c r="K92" s="58"/>
      <c r="L92" s="58" t="s">
        <v>3188</v>
      </c>
      <c r="M92" s="58"/>
      <c r="N92" s="61" t="s">
        <v>91</v>
      </c>
      <c r="O92" s="58" t="s">
        <v>3588</v>
      </c>
      <c r="P92" s="61" t="n">
        <v>115</v>
      </c>
    </row>
    <row r="93" customFormat="false" ht="32.8" hidden="false" customHeight="false" outlineLevel="0" collapsed="false">
      <c r="A93" s="22" t="s">
        <v>3611</v>
      </c>
      <c r="B93" s="17" t="s">
        <v>3029</v>
      </c>
      <c r="C93" s="17" t="s">
        <v>123</v>
      </c>
      <c r="D93" s="55" t="s">
        <v>3612</v>
      </c>
      <c r="E93" s="17" t="s">
        <v>227</v>
      </c>
      <c r="F93" s="56" t="s">
        <v>3613</v>
      </c>
      <c r="G93" s="17" t="s">
        <v>3614</v>
      </c>
      <c r="H93" s="17"/>
      <c r="I93" s="17"/>
      <c r="J93" s="17"/>
      <c r="K93" s="17"/>
      <c r="L93" s="17" t="s">
        <v>3615</v>
      </c>
      <c r="M93" s="17"/>
      <c r="N93" s="15" t="s">
        <v>91</v>
      </c>
      <c r="O93" s="17" t="s">
        <v>3588</v>
      </c>
      <c r="P93" s="15" t="n">
        <v>116</v>
      </c>
    </row>
    <row r="94" customFormat="false" ht="22.35" hidden="false" customHeight="false" outlineLevel="0" collapsed="false">
      <c r="A94" s="57" t="s">
        <v>3616</v>
      </c>
      <c r="B94" s="58" t="s">
        <v>3029</v>
      </c>
      <c r="C94" s="58" t="s">
        <v>124</v>
      </c>
      <c r="D94" s="59" t="s">
        <v>3617</v>
      </c>
      <c r="E94" s="58" t="s">
        <v>235</v>
      </c>
      <c r="F94" s="60" t="s">
        <v>3618</v>
      </c>
      <c r="G94" s="58" t="s">
        <v>3619</v>
      </c>
      <c r="H94" s="58"/>
      <c r="I94" s="58"/>
      <c r="J94" s="58"/>
      <c r="K94" s="58"/>
      <c r="L94" s="58" t="s">
        <v>3620</v>
      </c>
      <c r="M94" s="58" t="s">
        <v>3587</v>
      </c>
      <c r="N94" s="61" t="s">
        <v>91</v>
      </c>
      <c r="O94" s="58" t="s">
        <v>1399</v>
      </c>
      <c r="P94" s="61" t="n">
        <v>12</v>
      </c>
    </row>
    <row r="95" customFormat="false" ht="22.35" hidden="false" customHeight="false" outlineLevel="0" collapsed="false">
      <c r="A95" s="22" t="s">
        <v>3621</v>
      </c>
      <c r="B95" s="17" t="s">
        <v>3029</v>
      </c>
      <c r="C95" s="17" t="s">
        <v>124</v>
      </c>
      <c r="D95" s="55" t="s">
        <v>3622</v>
      </c>
      <c r="E95" s="17" t="s">
        <v>221</v>
      </c>
      <c r="F95" s="56" t="s">
        <v>3623</v>
      </c>
      <c r="G95" s="17" t="s">
        <v>3624</v>
      </c>
      <c r="H95" s="17" t="s">
        <v>3625</v>
      </c>
      <c r="I95" s="17"/>
      <c r="J95" s="17"/>
      <c r="K95" s="17"/>
      <c r="L95" s="17" t="s">
        <v>3626</v>
      </c>
      <c r="M95" s="17"/>
      <c r="N95" s="15" t="s">
        <v>91</v>
      </c>
      <c r="O95" s="17" t="s">
        <v>1399</v>
      </c>
      <c r="P95" s="15" t="n">
        <v>18</v>
      </c>
    </row>
    <row r="96" customFormat="false" ht="32.8" hidden="false" customHeight="false" outlineLevel="0" collapsed="false">
      <c r="A96" s="57" t="s">
        <v>3627</v>
      </c>
      <c r="B96" s="58" t="s">
        <v>3029</v>
      </c>
      <c r="C96" s="58" t="s">
        <v>124</v>
      </c>
      <c r="D96" s="59" t="s">
        <v>3628</v>
      </c>
      <c r="E96" s="58" t="s">
        <v>221</v>
      </c>
      <c r="F96" s="60" t="s">
        <v>3629</v>
      </c>
      <c r="G96" s="58" t="s">
        <v>3630</v>
      </c>
      <c r="H96" s="58" t="s">
        <v>3187</v>
      </c>
      <c r="I96" s="58"/>
      <c r="J96" s="58"/>
      <c r="K96" s="58"/>
      <c r="L96" s="58" t="s">
        <v>3188</v>
      </c>
      <c r="M96" s="58" t="s">
        <v>3631</v>
      </c>
      <c r="N96" s="61" t="s">
        <v>91</v>
      </c>
      <c r="O96" s="58" t="s">
        <v>1399</v>
      </c>
      <c r="P96" s="61" t="n">
        <v>19</v>
      </c>
    </row>
    <row r="97" customFormat="false" ht="15" hidden="false" customHeight="false" outlineLevel="0" collapsed="false">
      <c r="A97" s="22" t="s">
        <v>3632</v>
      </c>
      <c r="B97" s="17" t="s">
        <v>3029</v>
      </c>
      <c r="C97" s="17" t="s">
        <v>124</v>
      </c>
      <c r="D97" s="55" t="s">
        <v>3633</v>
      </c>
      <c r="E97" s="17" t="s">
        <v>221</v>
      </c>
      <c r="F97" s="56" t="s">
        <v>3634</v>
      </c>
      <c r="G97" s="17" t="s">
        <v>3635</v>
      </c>
      <c r="H97" s="17"/>
      <c r="I97" s="17"/>
      <c r="J97" s="17"/>
      <c r="K97" s="17"/>
      <c r="L97" s="17" t="s">
        <v>3636</v>
      </c>
      <c r="M97" s="17"/>
      <c r="N97" s="15" t="s">
        <v>91</v>
      </c>
      <c r="O97" s="17" t="s">
        <v>1399</v>
      </c>
      <c r="P97" s="15" t="n">
        <v>20</v>
      </c>
    </row>
    <row r="98" customFormat="false" ht="22.35" hidden="false" customHeight="false" outlineLevel="0" collapsed="false">
      <c r="A98" s="57" t="s">
        <v>3637</v>
      </c>
      <c r="B98" s="58" t="s">
        <v>3029</v>
      </c>
      <c r="C98" s="58" t="s">
        <v>124</v>
      </c>
      <c r="D98" s="59" t="s">
        <v>3638</v>
      </c>
      <c r="E98" s="58" t="s">
        <v>221</v>
      </c>
      <c r="F98" s="60" t="s">
        <v>3639</v>
      </c>
      <c r="G98" s="58" t="s">
        <v>3640</v>
      </c>
      <c r="H98" s="58" t="s">
        <v>3641</v>
      </c>
      <c r="I98" s="58" t="s">
        <v>3642</v>
      </c>
      <c r="J98" s="58"/>
      <c r="K98" s="58"/>
      <c r="L98" s="58" t="s">
        <v>3643</v>
      </c>
      <c r="M98" s="58" t="s">
        <v>3644</v>
      </c>
      <c r="N98" s="61" t="s">
        <v>91</v>
      </c>
      <c r="O98" s="58" t="s">
        <v>1399</v>
      </c>
      <c r="P98" s="61" t="n">
        <v>24</v>
      </c>
    </row>
    <row r="99" customFormat="false" ht="53.7" hidden="false" customHeight="false" outlineLevel="0" collapsed="false">
      <c r="A99" s="22" t="s">
        <v>3645</v>
      </c>
      <c r="B99" s="17" t="s">
        <v>3029</v>
      </c>
      <c r="C99" s="17" t="s">
        <v>125</v>
      </c>
      <c r="D99" s="55" t="s">
        <v>3646</v>
      </c>
      <c r="E99" s="17" t="s">
        <v>235</v>
      </c>
      <c r="F99" s="56" t="s">
        <v>3647</v>
      </c>
      <c r="G99" s="17" t="s">
        <v>3648</v>
      </c>
      <c r="H99" s="17"/>
      <c r="I99" s="17"/>
      <c r="J99" s="17"/>
      <c r="K99" s="17"/>
      <c r="L99" s="17" t="s">
        <v>3649</v>
      </c>
      <c r="M99" s="17" t="s">
        <v>3650</v>
      </c>
      <c r="N99" s="15" t="s">
        <v>91</v>
      </c>
      <c r="O99" s="17" t="s">
        <v>3651</v>
      </c>
      <c r="P99" s="15" t="n">
        <v>50</v>
      </c>
    </row>
    <row r="100" customFormat="false" ht="53.7" hidden="false" customHeight="false" outlineLevel="0" collapsed="false">
      <c r="A100" s="57" t="s">
        <v>3652</v>
      </c>
      <c r="B100" s="58" t="s">
        <v>3029</v>
      </c>
      <c r="C100" s="58" t="s">
        <v>125</v>
      </c>
      <c r="D100" s="59" t="s">
        <v>3653</v>
      </c>
      <c r="E100" s="58" t="s">
        <v>221</v>
      </c>
      <c r="F100" s="60" t="s">
        <v>3654</v>
      </c>
      <c r="G100" s="58" t="s">
        <v>3655</v>
      </c>
      <c r="H100" s="58" t="s">
        <v>3656</v>
      </c>
      <c r="I100" s="58"/>
      <c r="J100" s="58"/>
      <c r="K100" s="58"/>
      <c r="L100" s="58" t="s">
        <v>161</v>
      </c>
      <c r="M100" s="58" t="s">
        <v>3657</v>
      </c>
      <c r="N100" s="61" t="s">
        <v>91</v>
      </c>
      <c r="O100" s="58" t="s">
        <v>3651</v>
      </c>
      <c r="P100" s="61" t="n">
        <v>54</v>
      </c>
    </row>
    <row r="101" customFormat="false" ht="43.25" hidden="false" customHeight="false" outlineLevel="0" collapsed="false">
      <c r="A101" s="22" t="s">
        <v>3658</v>
      </c>
      <c r="B101" s="17" t="s">
        <v>3029</v>
      </c>
      <c r="C101" s="17" t="s">
        <v>125</v>
      </c>
      <c r="D101" s="55" t="s">
        <v>3659</v>
      </c>
      <c r="E101" s="17" t="s">
        <v>221</v>
      </c>
      <c r="F101" s="56" t="s">
        <v>3660</v>
      </c>
      <c r="G101" s="17" t="s">
        <v>3661</v>
      </c>
      <c r="H101" s="17"/>
      <c r="I101" s="17"/>
      <c r="J101" s="17"/>
      <c r="K101" s="17"/>
      <c r="L101" s="17" t="s">
        <v>3662</v>
      </c>
      <c r="M101" s="17" t="s">
        <v>3663</v>
      </c>
      <c r="N101" s="15" t="s">
        <v>91</v>
      </c>
      <c r="O101" s="17" t="s">
        <v>3651</v>
      </c>
      <c r="P101" s="15" t="n">
        <v>55</v>
      </c>
    </row>
    <row r="102" customFormat="false" ht="22.35" hidden="false" customHeight="false" outlineLevel="0" collapsed="false">
      <c r="A102" s="57" t="s">
        <v>3664</v>
      </c>
      <c r="B102" s="58" t="s">
        <v>3029</v>
      </c>
      <c r="C102" s="58" t="s">
        <v>125</v>
      </c>
      <c r="D102" s="59" t="s">
        <v>3665</v>
      </c>
      <c r="E102" s="58" t="s">
        <v>221</v>
      </c>
      <c r="F102" s="60" t="s">
        <v>3349</v>
      </c>
      <c r="G102" s="58" t="s">
        <v>3666</v>
      </c>
      <c r="H102" s="58" t="s">
        <v>3667</v>
      </c>
      <c r="I102" s="58"/>
      <c r="J102" s="58"/>
      <c r="K102" s="58"/>
      <c r="L102" s="58" t="s">
        <v>3352</v>
      </c>
      <c r="M102" s="58" t="s">
        <v>3668</v>
      </c>
      <c r="N102" s="61" t="s">
        <v>91</v>
      </c>
      <c r="O102" s="58" t="s">
        <v>3651</v>
      </c>
      <c r="P102" s="61" t="n">
        <v>58</v>
      </c>
    </row>
    <row r="103" customFormat="false" ht="32.8" hidden="false" customHeight="false" outlineLevel="0" collapsed="false">
      <c r="A103" s="22" t="s">
        <v>3669</v>
      </c>
      <c r="B103" s="17" t="s">
        <v>3029</v>
      </c>
      <c r="C103" s="17" t="s">
        <v>125</v>
      </c>
      <c r="D103" s="55" t="s">
        <v>3670</v>
      </c>
      <c r="E103" s="17" t="s">
        <v>221</v>
      </c>
      <c r="F103" s="56" t="s">
        <v>3671</v>
      </c>
      <c r="G103" s="17" t="s">
        <v>3672</v>
      </c>
      <c r="H103" s="17" t="s">
        <v>3673</v>
      </c>
      <c r="I103" s="17" t="s">
        <v>3674</v>
      </c>
      <c r="J103" s="17"/>
      <c r="K103" s="17"/>
      <c r="L103" s="17" t="s">
        <v>3675</v>
      </c>
      <c r="M103" s="17" t="s">
        <v>3676</v>
      </c>
      <c r="N103" s="15" t="s">
        <v>91</v>
      </c>
      <c r="O103" s="17" t="s">
        <v>3651</v>
      </c>
      <c r="P103" s="15" t="n">
        <v>59</v>
      </c>
    </row>
    <row r="104" customFormat="false" ht="32.8" hidden="false" customHeight="false" outlineLevel="0" collapsed="false">
      <c r="A104" s="57" t="s">
        <v>3677</v>
      </c>
      <c r="B104" s="58" t="s">
        <v>3029</v>
      </c>
      <c r="C104" s="58" t="s">
        <v>125</v>
      </c>
      <c r="D104" s="59" t="s">
        <v>3678</v>
      </c>
      <c r="E104" s="58" t="s">
        <v>225</v>
      </c>
      <c r="F104" s="60" t="s">
        <v>3679</v>
      </c>
      <c r="G104" s="58" t="s">
        <v>3680</v>
      </c>
      <c r="H104" s="58" t="s">
        <v>3681</v>
      </c>
      <c r="I104" s="58"/>
      <c r="J104" s="58"/>
      <c r="K104" s="58"/>
      <c r="L104" s="58" t="s">
        <v>3682</v>
      </c>
      <c r="M104" s="58" t="s">
        <v>3683</v>
      </c>
      <c r="N104" s="61" t="s">
        <v>91</v>
      </c>
      <c r="O104" s="58" t="s">
        <v>3651</v>
      </c>
      <c r="P104" s="61" t="n">
        <v>62</v>
      </c>
    </row>
    <row r="105" customFormat="false" ht="43.25" hidden="false" customHeight="false" outlineLevel="0" collapsed="false">
      <c r="A105" s="22" t="s">
        <v>3684</v>
      </c>
      <c r="B105" s="17" t="s">
        <v>3029</v>
      </c>
      <c r="C105" s="17" t="s">
        <v>125</v>
      </c>
      <c r="D105" s="55" t="s">
        <v>1282</v>
      </c>
      <c r="E105" s="17" t="s">
        <v>225</v>
      </c>
      <c r="F105" s="56" t="s">
        <v>3685</v>
      </c>
      <c r="G105" s="17" t="s">
        <v>3686</v>
      </c>
      <c r="H105" s="17"/>
      <c r="I105" s="17" t="s">
        <v>3687</v>
      </c>
      <c r="J105" s="17" t="s">
        <v>3688</v>
      </c>
      <c r="K105" s="17" t="s">
        <v>3689</v>
      </c>
      <c r="L105" s="17" t="s">
        <v>3690</v>
      </c>
      <c r="M105" s="17" t="s">
        <v>3691</v>
      </c>
      <c r="N105" s="15" t="s">
        <v>91</v>
      </c>
      <c r="O105" s="17" t="s">
        <v>3651</v>
      </c>
      <c r="P105" s="15" t="n">
        <v>65</v>
      </c>
    </row>
    <row r="106" customFormat="false" ht="32.8" hidden="false" customHeight="false" outlineLevel="0" collapsed="false">
      <c r="A106" s="57" t="s">
        <v>3692</v>
      </c>
      <c r="B106" s="58" t="s">
        <v>3029</v>
      </c>
      <c r="C106" s="58" t="s">
        <v>125</v>
      </c>
      <c r="D106" s="59" t="s">
        <v>3693</v>
      </c>
      <c r="E106" s="58" t="s">
        <v>225</v>
      </c>
      <c r="F106" s="60" t="s">
        <v>3694</v>
      </c>
      <c r="G106" s="58" t="s">
        <v>3695</v>
      </c>
      <c r="H106" s="58" t="s">
        <v>3696</v>
      </c>
      <c r="I106" s="58" t="s">
        <v>3697</v>
      </c>
      <c r="J106" s="58"/>
      <c r="K106" s="58" t="s">
        <v>3698</v>
      </c>
      <c r="L106" s="58" t="s">
        <v>3699</v>
      </c>
      <c r="M106" s="58" t="s">
        <v>3700</v>
      </c>
      <c r="N106" s="61" t="s">
        <v>91</v>
      </c>
      <c r="O106" s="58" t="s">
        <v>3651</v>
      </c>
      <c r="P106" s="61" t="n">
        <v>66</v>
      </c>
    </row>
    <row r="107" customFormat="false" ht="32.8" hidden="false" customHeight="false" outlineLevel="0" collapsed="false">
      <c r="A107" s="22" t="s">
        <v>3701</v>
      </c>
      <c r="B107" s="17" t="s">
        <v>3029</v>
      </c>
      <c r="C107" s="17" t="s">
        <v>125</v>
      </c>
      <c r="D107" s="55" t="s">
        <v>3702</v>
      </c>
      <c r="E107" s="17" t="s">
        <v>225</v>
      </c>
      <c r="F107" s="56" t="s">
        <v>3703</v>
      </c>
      <c r="G107" s="17" t="s">
        <v>3704</v>
      </c>
      <c r="H107" s="17" t="s">
        <v>3705</v>
      </c>
      <c r="I107" s="17"/>
      <c r="J107" s="17"/>
      <c r="K107" s="17"/>
      <c r="L107" s="17" t="s">
        <v>3706</v>
      </c>
      <c r="M107" s="17" t="s">
        <v>3707</v>
      </c>
      <c r="N107" s="15" t="s">
        <v>91</v>
      </c>
      <c r="O107" s="17" t="s">
        <v>3651</v>
      </c>
      <c r="P107" s="15" t="n">
        <v>67</v>
      </c>
    </row>
    <row r="108" customFormat="false" ht="22.35" hidden="false" customHeight="false" outlineLevel="0" collapsed="false">
      <c r="A108" s="57" t="s">
        <v>3708</v>
      </c>
      <c r="B108" s="58" t="s">
        <v>3029</v>
      </c>
      <c r="C108" s="58" t="s">
        <v>125</v>
      </c>
      <c r="D108" s="59" t="s">
        <v>3709</v>
      </c>
      <c r="E108" s="58" t="s">
        <v>225</v>
      </c>
      <c r="F108" s="60" t="s">
        <v>3710</v>
      </c>
      <c r="G108" s="58" t="s">
        <v>3711</v>
      </c>
      <c r="H108" s="58" t="s">
        <v>3712</v>
      </c>
      <c r="I108" s="58"/>
      <c r="J108" s="58"/>
      <c r="K108" s="58"/>
      <c r="L108" s="58" t="s">
        <v>3713</v>
      </c>
      <c r="M108" s="58" t="s">
        <v>3714</v>
      </c>
      <c r="N108" s="61" t="s">
        <v>91</v>
      </c>
      <c r="O108" s="58" t="s">
        <v>3651</v>
      </c>
      <c r="P108" s="61" t="n">
        <v>68</v>
      </c>
    </row>
    <row r="109" customFormat="false" ht="53.7" hidden="false" customHeight="false" outlineLevel="0" collapsed="false">
      <c r="A109" s="22" t="s">
        <v>3715</v>
      </c>
      <c r="B109" s="17" t="s">
        <v>3029</v>
      </c>
      <c r="C109" s="17" t="s">
        <v>125</v>
      </c>
      <c r="D109" s="55" t="s">
        <v>3188</v>
      </c>
      <c r="E109" s="17" t="s">
        <v>225</v>
      </c>
      <c r="F109" s="56" t="s">
        <v>3716</v>
      </c>
      <c r="G109" s="17" t="s">
        <v>3717</v>
      </c>
      <c r="H109" s="17"/>
      <c r="I109" s="17" t="s">
        <v>3718</v>
      </c>
      <c r="J109" s="17"/>
      <c r="K109" s="17"/>
      <c r="L109" s="17" t="s">
        <v>3719</v>
      </c>
      <c r="M109" s="17" t="s">
        <v>3720</v>
      </c>
      <c r="N109" s="15" t="s">
        <v>91</v>
      </c>
      <c r="O109" s="17" t="s">
        <v>3651</v>
      </c>
      <c r="P109" s="15" t="n">
        <v>69</v>
      </c>
    </row>
    <row r="110" customFormat="false" ht="43.25" hidden="false" customHeight="false" outlineLevel="0" collapsed="false">
      <c r="A110" s="57" t="s">
        <v>3721</v>
      </c>
      <c r="B110" s="58" t="s">
        <v>3029</v>
      </c>
      <c r="C110" s="58" t="s">
        <v>125</v>
      </c>
      <c r="D110" s="59" t="s">
        <v>3722</v>
      </c>
      <c r="E110" s="58" t="s">
        <v>225</v>
      </c>
      <c r="F110" s="60" t="s">
        <v>3723</v>
      </c>
      <c r="G110" s="58" t="s">
        <v>3724</v>
      </c>
      <c r="H110" s="58"/>
      <c r="I110" s="58"/>
      <c r="J110" s="58"/>
      <c r="K110" s="58"/>
      <c r="L110" s="58" t="s">
        <v>3725</v>
      </c>
      <c r="M110" s="58" t="s">
        <v>3726</v>
      </c>
      <c r="N110" s="61" t="s">
        <v>91</v>
      </c>
      <c r="O110" s="58" t="s">
        <v>3651</v>
      </c>
      <c r="P110" s="61" t="n">
        <v>70</v>
      </c>
    </row>
    <row r="111" customFormat="false" ht="32.8" hidden="false" customHeight="false" outlineLevel="0" collapsed="false">
      <c r="A111" s="22" t="s">
        <v>3727</v>
      </c>
      <c r="B111" s="17" t="s">
        <v>3029</v>
      </c>
      <c r="C111" s="17" t="s">
        <v>125</v>
      </c>
      <c r="D111" s="55" t="s">
        <v>3728</v>
      </c>
      <c r="E111" s="17" t="s">
        <v>225</v>
      </c>
      <c r="F111" s="56" t="s">
        <v>3729</v>
      </c>
      <c r="G111" s="17" t="s">
        <v>3730</v>
      </c>
      <c r="H111" s="17"/>
      <c r="I111" s="17" t="s">
        <v>3731</v>
      </c>
      <c r="J111" s="17"/>
      <c r="K111" s="17"/>
      <c r="L111" s="17" t="s">
        <v>3732</v>
      </c>
      <c r="M111" s="17" t="s">
        <v>3733</v>
      </c>
      <c r="N111" s="15" t="s">
        <v>91</v>
      </c>
      <c r="O111" s="17" t="s">
        <v>3651</v>
      </c>
      <c r="P111" s="15" t="n">
        <v>72</v>
      </c>
    </row>
    <row r="112" customFormat="false" ht="53.7" hidden="false" customHeight="false" outlineLevel="0" collapsed="false">
      <c r="A112" s="57" t="s">
        <v>3734</v>
      </c>
      <c r="B112" s="58" t="s">
        <v>3029</v>
      </c>
      <c r="C112" s="58" t="s">
        <v>125</v>
      </c>
      <c r="D112" s="59" t="s">
        <v>3735</v>
      </c>
      <c r="E112" s="58" t="s">
        <v>225</v>
      </c>
      <c r="F112" s="60" t="s">
        <v>3736</v>
      </c>
      <c r="G112" s="58" t="s">
        <v>3737</v>
      </c>
      <c r="H112" s="58"/>
      <c r="I112" s="58" t="s">
        <v>3738</v>
      </c>
      <c r="J112" s="58"/>
      <c r="K112" s="58"/>
      <c r="L112" s="58" t="s">
        <v>3739</v>
      </c>
      <c r="M112" s="58" t="s">
        <v>3740</v>
      </c>
      <c r="N112" s="61" t="s">
        <v>91</v>
      </c>
      <c r="O112" s="58" t="s">
        <v>3651</v>
      </c>
      <c r="P112" s="61" t="n">
        <v>73</v>
      </c>
    </row>
    <row r="113" customFormat="false" ht="32.8" hidden="false" customHeight="false" outlineLevel="0" collapsed="false">
      <c r="A113" s="22" t="s">
        <v>3741</v>
      </c>
      <c r="B113" s="17" t="s">
        <v>3029</v>
      </c>
      <c r="C113" s="17" t="s">
        <v>125</v>
      </c>
      <c r="D113" s="55" t="s">
        <v>3742</v>
      </c>
      <c r="E113" s="17" t="s">
        <v>225</v>
      </c>
      <c r="F113" s="56" t="s">
        <v>3743</v>
      </c>
      <c r="G113" s="17" t="s">
        <v>3744</v>
      </c>
      <c r="H113" s="17"/>
      <c r="I113" s="17" t="s">
        <v>3745</v>
      </c>
      <c r="J113" s="17"/>
      <c r="K113" s="17"/>
      <c r="L113" s="17" t="s">
        <v>3746</v>
      </c>
      <c r="M113" s="17" t="s">
        <v>3747</v>
      </c>
      <c r="N113" s="15" t="s">
        <v>91</v>
      </c>
      <c r="O113" s="17" t="s">
        <v>3651</v>
      </c>
      <c r="P113" s="15" t="n">
        <v>74</v>
      </c>
    </row>
    <row r="114" customFormat="false" ht="22.35" hidden="false" customHeight="false" outlineLevel="0" collapsed="false">
      <c r="A114" s="57" t="s">
        <v>3748</v>
      </c>
      <c r="B114" s="58" t="s">
        <v>3029</v>
      </c>
      <c r="C114" s="58" t="s">
        <v>125</v>
      </c>
      <c r="D114" s="59" t="s">
        <v>3749</v>
      </c>
      <c r="E114" s="58" t="s">
        <v>225</v>
      </c>
      <c r="F114" s="60" t="s">
        <v>3750</v>
      </c>
      <c r="G114" s="58" t="s">
        <v>3751</v>
      </c>
      <c r="H114" s="58" t="s">
        <v>3752</v>
      </c>
      <c r="I114" s="58" t="s">
        <v>3753</v>
      </c>
      <c r="J114" s="58"/>
      <c r="K114" s="58"/>
      <c r="L114" s="58" t="s">
        <v>3754</v>
      </c>
      <c r="M114" s="58" t="s">
        <v>3755</v>
      </c>
      <c r="N114" s="61" t="s">
        <v>91</v>
      </c>
      <c r="O114" s="58" t="s">
        <v>3651</v>
      </c>
      <c r="P114" s="61" t="n">
        <v>75</v>
      </c>
    </row>
    <row r="115" customFormat="false" ht="22.35" hidden="false" customHeight="false" outlineLevel="0" collapsed="false">
      <c r="A115" s="22" t="s">
        <v>3756</v>
      </c>
      <c r="B115" s="17" t="s">
        <v>3029</v>
      </c>
      <c r="C115" s="17" t="s">
        <v>125</v>
      </c>
      <c r="D115" s="55" t="s">
        <v>3757</v>
      </c>
      <c r="E115" s="17" t="s">
        <v>225</v>
      </c>
      <c r="F115" s="56" t="s">
        <v>3758</v>
      </c>
      <c r="G115" s="17" t="s">
        <v>3759</v>
      </c>
      <c r="H115" s="17"/>
      <c r="I115" s="17" t="s">
        <v>3760</v>
      </c>
      <c r="J115" s="17"/>
      <c r="K115" s="17"/>
      <c r="L115" s="17" t="s">
        <v>3761</v>
      </c>
      <c r="M115" s="17" t="s">
        <v>3762</v>
      </c>
      <c r="N115" s="15" t="s">
        <v>91</v>
      </c>
      <c r="O115" s="17" t="s">
        <v>3651</v>
      </c>
      <c r="P115" s="15" t="n">
        <v>76</v>
      </c>
    </row>
    <row r="116" customFormat="false" ht="43.25" hidden="false" customHeight="false" outlineLevel="0" collapsed="false">
      <c r="A116" s="57" t="s">
        <v>3763</v>
      </c>
      <c r="B116" s="58" t="s">
        <v>3029</v>
      </c>
      <c r="C116" s="58" t="s">
        <v>125</v>
      </c>
      <c r="D116" s="59" t="s">
        <v>3764</v>
      </c>
      <c r="E116" s="58" t="s">
        <v>225</v>
      </c>
      <c r="F116" s="60" t="s">
        <v>3765</v>
      </c>
      <c r="G116" s="58" t="s">
        <v>3766</v>
      </c>
      <c r="H116" s="58" t="s">
        <v>3767</v>
      </c>
      <c r="I116" s="58" t="s">
        <v>3768</v>
      </c>
      <c r="J116" s="58"/>
      <c r="K116" s="58" t="s">
        <v>652</v>
      </c>
      <c r="L116" s="58" t="s">
        <v>3769</v>
      </c>
      <c r="M116" s="58" t="s">
        <v>3770</v>
      </c>
      <c r="N116" s="61" t="s">
        <v>91</v>
      </c>
      <c r="O116" s="58" t="s">
        <v>3651</v>
      </c>
      <c r="P116" s="61" t="n">
        <v>77</v>
      </c>
    </row>
    <row r="117" customFormat="false" ht="32.8" hidden="false" customHeight="false" outlineLevel="0" collapsed="false">
      <c r="A117" s="22" t="s">
        <v>3771</v>
      </c>
      <c r="B117" s="17" t="s">
        <v>3029</v>
      </c>
      <c r="C117" s="17" t="s">
        <v>125</v>
      </c>
      <c r="D117" s="55" t="s">
        <v>3772</v>
      </c>
      <c r="E117" s="17" t="s">
        <v>225</v>
      </c>
      <c r="F117" s="56" t="s">
        <v>3773</v>
      </c>
      <c r="G117" s="17" t="s">
        <v>3774</v>
      </c>
      <c r="H117" s="17"/>
      <c r="I117" s="17"/>
      <c r="J117" s="17"/>
      <c r="K117" s="17"/>
      <c r="L117" s="17" t="s">
        <v>3775</v>
      </c>
      <c r="M117" s="17" t="s">
        <v>3776</v>
      </c>
      <c r="N117" s="15" t="s">
        <v>91</v>
      </c>
      <c r="O117" s="17" t="s">
        <v>3651</v>
      </c>
      <c r="P117" s="15" t="n">
        <v>78</v>
      </c>
    </row>
    <row r="118" customFormat="false" ht="22.35" hidden="false" customHeight="false" outlineLevel="0" collapsed="false">
      <c r="A118" s="57" t="s">
        <v>3777</v>
      </c>
      <c r="B118" s="58" t="s">
        <v>3029</v>
      </c>
      <c r="C118" s="58" t="s">
        <v>125</v>
      </c>
      <c r="D118" s="59" t="s">
        <v>3778</v>
      </c>
      <c r="E118" s="58" t="s">
        <v>225</v>
      </c>
      <c r="F118" s="60" t="s">
        <v>3779</v>
      </c>
      <c r="G118" s="58" t="s">
        <v>3780</v>
      </c>
      <c r="H118" s="58"/>
      <c r="I118" s="58" t="s">
        <v>3781</v>
      </c>
      <c r="J118" s="58"/>
      <c r="K118" s="58"/>
      <c r="L118" s="58" t="s">
        <v>3782</v>
      </c>
      <c r="M118" s="58" t="s">
        <v>3783</v>
      </c>
      <c r="N118" s="61" t="s">
        <v>91</v>
      </c>
      <c r="O118" s="58" t="s">
        <v>3651</v>
      </c>
      <c r="P118" s="61" t="n">
        <v>79</v>
      </c>
    </row>
    <row r="119" customFormat="false" ht="22.35" hidden="false" customHeight="false" outlineLevel="0" collapsed="false">
      <c r="A119" s="22" t="s">
        <v>3784</v>
      </c>
      <c r="B119" s="17" t="s">
        <v>3029</v>
      </c>
      <c r="C119" s="17" t="s">
        <v>125</v>
      </c>
      <c r="D119" s="55" t="s">
        <v>3785</v>
      </c>
      <c r="E119" s="17" t="s">
        <v>225</v>
      </c>
      <c r="F119" s="56" t="s">
        <v>3786</v>
      </c>
      <c r="G119" s="17" t="s">
        <v>3787</v>
      </c>
      <c r="H119" s="17"/>
      <c r="I119" s="17" t="s">
        <v>3788</v>
      </c>
      <c r="J119" s="17"/>
      <c r="K119" s="17"/>
      <c r="L119" s="17" t="s">
        <v>3789</v>
      </c>
      <c r="M119" s="17" t="s">
        <v>3790</v>
      </c>
      <c r="N119" s="15" t="s">
        <v>91</v>
      </c>
      <c r="O119" s="17" t="s">
        <v>3651</v>
      </c>
      <c r="P119" s="15" t="n">
        <v>80</v>
      </c>
    </row>
    <row r="120" customFormat="false" ht="22.35" hidden="false" customHeight="false" outlineLevel="0" collapsed="false">
      <c r="A120" s="57" t="s">
        <v>3791</v>
      </c>
      <c r="B120" s="58" t="s">
        <v>3029</v>
      </c>
      <c r="C120" s="58" t="s">
        <v>125</v>
      </c>
      <c r="D120" s="59" t="s">
        <v>3792</v>
      </c>
      <c r="E120" s="58" t="s">
        <v>225</v>
      </c>
      <c r="F120" s="60" t="s">
        <v>3793</v>
      </c>
      <c r="G120" s="58" t="s">
        <v>3794</v>
      </c>
      <c r="H120" s="58"/>
      <c r="I120" s="58"/>
      <c r="J120" s="58"/>
      <c r="K120" s="58"/>
      <c r="L120" s="58" t="s">
        <v>3795</v>
      </c>
      <c r="M120" s="58" t="s">
        <v>3796</v>
      </c>
      <c r="N120" s="61" t="s">
        <v>91</v>
      </c>
      <c r="O120" s="58" t="s">
        <v>3651</v>
      </c>
      <c r="P120" s="61" t="n">
        <v>81</v>
      </c>
    </row>
    <row r="121" customFormat="false" ht="53.7" hidden="false" customHeight="false" outlineLevel="0" collapsed="false">
      <c r="A121" s="22" t="s">
        <v>3797</v>
      </c>
      <c r="B121" s="17" t="s">
        <v>3029</v>
      </c>
      <c r="C121" s="17" t="s">
        <v>125</v>
      </c>
      <c r="D121" s="55" t="s">
        <v>3798</v>
      </c>
      <c r="E121" s="17" t="s">
        <v>221</v>
      </c>
      <c r="F121" s="56" t="s">
        <v>3799</v>
      </c>
      <c r="G121" s="17" t="s">
        <v>3800</v>
      </c>
      <c r="H121" s="17"/>
      <c r="I121" s="17"/>
      <c r="J121" s="17"/>
      <c r="K121" s="17"/>
      <c r="L121" s="17" t="s">
        <v>3599</v>
      </c>
      <c r="M121" s="17" t="s">
        <v>3801</v>
      </c>
      <c r="N121" s="15" t="s">
        <v>91</v>
      </c>
      <c r="O121" s="17" t="s">
        <v>3651</v>
      </c>
      <c r="P121" s="15" t="n">
        <v>90</v>
      </c>
    </row>
    <row r="122" customFormat="false" ht="53.7" hidden="false" customHeight="false" outlineLevel="0" collapsed="false">
      <c r="A122" s="57" t="s">
        <v>3802</v>
      </c>
      <c r="B122" s="58" t="s">
        <v>3029</v>
      </c>
      <c r="C122" s="58" t="s">
        <v>125</v>
      </c>
      <c r="D122" s="59" t="s">
        <v>3803</v>
      </c>
      <c r="E122" s="58" t="s">
        <v>221</v>
      </c>
      <c r="F122" s="60" t="s">
        <v>3804</v>
      </c>
      <c r="G122" s="58" t="s">
        <v>3805</v>
      </c>
      <c r="H122" s="58"/>
      <c r="I122" s="58" t="s">
        <v>3806</v>
      </c>
      <c r="J122" s="58"/>
      <c r="K122" s="58"/>
      <c r="L122" s="58" t="s">
        <v>3807</v>
      </c>
      <c r="M122" s="58" t="s">
        <v>3808</v>
      </c>
      <c r="N122" s="61" t="s">
        <v>91</v>
      </c>
      <c r="O122" s="58" t="s">
        <v>3651</v>
      </c>
      <c r="P122" s="61" t="n">
        <v>92</v>
      </c>
    </row>
    <row r="123" customFormat="false" ht="32.8" hidden="false" customHeight="false" outlineLevel="0" collapsed="false">
      <c r="A123" s="22" t="s">
        <v>3809</v>
      </c>
      <c r="B123" s="17" t="s">
        <v>3029</v>
      </c>
      <c r="C123" s="17" t="s">
        <v>125</v>
      </c>
      <c r="D123" s="55" t="s">
        <v>3810</v>
      </c>
      <c r="E123" s="17" t="s">
        <v>221</v>
      </c>
      <c r="F123" s="56" t="s">
        <v>3811</v>
      </c>
      <c r="G123" s="17" t="s">
        <v>3812</v>
      </c>
      <c r="H123" s="17"/>
      <c r="I123" s="17"/>
      <c r="J123" s="17"/>
      <c r="K123" s="17"/>
      <c r="L123" s="17" t="s">
        <v>3813</v>
      </c>
      <c r="M123" s="17" t="s">
        <v>3814</v>
      </c>
      <c r="N123" s="15" t="s">
        <v>91</v>
      </c>
      <c r="O123" s="17" t="s">
        <v>3651</v>
      </c>
      <c r="P123" s="15" t="n">
        <v>93</v>
      </c>
    </row>
    <row r="124" customFormat="false" ht="32.8" hidden="false" customHeight="false" outlineLevel="0" collapsed="false">
      <c r="A124" s="57" t="s">
        <v>3815</v>
      </c>
      <c r="B124" s="58" t="s">
        <v>3029</v>
      </c>
      <c r="C124" s="58" t="s">
        <v>125</v>
      </c>
      <c r="D124" s="59" t="s">
        <v>3816</v>
      </c>
      <c r="E124" s="58" t="s">
        <v>221</v>
      </c>
      <c r="F124" s="60" t="s">
        <v>3817</v>
      </c>
      <c r="G124" s="58" t="s">
        <v>3818</v>
      </c>
      <c r="H124" s="58"/>
      <c r="I124" s="58"/>
      <c r="J124" s="58"/>
      <c r="K124" s="58"/>
      <c r="L124" s="58" t="s">
        <v>3819</v>
      </c>
      <c r="M124" s="58" t="s">
        <v>3820</v>
      </c>
      <c r="N124" s="61" t="s">
        <v>91</v>
      </c>
      <c r="O124" s="58" t="s">
        <v>3651</v>
      </c>
      <c r="P124" s="61" t="n">
        <v>94</v>
      </c>
    </row>
    <row r="125" customFormat="false" ht="53.7" hidden="false" customHeight="false" outlineLevel="0" collapsed="false">
      <c r="A125" s="22" t="s">
        <v>3821</v>
      </c>
      <c r="B125" s="17" t="s">
        <v>3029</v>
      </c>
      <c r="C125" s="17" t="s">
        <v>125</v>
      </c>
      <c r="D125" s="55" t="s">
        <v>3822</v>
      </c>
      <c r="E125" s="17" t="s">
        <v>221</v>
      </c>
      <c r="F125" s="56" t="s">
        <v>3823</v>
      </c>
      <c r="G125" s="17" t="s">
        <v>3824</v>
      </c>
      <c r="H125" s="17"/>
      <c r="I125" s="17" t="s">
        <v>3825</v>
      </c>
      <c r="J125" s="17"/>
      <c r="K125" s="17"/>
      <c r="L125" s="17" t="s">
        <v>3826</v>
      </c>
      <c r="M125" s="17" t="s">
        <v>3827</v>
      </c>
      <c r="N125" s="15" t="s">
        <v>91</v>
      </c>
      <c r="O125" s="17" t="s">
        <v>3651</v>
      </c>
      <c r="P125" s="15" t="n">
        <v>97</v>
      </c>
    </row>
    <row r="126" customFormat="false" ht="43.25" hidden="false" customHeight="false" outlineLevel="0" collapsed="false">
      <c r="A126" s="57" t="s">
        <v>3828</v>
      </c>
      <c r="B126" s="58" t="s">
        <v>3029</v>
      </c>
      <c r="C126" s="58" t="s">
        <v>125</v>
      </c>
      <c r="D126" s="59" t="s">
        <v>3829</v>
      </c>
      <c r="E126" s="58" t="s">
        <v>221</v>
      </c>
      <c r="F126" s="60" t="s">
        <v>3830</v>
      </c>
      <c r="G126" s="58" t="s">
        <v>3831</v>
      </c>
      <c r="H126" s="58" t="s">
        <v>3832</v>
      </c>
      <c r="I126" s="58" t="s">
        <v>3833</v>
      </c>
      <c r="J126" s="58"/>
      <c r="K126" s="58"/>
      <c r="L126" s="58" t="s">
        <v>3834</v>
      </c>
      <c r="M126" s="58" t="s">
        <v>3835</v>
      </c>
      <c r="N126" s="61" t="s">
        <v>91</v>
      </c>
      <c r="O126" s="58" t="s">
        <v>3651</v>
      </c>
      <c r="P126" s="61" t="n">
        <v>101</v>
      </c>
    </row>
    <row r="127" customFormat="false" ht="22.35" hidden="false" customHeight="false" outlineLevel="0" collapsed="false">
      <c r="A127" s="22" t="s">
        <v>3836</v>
      </c>
      <c r="B127" s="17" t="s">
        <v>3029</v>
      </c>
      <c r="C127" s="17" t="s">
        <v>125</v>
      </c>
      <c r="D127" s="55" t="s">
        <v>3837</v>
      </c>
      <c r="E127" s="17" t="s">
        <v>221</v>
      </c>
      <c r="F127" s="56" t="s">
        <v>3838</v>
      </c>
      <c r="G127" s="17" t="s">
        <v>3839</v>
      </c>
      <c r="H127" s="17" t="s">
        <v>3840</v>
      </c>
      <c r="I127" s="17" t="s">
        <v>3841</v>
      </c>
      <c r="J127" s="17"/>
      <c r="K127" s="17" t="s">
        <v>1046</v>
      </c>
      <c r="L127" s="17" t="s">
        <v>3842</v>
      </c>
      <c r="M127" s="17" t="s">
        <v>3843</v>
      </c>
      <c r="N127" s="15" t="s">
        <v>91</v>
      </c>
      <c r="O127" s="17" t="s">
        <v>3651</v>
      </c>
      <c r="P127" s="15" t="n">
        <v>104</v>
      </c>
    </row>
    <row r="128" customFormat="false" ht="53.7" hidden="false" customHeight="false" outlineLevel="0" collapsed="false">
      <c r="A128" s="57" t="s">
        <v>3844</v>
      </c>
      <c r="B128" s="58" t="s">
        <v>3029</v>
      </c>
      <c r="C128" s="58" t="s">
        <v>125</v>
      </c>
      <c r="D128" s="59" t="s">
        <v>3315</v>
      </c>
      <c r="E128" s="58" t="s">
        <v>221</v>
      </c>
      <c r="F128" s="60" t="s">
        <v>3845</v>
      </c>
      <c r="G128" s="58" t="s">
        <v>3846</v>
      </c>
      <c r="H128" s="58" t="s">
        <v>3847</v>
      </c>
      <c r="I128" s="58" t="s">
        <v>3848</v>
      </c>
      <c r="J128" s="58" t="s">
        <v>3849</v>
      </c>
      <c r="K128" s="58" t="s">
        <v>607</v>
      </c>
      <c r="L128" s="58" t="s">
        <v>3693</v>
      </c>
      <c r="M128" s="58" t="s">
        <v>3850</v>
      </c>
      <c r="N128" s="61" t="s">
        <v>91</v>
      </c>
      <c r="O128" s="58" t="s">
        <v>3651</v>
      </c>
      <c r="P128" s="61" t="n">
        <v>107</v>
      </c>
    </row>
    <row r="129" customFormat="false" ht="32.8" hidden="false" customHeight="false" outlineLevel="0" collapsed="false">
      <c r="A129" s="22" t="s">
        <v>3851</v>
      </c>
      <c r="B129" s="17" t="s">
        <v>3029</v>
      </c>
      <c r="C129" s="17" t="s">
        <v>125</v>
      </c>
      <c r="D129" s="55" t="s">
        <v>3852</v>
      </c>
      <c r="E129" s="17" t="s">
        <v>221</v>
      </c>
      <c r="F129" s="56" t="s">
        <v>3853</v>
      </c>
      <c r="G129" s="17" t="s">
        <v>3854</v>
      </c>
      <c r="H129" s="17" t="s">
        <v>3855</v>
      </c>
      <c r="I129" s="17"/>
      <c r="J129" s="17"/>
      <c r="K129" s="17"/>
      <c r="L129" s="17" t="s">
        <v>3856</v>
      </c>
      <c r="M129" s="17" t="s">
        <v>3857</v>
      </c>
      <c r="N129" s="15" t="s">
        <v>91</v>
      </c>
      <c r="O129" s="17" t="s">
        <v>3651</v>
      </c>
      <c r="P129" s="15" t="n">
        <v>109</v>
      </c>
    </row>
    <row r="130" customFormat="false" ht="43.25" hidden="false" customHeight="false" outlineLevel="0" collapsed="false">
      <c r="A130" s="57" t="s">
        <v>3858</v>
      </c>
      <c r="B130" s="58" t="s">
        <v>3029</v>
      </c>
      <c r="C130" s="58" t="s">
        <v>125</v>
      </c>
      <c r="D130" s="59" t="s">
        <v>1896</v>
      </c>
      <c r="E130" s="58" t="s">
        <v>221</v>
      </c>
      <c r="F130" s="60" t="s">
        <v>3859</v>
      </c>
      <c r="G130" s="58" t="s">
        <v>3860</v>
      </c>
      <c r="H130" s="58" t="s">
        <v>3861</v>
      </c>
      <c r="I130" s="58" t="s">
        <v>3862</v>
      </c>
      <c r="J130" s="58"/>
      <c r="K130" s="58" t="s">
        <v>607</v>
      </c>
      <c r="L130" s="58" t="s">
        <v>3863</v>
      </c>
      <c r="M130" s="58" t="s">
        <v>3864</v>
      </c>
      <c r="N130" s="61" t="s">
        <v>91</v>
      </c>
      <c r="O130" s="58" t="s">
        <v>3651</v>
      </c>
      <c r="P130" s="61" t="n">
        <v>113</v>
      </c>
    </row>
    <row r="131" customFormat="false" ht="32.8" hidden="false" customHeight="false" outlineLevel="0" collapsed="false">
      <c r="A131" s="22" t="s">
        <v>3865</v>
      </c>
      <c r="B131" s="17" t="s">
        <v>3029</v>
      </c>
      <c r="C131" s="17" t="s">
        <v>125</v>
      </c>
      <c r="D131" s="55" t="s">
        <v>3307</v>
      </c>
      <c r="E131" s="17" t="s">
        <v>221</v>
      </c>
      <c r="F131" s="56" t="s">
        <v>3866</v>
      </c>
      <c r="G131" s="17" t="s">
        <v>3867</v>
      </c>
      <c r="H131" s="17"/>
      <c r="I131" s="17" t="s">
        <v>3868</v>
      </c>
      <c r="J131" s="17"/>
      <c r="K131" s="17"/>
      <c r="L131" s="17" t="s">
        <v>3869</v>
      </c>
      <c r="M131" s="17" t="s">
        <v>3870</v>
      </c>
      <c r="N131" s="15" t="s">
        <v>91</v>
      </c>
      <c r="O131" s="17" t="s">
        <v>3651</v>
      </c>
      <c r="P131" s="15" t="n">
        <v>114</v>
      </c>
    </row>
    <row r="132" customFormat="false" ht="22.35" hidden="false" customHeight="false" outlineLevel="0" collapsed="false">
      <c r="A132" s="57" t="s">
        <v>3871</v>
      </c>
      <c r="B132" s="58" t="s">
        <v>3029</v>
      </c>
      <c r="C132" s="58" t="s">
        <v>125</v>
      </c>
      <c r="D132" s="59" t="s">
        <v>3872</v>
      </c>
      <c r="E132" s="58" t="s">
        <v>221</v>
      </c>
      <c r="F132" s="60" t="s">
        <v>3873</v>
      </c>
      <c r="G132" s="58" t="s">
        <v>3874</v>
      </c>
      <c r="H132" s="58" t="s">
        <v>3875</v>
      </c>
      <c r="I132" s="58"/>
      <c r="J132" s="58"/>
      <c r="K132" s="58"/>
      <c r="L132" s="58" t="s">
        <v>3876</v>
      </c>
      <c r="M132" s="58" t="s">
        <v>3877</v>
      </c>
      <c r="N132" s="61" t="s">
        <v>91</v>
      </c>
      <c r="O132" s="58" t="s">
        <v>3651</v>
      </c>
      <c r="P132" s="61" t="n">
        <v>115</v>
      </c>
    </row>
    <row r="133" customFormat="false" ht="22.35" hidden="false" customHeight="false" outlineLevel="0" collapsed="false">
      <c r="A133" s="22" t="s">
        <v>3878</v>
      </c>
      <c r="B133" s="17" t="s">
        <v>3029</v>
      </c>
      <c r="C133" s="17" t="s">
        <v>125</v>
      </c>
      <c r="D133" s="55" t="s">
        <v>3879</v>
      </c>
      <c r="E133" s="17" t="s">
        <v>221</v>
      </c>
      <c r="F133" s="56" t="s">
        <v>3880</v>
      </c>
      <c r="G133" s="17" t="s">
        <v>3881</v>
      </c>
      <c r="H133" s="17"/>
      <c r="I133" s="17"/>
      <c r="J133" s="17"/>
      <c r="K133" s="17"/>
      <c r="L133" s="17" t="s">
        <v>3882</v>
      </c>
      <c r="M133" s="17" t="s">
        <v>3883</v>
      </c>
      <c r="N133" s="15" t="s">
        <v>91</v>
      </c>
      <c r="O133" s="17" t="s">
        <v>3651</v>
      </c>
      <c r="P133" s="15" t="n">
        <v>117</v>
      </c>
    </row>
    <row r="134" customFormat="false" ht="15" hidden="false" customHeight="false" outlineLevel="0" collapsed="false">
      <c r="A134" s="57" t="s">
        <v>3884</v>
      </c>
      <c r="B134" s="58" t="s">
        <v>3029</v>
      </c>
      <c r="C134" s="58" t="s">
        <v>125</v>
      </c>
      <c r="D134" s="59" t="s">
        <v>3885</v>
      </c>
      <c r="E134" s="58" t="s">
        <v>221</v>
      </c>
      <c r="F134" s="60" t="s">
        <v>3886</v>
      </c>
      <c r="G134" s="58" t="s">
        <v>3887</v>
      </c>
      <c r="H134" s="58"/>
      <c r="I134" s="58"/>
      <c r="J134" s="58"/>
      <c r="K134" s="58"/>
      <c r="L134" s="58" t="s">
        <v>3888</v>
      </c>
      <c r="M134" s="58" t="s">
        <v>3889</v>
      </c>
      <c r="N134" s="61" t="s">
        <v>91</v>
      </c>
      <c r="O134" s="58" t="s">
        <v>3651</v>
      </c>
      <c r="P134" s="61" t="n">
        <v>118</v>
      </c>
    </row>
    <row r="135" customFormat="false" ht="43.25" hidden="false" customHeight="false" outlineLevel="0" collapsed="false">
      <c r="A135" s="22" t="s">
        <v>3890</v>
      </c>
      <c r="B135" s="17" t="s">
        <v>3029</v>
      </c>
      <c r="C135" s="17" t="s">
        <v>126</v>
      </c>
      <c r="D135" s="55" t="s">
        <v>3891</v>
      </c>
      <c r="E135" s="17" t="s">
        <v>235</v>
      </c>
      <c r="F135" s="56" t="s">
        <v>3892</v>
      </c>
      <c r="G135" s="17" t="s">
        <v>3893</v>
      </c>
      <c r="H135" s="17"/>
      <c r="I135" s="17"/>
      <c r="J135" s="17"/>
      <c r="K135" s="17"/>
      <c r="L135" s="17" t="s">
        <v>3586</v>
      </c>
      <c r="M135" s="17" t="s">
        <v>3587</v>
      </c>
      <c r="N135" s="15" t="s">
        <v>91</v>
      </c>
      <c r="O135" s="17" t="s">
        <v>3588</v>
      </c>
      <c r="P135" s="15" t="n">
        <v>146</v>
      </c>
    </row>
    <row r="136" customFormat="false" ht="22.35" hidden="false" customHeight="false" outlineLevel="0" collapsed="false">
      <c r="A136" s="57" t="s">
        <v>3894</v>
      </c>
      <c r="B136" s="58" t="s">
        <v>3029</v>
      </c>
      <c r="C136" s="58" t="s">
        <v>126</v>
      </c>
      <c r="D136" s="59" t="s">
        <v>3895</v>
      </c>
      <c r="E136" s="58" t="s">
        <v>221</v>
      </c>
      <c r="F136" s="60" t="s">
        <v>3896</v>
      </c>
      <c r="G136" s="58" t="s">
        <v>3897</v>
      </c>
      <c r="H136" s="58" t="s">
        <v>3625</v>
      </c>
      <c r="I136" s="58"/>
      <c r="J136" s="58"/>
      <c r="K136" s="58" t="s">
        <v>3898</v>
      </c>
      <c r="L136" s="58" t="s">
        <v>3899</v>
      </c>
      <c r="M136" s="58" t="s">
        <v>3900</v>
      </c>
      <c r="N136" s="61" t="s">
        <v>91</v>
      </c>
      <c r="O136" s="58" t="s">
        <v>3588</v>
      </c>
      <c r="P136" s="61" t="n">
        <v>152</v>
      </c>
    </row>
    <row r="137" customFormat="false" ht="22.35" hidden="false" customHeight="false" outlineLevel="0" collapsed="false">
      <c r="A137" s="22" t="s">
        <v>3901</v>
      </c>
      <c r="B137" s="17" t="s">
        <v>3029</v>
      </c>
      <c r="C137" s="17" t="s">
        <v>126</v>
      </c>
      <c r="D137" s="55" t="s">
        <v>3902</v>
      </c>
      <c r="E137" s="17" t="s">
        <v>221</v>
      </c>
      <c r="F137" s="56" t="s">
        <v>3903</v>
      </c>
      <c r="G137" s="17" t="s">
        <v>3904</v>
      </c>
      <c r="H137" s="17" t="s">
        <v>594</v>
      </c>
      <c r="I137" s="17"/>
      <c r="J137" s="17"/>
      <c r="K137" s="17"/>
      <c r="L137" s="17" t="s">
        <v>1282</v>
      </c>
      <c r="M137" s="17" t="s">
        <v>3041</v>
      </c>
      <c r="N137" s="15" t="s">
        <v>91</v>
      </c>
      <c r="O137" s="17" t="s">
        <v>3588</v>
      </c>
      <c r="P137" s="15" t="n">
        <v>154</v>
      </c>
    </row>
    <row r="138" customFormat="false" ht="15" hidden="false" customHeight="false" outlineLevel="0" collapsed="false">
      <c r="A138" s="57" t="s">
        <v>3905</v>
      </c>
      <c r="B138" s="58" t="s">
        <v>3029</v>
      </c>
      <c r="C138" s="58" t="s">
        <v>126</v>
      </c>
      <c r="D138" s="59" t="s">
        <v>3906</v>
      </c>
      <c r="E138" s="58" t="s">
        <v>221</v>
      </c>
      <c r="F138" s="60" t="s">
        <v>3907</v>
      </c>
      <c r="G138" s="58" t="s">
        <v>3908</v>
      </c>
      <c r="H138" s="58"/>
      <c r="I138" s="58"/>
      <c r="J138" s="58"/>
      <c r="K138" s="58"/>
      <c r="L138" s="58" t="s">
        <v>3722</v>
      </c>
      <c r="M138" s="58" t="s">
        <v>3909</v>
      </c>
      <c r="N138" s="61" t="s">
        <v>91</v>
      </c>
      <c r="O138" s="58" t="s">
        <v>3588</v>
      </c>
      <c r="P138" s="61" t="n">
        <v>155</v>
      </c>
    </row>
    <row r="139" customFormat="false" ht="43.25" hidden="false" customHeight="false" outlineLevel="0" collapsed="false">
      <c r="A139" s="22" t="s">
        <v>3910</v>
      </c>
      <c r="B139" s="17" t="s">
        <v>3029</v>
      </c>
      <c r="C139" s="17" t="s">
        <v>127</v>
      </c>
      <c r="D139" s="55" t="s">
        <v>3911</v>
      </c>
      <c r="E139" s="17" t="s">
        <v>235</v>
      </c>
      <c r="F139" s="56" t="s">
        <v>3912</v>
      </c>
      <c r="G139" s="17" t="s">
        <v>3913</v>
      </c>
      <c r="H139" s="17"/>
      <c r="I139" s="17"/>
      <c r="J139" s="17"/>
      <c r="K139" s="17"/>
      <c r="L139" s="17" t="s">
        <v>3914</v>
      </c>
      <c r="M139" s="17" t="s">
        <v>3915</v>
      </c>
      <c r="N139" s="15" t="s">
        <v>91</v>
      </c>
      <c r="O139" s="17" t="s">
        <v>3916</v>
      </c>
      <c r="P139" s="15" t="n">
        <v>24</v>
      </c>
    </row>
    <row r="140" customFormat="false" ht="22.35" hidden="false" customHeight="false" outlineLevel="0" collapsed="false">
      <c r="A140" s="57" t="s">
        <v>3917</v>
      </c>
      <c r="B140" s="58" t="s">
        <v>3029</v>
      </c>
      <c r="C140" s="58" t="s">
        <v>127</v>
      </c>
      <c r="D140" s="59" t="s">
        <v>3918</v>
      </c>
      <c r="E140" s="58" t="s">
        <v>221</v>
      </c>
      <c r="F140" s="60" t="s">
        <v>3919</v>
      </c>
      <c r="G140" s="58" t="s">
        <v>3920</v>
      </c>
      <c r="H140" s="58" t="s">
        <v>3921</v>
      </c>
      <c r="I140" s="58"/>
      <c r="J140" s="58"/>
      <c r="K140" s="58" t="s">
        <v>656</v>
      </c>
      <c r="L140" s="58" t="s">
        <v>120</v>
      </c>
      <c r="M140" s="58" t="s">
        <v>3922</v>
      </c>
      <c r="N140" s="61" t="s">
        <v>91</v>
      </c>
      <c r="O140" s="58" t="s">
        <v>3916</v>
      </c>
      <c r="P140" s="61" t="n">
        <v>28</v>
      </c>
    </row>
    <row r="141" customFormat="false" ht="15" hidden="false" customHeight="false" outlineLevel="0" collapsed="false">
      <c r="A141" s="22" t="s">
        <v>3923</v>
      </c>
      <c r="B141" s="17" t="s">
        <v>3029</v>
      </c>
      <c r="C141" s="17" t="s">
        <v>127</v>
      </c>
      <c r="D141" s="55" t="s">
        <v>3924</v>
      </c>
      <c r="E141" s="17" t="s">
        <v>221</v>
      </c>
      <c r="F141" s="56" t="s">
        <v>3925</v>
      </c>
      <c r="G141" s="17" t="s">
        <v>3926</v>
      </c>
      <c r="H141" s="17"/>
      <c r="I141" s="17" t="s">
        <v>3235</v>
      </c>
      <c r="J141" s="17"/>
      <c r="K141" s="17"/>
      <c r="L141" s="17" t="s">
        <v>3927</v>
      </c>
      <c r="M141" s="17" t="s">
        <v>3041</v>
      </c>
      <c r="N141" s="15" t="s">
        <v>91</v>
      </c>
      <c r="O141" s="17" t="s">
        <v>3916</v>
      </c>
      <c r="P141" s="15" t="n">
        <v>33</v>
      </c>
    </row>
    <row r="142" customFormat="false" ht="32.8" hidden="false" customHeight="false" outlineLevel="0" collapsed="false">
      <c r="A142" s="57" t="s">
        <v>3928</v>
      </c>
      <c r="B142" s="58" t="s">
        <v>3029</v>
      </c>
      <c r="C142" s="58" t="s">
        <v>127</v>
      </c>
      <c r="D142" s="59" t="s">
        <v>3929</v>
      </c>
      <c r="E142" s="58" t="s">
        <v>221</v>
      </c>
      <c r="F142" s="60" t="s">
        <v>3930</v>
      </c>
      <c r="G142" s="58" t="s">
        <v>3931</v>
      </c>
      <c r="H142" s="58"/>
      <c r="I142" s="58" t="s">
        <v>3235</v>
      </c>
      <c r="J142" s="58"/>
      <c r="K142" s="58"/>
      <c r="L142" s="58" t="s">
        <v>3932</v>
      </c>
      <c r="M142" s="58" t="s">
        <v>3041</v>
      </c>
      <c r="N142" s="61" t="s">
        <v>91</v>
      </c>
      <c r="O142" s="58" t="s">
        <v>3916</v>
      </c>
      <c r="P142" s="61" t="n">
        <v>38</v>
      </c>
    </row>
    <row r="143" customFormat="false" ht="15" hidden="false" customHeight="false" outlineLevel="0" collapsed="false">
      <c r="A143" s="22" t="s">
        <v>3933</v>
      </c>
      <c r="B143" s="17" t="s">
        <v>3029</v>
      </c>
      <c r="C143" s="17" t="s">
        <v>127</v>
      </c>
      <c r="D143" s="55" t="s">
        <v>3934</v>
      </c>
      <c r="E143" s="17" t="s">
        <v>225</v>
      </c>
      <c r="F143" s="56" t="s">
        <v>3935</v>
      </c>
      <c r="G143" s="17" t="s">
        <v>3936</v>
      </c>
      <c r="H143" s="17"/>
      <c r="I143" s="17"/>
      <c r="J143" s="17"/>
      <c r="K143" s="17"/>
      <c r="L143" s="17" t="s">
        <v>3937</v>
      </c>
      <c r="M143" s="17" t="s">
        <v>3938</v>
      </c>
      <c r="N143" s="15" t="s">
        <v>91</v>
      </c>
      <c r="O143" s="17" t="s">
        <v>3916</v>
      </c>
      <c r="P143" s="15" t="n">
        <v>41</v>
      </c>
    </row>
    <row r="144" customFormat="false" ht="32.8" hidden="false" customHeight="false" outlineLevel="0" collapsed="false">
      <c r="A144" s="57" t="s">
        <v>3939</v>
      </c>
      <c r="B144" s="58" t="s">
        <v>3029</v>
      </c>
      <c r="C144" s="58" t="s">
        <v>127</v>
      </c>
      <c r="D144" s="59" t="s">
        <v>3940</v>
      </c>
      <c r="E144" s="58" t="s">
        <v>225</v>
      </c>
      <c r="F144" s="60" t="s">
        <v>3941</v>
      </c>
      <c r="G144" s="58" t="s">
        <v>3942</v>
      </c>
      <c r="H144" s="58"/>
      <c r="I144" s="58"/>
      <c r="J144" s="58"/>
      <c r="K144" s="58"/>
      <c r="L144" s="58" t="s">
        <v>3943</v>
      </c>
      <c r="M144" s="58" t="s">
        <v>3944</v>
      </c>
      <c r="N144" s="61" t="s">
        <v>91</v>
      </c>
      <c r="O144" s="58" t="s">
        <v>3916</v>
      </c>
      <c r="P144" s="61" t="n">
        <v>42</v>
      </c>
    </row>
    <row r="145" customFormat="false" ht="43.25" hidden="false" customHeight="false" outlineLevel="0" collapsed="false">
      <c r="A145" s="22" t="s">
        <v>3945</v>
      </c>
      <c r="B145" s="17" t="s">
        <v>3029</v>
      </c>
      <c r="C145" s="17" t="s">
        <v>128</v>
      </c>
      <c r="D145" s="55" t="s">
        <v>3946</v>
      </c>
      <c r="E145" s="17" t="s">
        <v>235</v>
      </c>
      <c r="F145" s="56" t="s">
        <v>3947</v>
      </c>
      <c r="G145" s="17" t="s">
        <v>3948</v>
      </c>
      <c r="H145" s="17"/>
      <c r="I145" s="17"/>
      <c r="J145" s="17"/>
      <c r="K145" s="17"/>
      <c r="L145" s="17" t="s">
        <v>3949</v>
      </c>
      <c r="M145" s="17" t="s">
        <v>3950</v>
      </c>
      <c r="N145" s="15" t="s">
        <v>91</v>
      </c>
      <c r="O145" s="17" t="s">
        <v>3951</v>
      </c>
      <c r="P145" s="15" t="n">
        <v>25</v>
      </c>
    </row>
    <row r="146" customFormat="false" ht="22.35" hidden="false" customHeight="false" outlineLevel="0" collapsed="false">
      <c r="A146" s="57" t="s">
        <v>3952</v>
      </c>
      <c r="B146" s="58" t="s">
        <v>3029</v>
      </c>
      <c r="C146" s="58" t="s">
        <v>128</v>
      </c>
      <c r="D146" s="59" t="s">
        <v>3953</v>
      </c>
      <c r="E146" s="58" t="s">
        <v>221</v>
      </c>
      <c r="F146" s="60" t="s">
        <v>3954</v>
      </c>
      <c r="G146" s="58" t="s">
        <v>3955</v>
      </c>
      <c r="H146" s="58" t="s">
        <v>3956</v>
      </c>
      <c r="I146" s="58"/>
      <c r="J146" s="58"/>
      <c r="K146" s="58"/>
      <c r="L146" s="58" t="s">
        <v>3957</v>
      </c>
      <c r="M146" s="58" t="s">
        <v>3958</v>
      </c>
      <c r="N146" s="61" t="s">
        <v>91</v>
      </c>
      <c r="O146" s="58" t="s">
        <v>3951</v>
      </c>
      <c r="P146" s="61" t="n">
        <v>39</v>
      </c>
    </row>
    <row r="147" customFormat="false" ht="22.35" hidden="false" customHeight="false" outlineLevel="0" collapsed="false">
      <c r="A147" s="22" t="s">
        <v>3959</v>
      </c>
      <c r="B147" s="17" t="s">
        <v>3029</v>
      </c>
      <c r="C147" s="17" t="s">
        <v>128</v>
      </c>
      <c r="D147" s="55" t="s">
        <v>3960</v>
      </c>
      <c r="E147" s="17" t="s">
        <v>225</v>
      </c>
      <c r="F147" s="56" t="s">
        <v>3961</v>
      </c>
      <c r="G147" s="17" t="s">
        <v>3962</v>
      </c>
      <c r="H147" s="17"/>
      <c r="I147" s="17" t="s">
        <v>3963</v>
      </c>
      <c r="J147" s="17"/>
      <c r="K147" s="17"/>
      <c r="L147" s="17" t="s">
        <v>3964</v>
      </c>
      <c r="M147" s="17" t="s">
        <v>3965</v>
      </c>
      <c r="N147" s="15" t="s">
        <v>91</v>
      </c>
      <c r="O147" s="17" t="s">
        <v>3951</v>
      </c>
      <c r="P147" s="15" t="n">
        <v>44</v>
      </c>
    </row>
    <row r="148" customFormat="false" ht="22.35" hidden="false" customHeight="false" outlineLevel="0" collapsed="false">
      <c r="A148" s="57" t="s">
        <v>3966</v>
      </c>
      <c r="B148" s="58" t="s">
        <v>3029</v>
      </c>
      <c r="C148" s="58" t="s">
        <v>128</v>
      </c>
      <c r="D148" s="59" t="s">
        <v>3967</v>
      </c>
      <c r="E148" s="58" t="s">
        <v>225</v>
      </c>
      <c r="F148" s="60" t="s">
        <v>3968</v>
      </c>
      <c r="G148" s="58" t="s">
        <v>3969</v>
      </c>
      <c r="H148" s="58" t="s">
        <v>3970</v>
      </c>
      <c r="I148" s="58" t="s">
        <v>3971</v>
      </c>
      <c r="J148" s="58"/>
      <c r="K148" s="58"/>
      <c r="L148" s="58" t="s">
        <v>3972</v>
      </c>
      <c r="M148" s="58" t="s">
        <v>3973</v>
      </c>
      <c r="N148" s="61" t="s">
        <v>91</v>
      </c>
      <c r="O148" s="58" t="s">
        <v>3951</v>
      </c>
      <c r="P148" s="61" t="n">
        <v>47</v>
      </c>
    </row>
    <row r="149" customFormat="false" ht="15" hidden="false" customHeight="false" outlineLevel="0" collapsed="false">
      <c r="A149" s="22" t="s">
        <v>3974</v>
      </c>
      <c r="B149" s="17" t="s">
        <v>3029</v>
      </c>
      <c r="C149" s="17" t="s">
        <v>128</v>
      </c>
      <c r="D149" s="55" t="s">
        <v>3975</v>
      </c>
      <c r="E149" s="17" t="s">
        <v>225</v>
      </c>
      <c r="F149" s="56" t="s">
        <v>3976</v>
      </c>
      <c r="G149" s="17" t="s">
        <v>3977</v>
      </c>
      <c r="H149" s="17"/>
      <c r="I149" s="17" t="s">
        <v>3971</v>
      </c>
      <c r="J149" s="17"/>
      <c r="K149" s="17"/>
      <c r="L149" s="17" t="s">
        <v>3978</v>
      </c>
      <c r="M149" s="17" t="s">
        <v>3979</v>
      </c>
      <c r="N149" s="15" t="s">
        <v>91</v>
      </c>
      <c r="O149" s="17" t="s">
        <v>3951</v>
      </c>
      <c r="P149" s="15" t="n">
        <v>49</v>
      </c>
    </row>
    <row r="150" customFormat="false" ht="15" hidden="false" customHeight="false" outlineLevel="0" collapsed="false">
      <c r="A150" s="57" t="s">
        <v>3980</v>
      </c>
      <c r="B150" s="58" t="s">
        <v>3029</v>
      </c>
      <c r="C150" s="58" t="s">
        <v>128</v>
      </c>
      <c r="D150" s="59" t="s">
        <v>3981</v>
      </c>
      <c r="E150" s="58" t="s">
        <v>225</v>
      </c>
      <c r="F150" s="60" t="s">
        <v>3982</v>
      </c>
      <c r="G150" s="58" t="s">
        <v>3983</v>
      </c>
      <c r="H150" s="58"/>
      <c r="I150" s="58" t="s">
        <v>3984</v>
      </c>
      <c r="J150" s="58"/>
      <c r="K150" s="58"/>
      <c r="L150" s="58" t="s">
        <v>3985</v>
      </c>
      <c r="M150" s="58" t="s">
        <v>3986</v>
      </c>
      <c r="N150" s="61" t="s">
        <v>91</v>
      </c>
      <c r="O150" s="58" t="s">
        <v>3951</v>
      </c>
      <c r="P150" s="61" t="n">
        <v>50</v>
      </c>
    </row>
    <row r="151" customFormat="false" ht="22.35" hidden="false" customHeight="false" outlineLevel="0" collapsed="false">
      <c r="A151" s="22" t="s">
        <v>3987</v>
      </c>
      <c r="B151" s="17" t="s">
        <v>3029</v>
      </c>
      <c r="C151" s="17" t="s">
        <v>128</v>
      </c>
      <c r="D151" s="55" t="s">
        <v>3988</v>
      </c>
      <c r="E151" s="17" t="s">
        <v>225</v>
      </c>
      <c r="F151" s="56" t="s">
        <v>3989</v>
      </c>
      <c r="G151" s="17" t="s">
        <v>3990</v>
      </c>
      <c r="H151" s="17" t="s">
        <v>3991</v>
      </c>
      <c r="I151" s="17"/>
      <c r="J151" s="17"/>
      <c r="K151" s="17"/>
      <c r="L151" s="17" t="s">
        <v>3992</v>
      </c>
      <c r="M151" s="17" t="s">
        <v>3041</v>
      </c>
      <c r="N151" s="15" t="s">
        <v>91</v>
      </c>
      <c r="O151" s="17" t="s">
        <v>3951</v>
      </c>
      <c r="P151" s="15" t="n">
        <v>51</v>
      </c>
    </row>
    <row r="152" customFormat="false" ht="32.8" hidden="false" customHeight="false" outlineLevel="0" collapsed="false">
      <c r="A152" s="57" t="s">
        <v>3993</v>
      </c>
      <c r="B152" s="58" t="s">
        <v>3029</v>
      </c>
      <c r="C152" s="58" t="s">
        <v>128</v>
      </c>
      <c r="D152" s="59" t="s">
        <v>3994</v>
      </c>
      <c r="E152" s="58" t="s">
        <v>227</v>
      </c>
      <c r="F152" s="60" t="s">
        <v>3995</v>
      </c>
      <c r="G152" s="58" t="s">
        <v>3996</v>
      </c>
      <c r="H152" s="58"/>
      <c r="I152" s="58" t="s">
        <v>3997</v>
      </c>
      <c r="J152" s="58"/>
      <c r="K152" s="58"/>
      <c r="L152" s="58" t="s">
        <v>3998</v>
      </c>
      <c r="M152" s="58"/>
      <c r="N152" s="61" t="s">
        <v>91</v>
      </c>
      <c r="O152" s="58" t="s">
        <v>3951</v>
      </c>
      <c r="P152" s="61" t="n">
        <v>55</v>
      </c>
    </row>
    <row r="153" customFormat="false" ht="22.35" hidden="false" customHeight="false" outlineLevel="0" collapsed="false">
      <c r="A153" s="22" t="s">
        <v>3999</v>
      </c>
      <c r="B153" s="17" t="s">
        <v>3029</v>
      </c>
      <c r="C153" s="17" t="s">
        <v>128</v>
      </c>
      <c r="D153" s="55" t="s">
        <v>4000</v>
      </c>
      <c r="E153" s="17" t="s">
        <v>227</v>
      </c>
      <c r="F153" s="56" t="s">
        <v>4001</v>
      </c>
      <c r="G153" s="17" t="s">
        <v>4002</v>
      </c>
      <c r="H153" s="17"/>
      <c r="I153" s="17" t="s">
        <v>4003</v>
      </c>
      <c r="J153" s="17"/>
      <c r="K153" s="17"/>
      <c r="L153" s="17" t="s">
        <v>4004</v>
      </c>
      <c r="M153" s="17" t="s">
        <v>4005</v>
      </c>
      <c r="N153" s="15" t="s">
        <v>91</v>
      </c>
      <c r="O153" s="17" t="s">
        <v>3951</v>
      </c>
      <c r="P153" s="15" t="n">
        <v>57</v>
      </c>
    </row>
    <row r="154" customFormat="false" ht="22.35" hidden="false" customHeight="false" outlineLevel="0" collapsed="false">
      <c r="A154" s="57" t="s">
        <v>4006</v>
      </c>
      <c r="B154" s="58" t="s">
        <v>3029</v>
      </c>
      <c r="C154" s="58" t="s">
        <v>128</v>
      </c>
      <c r="D154" s="59" t="s">
        <v>4007</v>
      </c>
      <c r="E154" s="58" t="s">
        <v>221</v>
      </c>
      <c r="F154" s="60" t="s">
        <v>4008</v>
      </c>
      <c r="G154" s="58" t="s">
        <v>4009</v>
      </c>
      <c r="H154" s="58"/>
      <c r="I154" s="58"/>
      <c r="J154" s="58"/>
      <c r="K154" s="58"/>
      <c r="L154" s="58" t="s">
        <v>4010</v>
      </c>
      <c r="M154" s="58" t="s">
        <v>4011</v>
      </c>
      <c r="N154" s="61" t="s">
        <v>91</v>
      </c>
      <c r="O154" s="58" t="s">
        <v>3951</v>
      </c>
      <c r="P154" s="61" t="n">
        <v>104</v>
      </c>
    </row>
    <row r="155" customFormat="false" ht="22.35" hidden="false" customHeight="false" outlineLevel="0" collapsed="false">
      <c r="A155" s="22" t="s">
        <v>4012</v>
      </c>
      <c r="B155" s="17" t="s">
        <v>3029</v>
      </c>
      <c r="C155" s="17" t="s">
        <v>128</v>
      </c>
      <c r="D155" s="55" t="s">
        <v>4013</v>
      </c>
      <c r="E155" s="17" t="s">
        <v>221</v>
      </c>
      <c r="F155" s="56" t="s">
        <v>4014</v>
      </c>
      <c r="G155" s="17" t="s">
        <v>4015</v>
      </c>
      <c r="H155" s="17" t="s">
        <v>4016</v>
      </c>
      <c r="I155" s="17" t="s">
        <v>4017</v>
      </c>
      <c r="J155" s="17" t="s">
        <v>4018</v>
      </c>
      <c r="K155" s="17"/>
      <c r="L155" s="17" t="s">
        <v>4019</v>
      </c>
      <c r="M155" s="17" t="s">
        <v>4020</v>
      </c>
      <c r="N155" s="15" t="s">
        <v>91</v>
      </c>
      <c r="O155" s="17" t="s">
        <v>3951</v>
      </c>
      <c r="P155" s="15" t="n">
        <v>118</v>
      </c>
    </row>
    <row r="156" customFormat="false" ht="22.35" hidden="false" customHeight="false" outlineLevel="0" collapsed="false">
      <c r="A156" s="57" t="s">
        <v>4021</v>
      </c>
      <c r="B156" s="58" t="s">
        <v>3029</v>
      </c>
      <c r="C156" s="58" t="s">
        <v>129</v>
      </c>
      <c r="D156" s="59" t="s">
        <v>4022</v>
      </c>
      <c r="E156" s="58" t="s">
        <v>235</v>
      </c>
      <c r="F156" s="60" t="s">
        <v>4023</v>
      </c>
      <c r="G156" s="58" t="s">
        <v>4024</v>
      </c>
      <c r="H156" s="58"/>
      <c r="I156" s="58"/>
      <c r="J156" s="58"/>
      <c r="K156" s="58"/>
      <c r="L156" s="58" t="s">
        <v>4025</v>
      </c>
      <c r="M156" s="58" t="s">
        <v>3587</v>
      </c>
      <c r="N156" s="61" t="s">
        <v>91</v>
      </c>
      <c r="O156" s="58" t="s">
        <v>4026</v>
      </c>
      <c r="P156" s="61" t="n">
        <v>19</v>
      </c>
    </row>
    <row r="157" customFormat="false" ht="22.35" hidden="false" customHeight="false" outlineLevel="0" collapsed="false">
      <c r="A157" s="22" t="s">
        <v>4027</v>
      </c>
      <c r="B157" s="17" t="s">
        <v>3029</v>
      </c>
      <c r="C157" s="17" t="s">
        <v>129</v>
      </c>
      <c r="D157" s="55" t="s">
        <v>4028</v>
      </c>
      <c r="E157" s="17" t="s">
        <v>221</v>
      </c>
      <c r="F157" s="56" t="s">
        <v>4029</v>
      </c>
      <c r="G157" s="17" t="s">
        <v>4030</v>
      </c>
      <c r="H157" s="17" t="s">
        <v>4031</v>
      </c>
      <c r="I157" s="17"/>
      <c r="J157" s="17"/>
      <c r="K157" s="17"/>
      <c r="L157" s="17" t="s">
        <v>3599</v>
      </c>
      <c r="M157" s="17" t="s">
        <v>4032</v>
      </c>
      <c r="N157" s="15" t="s">
        <v>91</v>
      </c>
      <c r="O157" s="17" t="s">
        <v>4026</v>
      </c>
      <c r="P157" s="15" t="n">
        <v>26</v>
      </c>
    </row>
    <row r="158" customFormat="false" ht="22.35" hidden="false" customHeight="false" outlineLevel="0" collapsed="false">
      <c r="A158" s="57" t="s">
        <v>4033</v>
      </c>
      <c r="B158" s="58" t="s">
        <v>3029</v>
      </c>
      <c r="C158" s="58" t="s">
        <v>129</v>
      </c>
      <c r="D158" s="59" t="s">
        <v>4034</v>
      </c>
      <c r="E158" s="58" t="s">
        <v>221</v>
      </c>
      <c r="F158" s="60" t="s">
        <v>4035</v>
      </c>
      <c r="G158" s="58" t="s">
        <v>4036</v>
      </c>
      <c r="H158" s="58" t="s">
        <v>3991</v>
      </c>
      <c r="I158" s="58"/>
      <c r="J158" s="58"/>
      <c r="K158" s="58"/>
      <c r="L158" s="58" t="s">
        <v>3764</v>
      </c>
      <c r="M158" s="58" t="s">
        <v>4037</v>
      </c>
      <c r="N158" s="61" t="s">
        <v>91</v>
      </c>
      <c r="O158" s="58" t="s">
        <v>4026</v>
      </c>
      <c r="P158" s="61" t="n">
        <v>31</v>
      </c>
    </row>
    <row r="159" customFormat="false" ht="22.35" hidden="false" customHeight="false" outlineLevel="0" collapsed="false">
      <c r="A159" s="22" t="s">
        <v>4038</v>
      </c>
      <c r="B159" s="17" t="s">
        <v>3029</v>
      </c>
      <c r="C159" s="17" t="s">
        <v>129</v>
      </c>
      <c r="D159" s="55" t="s">
        <v>4039</v>
      </c>
      <c r="E159" s="17" t="s">
        <v>221</v>
      </c>
      <c r="F159" s="56" t="s">
        <v>4040</v>
      </c>
      <c r="G159" s="17" t="s">
        <v>4041</v>
      </c>
      <c r="H159" s="17" t="s">
        <v>4042</v>
      </c>
      <c r="I159" s="17"/>
      <c r="J159" s="17"/>
      <c r="K159" s="17"/>
      <c r="L159" s="17" t="s">
        <v>4043</v>
      </c>
      <c r="M159" s="17" t="s">
        <v>4044</v>
      </c>
      <c r="N159" s="15" t="s">
        <v>91</v>
      </c>
      <c r="O159" s="17" t="s">
        <v>4026</v>
      </c>
      <c r="P159" s="15" t="n">
        <v>32</v>
      </c>
    </row>
    <row r="160" customFormat="false" ht="22.35" hidden="false" customHeight="false" outlineLevel="0" collapsed="false">
      <c r="A160" s="57" t="s">
        <v>4045</v>
      </c>
      <c r="B160" s="58" t="s">
        <v>3029</v>
      </c>
      <c r="C160" s="58" t="s">
        <v>129</v>
      </c>
      <c r="D160" s="59" t="s">
        <v>4046</v>
      </c>
      <c r="E160" s="58" t="s">
        <v>225</v>
      </c>
      <c r="F160" s="60" t="s">
        <v>4047</v>
      </c>
      <c r="G160" s="58" t="s">
        <v>4048</v>
      </c>
      <c r="H160" s="58"/>
      <c r="I160" s="58"/>
      <c r="J160" s="58"/>
      <c r="K160" s="58"/>
      <c r="L160" s="58" t="s">
        <v>4049</v>
      </c>
      <c r="M160" s="58" t="s">
        <v>4050</v>
      </c>
      <c r="N160" s="61" t="s">
        <v>91</v>
      </c>
      <c r="O160" s="58" t="s">
        <v>4026</v>
      </c>
      <c r="P160" s="61" t="n">
        <v>35</v>
      </c>
    </row>
    <row r="161" customFormat="false" ht="53.7" hidden="false" customHeight="false" outlineLevel="0" collapsed="false">
      <c r="A161" s="22" t="s">
        <v>4051</v>
      </c>
      <c r="B161" s="17" t="s">
        <v>3029</v>
      </c>
      <c r="C161" s="17" t="s">
        <v>130</v>
      </c>
      <c r="D161" s="55" t="s">
        <v>4052</v>
      </c>
      <c r="E161" s="17" t="s">
        <v>235</v>
      </c>
      <c r="F161" s="56" t="s">
        <v>4053</v>
      </c>
      <c r="G161" s="17" t="s">
        <v>4054</v>
      </c>
      <c r="H161" s="17"/>
      <c r="I161" s="17"/>
      <c r="J161" s="17"/>
      <c r="K161" s="17"/>
      <c r="L161" s="17" t="s">
        <v>3586</v>
      </c>
      <c r="M161" s="17" t="s">
        <v>4055</v>
      </c>
      <c r="N161" s="15" t="s">
        <v>91</v>
      </c>
      <c r="O161" s="17" t="s">
        <v>3588</v>
      </c>
      <c r="P161" s="15" t="n">
        <v>25</v>
      </c>
    </row>
    <row r="162" customFormat="false" ht="32.8" hidden="false" customHeight="false" outlineLevel="0" collapsed="false">
      <c r="A162" s="57" t="s">
        <v>4056</v>
      </c>
      <c r="B162" s="58" t="s">
        <v>3029</v>
      </c>
      <c r="C162" s="58" t="s">
        <v>130</v>
      </c>
      <c r="D162" s="59" t="s">
        <v>4057</v>
      </c>
      <c r="E162" s="58" t="s">
        <v>221</v>
      </c>
      <c r="F162" s="60" t="s">
        <v>4058</v>
      </c>
      <c r="G162" s="58" t="s">
        <v>4059</v>
      </c>
      <c r="H162" s="58"/>
      <c r="I162" s="58" t="s">
        <v>4060</v>
      </c>
      <c r="J162" s="58"/>
      <c r="K162" s="58"/>
      <c r="L162" s="58" t="s">
        <v>4061</v>
      </c>
      <c r="M162" s="58" t="s">
        <v>4062</v>
      </c>
      <c r="N162" s="61" t="s">
        <v>91</v>
      </c>
      <c r="O162" s="58" t="s">
        <v>3588</v>
      </c>
      <c r="P162" s="61" t="n">
        <v>31</v>
      </c>
    </row>
    <row r="163" customFormat="false" ht="32.8" hidden="false" customHeight="false" outlineLevel="0" collapsed="false">
      <c r="A163" s="22" t="s">
        <v>4063</v>
      </c>
      <c r="B163" s="17" t="s">
        <v>3029</v>
      </c>
      <c r="C163" s="17" t="s">
        <v>130</v>
      </c>
      <c r="D163" s="55" t="s">
        <v>4064</v>
      </c>
      <c r="E163" s="17" t="s">
        <v>221</v>
      </c>
      <c r="F163" s="56" t="s">
        <v>4065</v>
      </c>
      <c r="G163" s="17" t="s">
        <v>4066</v>
      </c>
      <c r="H163" s="17"/>
      <c r="I163" s="17" t="s">
        <v>2052</v>
      </c>
      <c r="J163" s="17"/>
      <c r="K163" s="17" t="s">
        <v>4067</v>
      </c>
      <c r="L163" s="17" t="s">
        <v>4061</v>
      </c>
      <c r="M163" s="17" t="s">
        <v>4068</v>
      </c>
      <c r="N163" s="15" t="s">
        <v>91</v>
      </c>
      <c r="O163" s="17" t="s">
        <v>3588</v>
      </c>
      <c r="P163" s="15" t="n">
        <v>32</v>
      </c>
    </row>
    <row r="164" customFormat="false" ht="22.35" hidden="false" customHeight="false" outlineLevel="0" collapsed="false">
      <c r="A164" s="57" t="s">
        <v>4069</v>
      </c>
      <c r="B164" s="58" t="s">
        <v>3029</v>
      </c>
      <c r="C164" s="58" t="s">
        <v>130</v>
      </c>
      <c r="D164" s="59" t="s">
        <v>4070</v>
      </c>
      <c r="E164" s="58" t="s">
        <v>221</v>
      </c>
      <c r="F164" s="60" t="s">
        <v>4071</v>
      </c>
      <c r="G164" s="58" t="s">
        <v>4072</v>
      </c>
      <c r="H164" s="58" t="s">
        <v>4073</v>
      </c>
      <c r="I164" s="58" t="s">
        <v>4074</v>
      </c>
      <c r="J164" s="58"/>
      <c r="K164" s="58"/>
      <c r="L164" s="58" t="s">
        <v>3593</v>
      </c>
      <c r="M164" s="58" t="s">
        <v>4075</v>
      </c>
      <c r="N164" s="61" t="s">
        <v>91</v>
      </c>
      <c r="O164" s="58" t="s">
        <v>3588</v>
      </c>
      <c r="P164" s="61" t="n">
        <v>33</v>
      </c>
    </row>
    <row r="165" customFormat="false" ht="32.8" hidden="false" customHeight="false" outlineLevel="0" collapsed="false">
      <c r="A165" s="22" t="s">
        <v>4076</v>
      </c>
      <c r="B165" s="17" t="s">
        <v>3029</v>
      </c>
      <c r="C165" s="17" t="s">
        <v>130</v>
      </c>
      <c r="D165" s="55" t="s">
        <v>4077</v>
      </c>
      <c r="E165" s="17" t="s">
        <v>221</v>
      </c>
      <c r="F165" s="56" t="s">
        <v>3597</v>
      </c>
      <c r="G165" s="17" t="s">
        <v>4078</v>
      </c>
      <c r="H165" s="17" t="s">
        <v>3187</v>
      </c>
      <c r="I165" s="17"/>
      <c r="J165" s="17"/>
      <c r="K165" s="17"/>
      <c r="L165" s="17" t="s">
        <v>4079</v>
      </c>
      <c r="M165" s="17" t="s">
        <v>4080</v>
      </c>
      <c r="N165" s="15" t="s">
        <v>91</v>
      </c>
      <c r="O165" s="17" t="s">
        <v>3588</v>
      </c>
      <c r="P165" s="15" t="n">
        <v>34</v>
      </c>
    </row>
    <row r="166" customFormat="false" ht="22.35" hidden="false" customHeight="false" outlineLevel="0" collapsed="false">
      <c r="A166" s="57" t="s">
        <v>4081</v>
      </c>
      <c r="B166" s="58" t="s">
        <v>3029</v>
      </c>
      <c r="C166" s="58" t="s">
        <v>130</v>
      </c>
      <c r="D166" s="59" t="s">
        <v>4082</v>
      </c>
      <c r="E166" s="58" t="s">
        <v>221</v>
      </c>
      <c r="F166" s="60" t="s">
        <v>4083</v>
      </c>
      <c r="G166" s="58" t="s">
        <v>4084</v>
      </c>
      <c r="H166" s="58"/>
      <c r="I166" s="58" t="s">
        <v>4085</v>
      </c>
      <c r="J166" s="58"/>
      <c r="K166" s="58"/>
      <c r="L166" s="58" t="s">
        <v>4086</v>
      </c>
      <c r="M166" s="58" t="s">
        <v>4087</v>
      </c>
      <c r="N166" s="61" t="s">
        <v>91</v>
      </c>
      <c r="O166" s="58" t="s">
        <v>3588</v>
      </c>
      <c r="P166" s="61" t="n">
        <v>36</v>
      </c>
    </row>
    <row r="167" customFormat="false" ht="22.35" hidden="false" customHeight="false" outlineLevel="0" collapsed="false">
      <c r="A167" s="22" t="s">
        <v>4088</v>
      </c>
      <c r="B167" s="17" t="s">
        <v>3029</v>
      </c>
      <c r="C167" s="17" t="s">
        <v>130</v>
      </c>
      <c r="D167" s="55" t="s">
        <v>4089</v>
      </c>
      <c r="E167" s="17" t="s">
        <v>221</v>
      </c>
      <c r="F167" s="56" t="s">
        <v>4090</v>
      </c>
      <c r="G167" s="17" t="s">
        <v>4091</v>
      </c>
      <c r="H167" s="17" t="s">
        <v>4092</v>
      </c>
      <c r="I167" s="17"/>
      <c r="J167" s="17"/>
      <c r="K167" s="17"/>
      <c r="L167" s="17" t="s">
        <v>3702</v>
      </c>
      <c r="M167" s="17" t="s">
        <v>4093</v>
      </c>
      <c r="N167" s="15" t="s">
        <v>91</v>
      </c>
      <c r="O167" s="17" t="s">
        <v>3588</v>
      </c>
      <c r="P167" s="15" t="n">
        <v>37</v>
      </c>
    </row>
    <row r="168" customFormat="false" ht="22.35" hidden="false" customHeight="false" outlineLevel="0" collapsed="false">
      <c r="A168" s="57" t="s">
        <v>4094</v>
      </c>
      <c r="B168" s="58" t="s">
        <v>3029</v>
      </c>
      <c r="C168" s="58" t="s">
        <v>130</v>
      </c>
      <c r="D168" s="59" t="s">
        <v>4095</v>
      </c>
      <c r="E168" s="58" t="s">
        <v>221</v>
      </c>
      <c r="F168" s="60" t="s">
        <v>4096</v>
      </c>
      <c r="G168" s="58" t="s">
        <v>4097</v>
      </c>
      <c r="H168" s="58" t="s">
        <v>4098</v>
      </c>
      <c r="I168" s="58"/>
      <c r="J168" s="58"/>
      <c r="K168" s="58"/>
      <c r="L168" s="58" t="s">
        <v>3693</v>
      </c>
      <c r="M168" s="58" t="s">
        <v>4099</v>
      </c>
      <c r="N168" s="61" t="s">
        <v>91</v>
      </c>
      <c r="O168" s="58" t="s">
        <v>3588</v>
      </c>
      <c r="P168" s="61" t="n">
        <v>38</v>
      </c>
    </row>
    <row r="169" customFormat="false" ht="43.25" hidden="false" customHeight="false" outlineLevel="0" collapsed="false">
      <c r="A169" s="22" t="s">
        <v>4100</v>
      </c>
      <c r="B169" s="17" t="s">
        <v>3029</v>
      </c>
      <c r="C169" s="17" t="s">
        <v>130</v>
      </c>
      <c r="D169" s="55" t="s">
        <v>4101</v>
      </c>
      <c r="E169" s="17" t="s">
        <v>221</v>
      </c>
      <c r="F169" s="56" t="s">
        <v>4102</v>
      </c>
      <c r="G169" s="17" t="s">
        <v>4103</v>
      </c>
      <c r="H169" s="17" t="s">
        <v>4104</v>
      </c>
      <c r="I169" s="17"/>
      <c r="J169" s="17"/>
      <c r="K169" s="17"/>
      <c r="L169" s="17" t="s">
        <v>4105</v>
      </c>
      <c r="M169" s="17" t="s">
        <v>4106</v>
      </c>
      <c r="N169" s="15" t="s">
        <v>91</v>
      </c>
      <c r="O169" s="17" t="s">
        <v>3588</v>
      </c>
      <c r="P169" s="15" t="n">
        <v>45</v>
      </c>
    </row>
    <row r="170" customFormat="false" ht="15" hidden="false" customHeight="false" outlineLevel="0" collapsed="false">
      <c r="A170" s="57" t="s">
        <v>4107</v>
      </c>
      <c r="B170" s="58" t="s">
        <v>3029</v>
      </c>
      <c r="C170" s="58" t="s">
        <v>130</v>
      </c>
      <c r="D170" s="59" t="s">
        <v>4108</v>
      </c>
      <c r="E170" s="58" t="s">
        <v>227</v>
      </c>
      <c r="F170" s="60" t="s">
        <v>3609</v>
      </c>
      <c r="G170" s="58" t="s">
        <v>4109</v>
      </c>
      <c r="H170" s="58"/>
      <c r="I170" s="58"/>
      <c r="J170" s="58"/>
      <c r="K170" s="58"/>
      <c r="L170" s="58" t="s">
        <v>3188</v>
      </c>
      <c r="M170" s="58" t="s">
        <v>4110</v>
      </c>
      <c r="N170" s="61" t="s">
        <v>91</v>
      </c>
      <c r="O170" s="58" t="s">
        <v>3588</v>
      </c>
      <c r="P170" s="61" t="n">
        <v>48</v>
      </c>
    </row>
    <row r="171" customFormat="false" ht="22.35" hidden="false" customHeight="false" outlineLevel="0" collapsed="false">
      <c r="A171" s="22" t="s">
        <v>4111</v>
      </c>
      <c r="B171" s="17" t="s">
        <v>3029</v>
      </c>
      <c r="C171" s="17" t="s">
        <v>130</v>
      </c>
      <c r="D171" s="55" t="s">
        <v>4112</v>
      </c>
      <c r="E171" s="17" t="s">
        <v>227</v>
      </c>
      <c r="F171" s="56" t="s">
        <v>4113</v>
      </c>
      <c r="G171" s="17" t="s">
        <v>4114</v>
      </c>
      <c r="H171" s="17"/>
      <c r="I171" s="17"/>
      <c r="J171" s="17"/>
      <c r="K171" s="17"/>
      <c r="L171" s="17" t="s">
        <v>3722</v>
      </c>
      <c r="M171" s="17" t="s">
        <v>4115</v>
      </c>
      <c r="N171" s="15" t="s">
        <v>91</v>
      </c>
      <c r="O171" s="17" t="s">
        <v>3588</v>
      </c>
      <c r="P171" s="15" t="n">
        <v>50</v>
      </c>
    </row>
    <row r="172" customFormat="false" ht="22.35" hidden="false" customHeight="false" outlineLevel="0" collapsed="false">
      <c r="A172" s="57" t="s">
        <v>4116</v>
      </c>
      <c r="B172" s="58" t="s">
        <v>3029</v>
      </c>
      <c r="C172" s="58" t="s">
        <v>130</v>
      </c>
      <c r="D172" s="59" t="s">
        <v>4117</v>
      </c>
      <c r="E172" s="58" t="s">
        <v>227</v>
      </c>
      <c r="F172" s="60" t="s">
        <v>4118</v>
      </c>
      <c r="G172" s="58" t="s">
        <v>4119</v>
      </c>
      <c r="H172" s="58"/>
      <c r="I172" s="58" t="s">
        <v>4120</v>
      </c>
      <c r="J172" s="58"/>
      <c r="K172" s="58"/>
      <c r="L172" s="58" t="s">
        <v>4121</v>
      </c>
      <c r="M172" s="58" t="s">
        <v>4122</v>
      </c>
      <c r="N172" s="61" t="s">
        <v>91</v>
      </c>
      <c r="O172" s="58" t="s">
        <v>3588</v>
      </c>
      <c r="P172" s="61" t="n">
        <v>51</v>
      </c>
    </row>
    <row r="173" customFormat="false" ht="22.35" hidden="false" customHeight="false" outlineLevel="0" collapsed="false">
      <c r="A173" s="22" t="s">
        <v>4123</v>
      </c>
      <c r="B173" s="17" t="s">
        <v>3029</v>
      </c>
      <c r="C173" s="17" t="s">
        <v>130</v>
      </c>
      <c r="D173" s="55" t="s">
        <v>3051</v>
      </c>
      <c r="E173" s="17" t="s">
        <v>225</v>
      </c>
      <c r="F173" s="56" t="s">
        <v>4124</v>
      </c>
      <c r="G173" s="17" t="s">
        <v>4125</v>
      </c>
      <c r="H173" s="17"/>
      <c r="I173" s="17" t="s">
        <v>4126</v>
      </c>
      <c r="J173" s="17"/>
      <c r="K173" s="17"/>
      <c r="L173" s="17" t="s">
        <v>4127</v>
      </c>
      <c r="M173" s="17" t="s">
        <v>4128</v>
      </c>
      <c r="N173" s="15" t="s">
        <v>91</v>
      </c>
      <c r="O173" s="17" t="s">
        <v>3588</v>
      </c>
      <c r="P173" s="15" t="n">
        <v>54</v>
      </c>
    </row>
    <row r="174" customFormat="false" ht="22.35" hidden="false" customHeight="false" outlineLevel="0" collapsed="false">
      <c r="A174" s="57" t="s">
        <v>4129</v>
      </c>
      <c r="B174" s="58" t="s">
        <v>3029</v>
      </c>
      <c r="C174" s="58" t="s">
        <v>130</v>
      </c>
      <c r="D174" s="59" t="s">
        <v>4130</v>
      </c>
      <c r="E174" s="58" t="s">
        <v>225</v>
      </c>
      <c r="F174" s="60" t="s">
        <v>4131</v>
      </c>
      <c r="G174" s="58" t="s">
        <v>4132</v>
      </c>
      <c r="H174" s="58"/>
      <c r="I174" s="58" t="s">
        <v>4133</v>
      </c>
      <c r="J174" s="58"/>
      <c r="K174" s="58"/>
      <c r="L174" s="58" t="s">
        <v>4134</v>
      </c>
      <c r="M174" s="58" t="s">
        <v>4135</v>
      </c>
      <c r="N174" s="61" t="s">
        <v>91</v>
      </c>
      <c r="O174" s="58" t="s">
        <v>3588</v>
      </c>
      <c r="P174" s="61" t="n">
        <v>56</v>
      </c>
    </row>
    <row r="175" customFormat="false" ht="22.35" hidden="false" customHeight="false" outlineLevel="0" collapsed="false">
      <c r="A175" s="22" t="s">
        <v>4136</v>
      </c>
      <c r="B175" s="17" t="s">
        <v>3029</v>
      </c>
      <c r="C175" s="17" t="s">
        <v>130</v>
      </c>
      <c r="D175" s="55" t="s">
        <v>4137</v>
      </c>
      <c r="E175" s="17" t="s">
        <v>225</v>
      </c>
      <c r="F175" s="56" t="s">
        <v>4138</v>
      </c>
      <c r="G175" s="17" t="s">
        <v>4139</v>
      </c>
      <c r="H175" s="17"/>
      <c r="I175" s="17" t="s">
        <v>4133</v>
      </c>
      <c r="J175" s="17"/>
      <c r="K175" s="17"/>
      <c r="L175" s="17" t="s">
        <v>4140</v>
      </c>
      <c r="M175" s="17" t="s">
        <v>4141</v>
      </c>
      <c r="N175" s="15" t="s">
        <v>91</v>
      </c>
      <c r="O175" s="17" t="s">
        <v>3588</v>
      </c>
      <c r="P175" s="15" t="n">
        <v>57</v>
      </c>
    </row>
    <row r="176" customFormat="false" ht="22.35" hidden="false" customHeight="false" outlineLevel="0" collapsed="false">
      <c r="A176" s="57" t="s">
        <v>4142</v>
      </c>
      <c r="B176" s="58" t="s">
        <v>3029</v>
      </c>
      <c r="C176" s="58" t="s">
        <v>131</v>
      </c>
      <c r="D176" s="59" t="s">
        <v>4143</v>
      </c>
      <c r="E176" s="58" t="s">
        <v>235</v>
      </c>
      <c r="F176" s="60" t="s">
        <v>4144</v>
      </c>
      <c r="G176" s="58" t="s">
        <v>4145</v>
      </c>
      <c r="H176" s="58"/>
      <c r="I176" s="58"/>
      <c r="J176" s="58"/>
      <c r="K176" s="58"/>
      <c r="L176" s="58" t="s">
        <v>3174</v>
      </c>
      <c r="M176" s="58" t="s">
        <v>4146</v>
      </c>
      <c r="N176" s="61" t="s">
        <v>91</v>
      </c>
      <c r="O176" s="58" t="s">
        <v>1399</v>
      </c>
      <c r="P176" s="61" t="n">
        <v>64</v>
      </c>
    </row>
    <row r="177" customFormat="false" ht="22.35" hidden="false" customHeight="false" outlineLevel="0" collapsed="false">
      <c r="A177" s="22" t="s">
        <v>4147</v>
      </c>
      <c r="B177" s="17" t="s">
        <v>3029</v>
      </c>
      <c r="C177" s="17" t="s">
        <v>131</v>
      </c>
      <c r="D177" s="55" t="s">
        <v>4148</v>
      </c>
      <c r="E177" s="17" t="s">
        <v>221</v>
      </c>
      <c r="F177" s="56" t="s">
        <v>3178</v>
      </c>
      <c r="G177" s="17" t="s">
        <v>4149</v>
      </c>
      <c r="H177" s="17" t="s">
        <v>3180</v>
      </c>
      <c r="I177" s="17"/>
      <c r="J177" s="17"/>
      <c r="K177" s="17" t="s">
        <v>1396</v>
      </c>
      <c r="L177" s="17" t="s">
        <v>1282</v>
      </c>
      <c r="M177" s="17" t="s">
        <v>4150</v>
      </c>
      <c r="N177" s="15" t="s">
        <v>91</v>
      </c>
      <c r="O177" s="17" t="s">
        <v>1399</v>
      </c>
      <c r="P177" s="15" t="n">
        <v>70</v>
      </c>
    </row>
    <row r="178" customFormat="false" ht="22.35" hidden="false" customHeight="false" outlineLevel="0" collapsed="false">
      <c r="A178" s="57" t="s">
        <v>4151</v>
      </c>
      <c r="B178" s="58" t="s">
        <v>3029</v>
      </c>
      <c r="C178" s="58" t="s">
        <v>131</v>
      </c>
      <c r="D178" s="59" t="s">
        <v>4152</v>
      </c>
      <c r="E178" s="58" t="s">
        <v>221</v>
      </c>
      <c r="F178" s="60" t="s">
        <v>3185</v>
      </c>
      <c r="G178" s="58" t="s">
        <v>4153</v>
      </c>
      <c r="H178" s="58" t="s">
        <v>3187</v>
      </c>
      <c r="I178" s="58"/>
      <c r="J178" s="58"/>
      <c r="K178" s="58"/>
      <c r="L178" s="58" t="s">
        <v>3188</v>
      </c>
      <c r="M178" s="58" t="s">
        <v>4154</v>
      </c>
      <c r="N178" s="61" t="s">
        <v>91</v>
      </c>
      <c r="O178" s="58" t="s">
        <v>1399</v>
      </c>
      <c r="P178" s="61" t="n">
        <v>71</v>
      </c>
    </row>
    <row r="179" customFormat="false" ht="15" hidden="false" customHeight="false" outlineLevel="0" collapsed="false">
      <c r="A179" s="22" t="s">
        <v>4155</v>
      </c>
      <c r="B179" s="17" t="s">
        <v>3029</v>
      </c>
      <c r="C179" s="17" t="s">
        <v>131</v>
      </c>
      <c r="D179" s="55" t="s">
        <v>4156</v>
      </c>
      <c r="E179" s="17" t="s">
        <v>221</v>
      </c>
      <c r="F179" s="56" t="s">
        <v>3192</v>
      </c>
      <c r="G179" s="17" t="s">
        <v>4157</v>
      </c>
      <c r="H179" s="17"/>
      <c r="I179" s="17"/>
      <c r="J179" s="17"/>
      <c r="K179" s="17"/>
      <c r="L179" s="17" t="s">
        <v>125</v>
      </c>
      <c r="M179" s="17" t="s">
        <v>4158</v>
      </c>
      <c r="N179" s="15" t="s">
        <v>91</v>
      </c>
      <c r="O179" s="17" t="s">
        <v>1399</v>
      </c>
      <c r="P179" s="15" t="n">
        <v>72</v>
      </c>
    </row>
    <row r="180" customFormat="false" ht="32.8" hidden="false" customHeight="false" outlineLevel="0" collapsed="false">
      <c r="A180" s="57" t="s">
        <v>4159</v>
      </c>
      <c r="B180" s="58" t="s">
        <v>3029</v>
      </c>
      <c r="C180" s="58" t="s">
        <v>132</v>
      </c>
      <c r="D180" s="59" t="s">
        <v>4160</v>
      </c>
      <c r="E180" s="58" t="s">
        <v>235</v>
      </c>
      <c r="F180" s="60" t="s">
        <v>4161</v>
      </c>
      <c r="G180" s="58" t="s">
        <v>4162</v>
      </c>
      <c r="H180" s="58"/>
      <c r="I180" s="58"/>
      <c r="J180" s="58"/>
      <c r="K180" s="58"/>
      <c r="L180" s="58" t="s">
        <v>3586</v>
      </c>
      <c r="M180" s="58" t="s">
        <v>3587</v>
      </c>
      <c r="N180" s="61" t="s">
        <v>91</v>
      </c>
      <c r="O180" s="58" t="s">
        <v>3588</v>
      </c>
      <c r="P180" s="61" t="n">
        <v>168</v>
      </c>
    </row>
    <row r="181" customFormat="false" ht="32.8" hidden="false" customHeight="false" outlineLevel="0" collapsed="false">
      <c r="A181" s="22" t="s">
        <v>4163</v>
      </c>
      <c r="B181" s="17" t="s">
        <v>3029</v>
      </c>
      <c r="C181" s="17" t="s">
        <v>132</v>
      </c>
      <c r="D181" s="55" t="s">
        <v>4164</v>
      </c>
      <c r="E181" s="17" t="s">
        <v>221</v>
      </c>
      <c r="F181" s="56" t="s">
        <v>4165</v>
      </c>
      <c r="G181" s="17" t="s">
        <v>4166</v>
      </c>
      <c r="H181" s="17" t="s">
        <v>4167</v>
      </c>
      <c r="I181" s="17"/>
      <c r="J181" s="17"/>
      <c r="K181" s="17" t="s">
        <v>4168</v>
      </c>
      <c r="L181" s="17" t="s">
        <v>4169</v>
      </c>
      <c r="M181" s="17" t="s">
        <v>4170</v>
      </c>
      <c r="N181" s="15" t="s">
        <v>91</v>
      </c>
      <c r="O181" s="17" t="s">
        <v>3588</v>
      </c>
      <c r="P181" s="15" t="n">
        <v>174</v>
      </c>
    </row>
    <row r="182" customFormat="false" ht="22.35" hidden="false" customHeight="false" outlineLevel="0" collapsed="false">
      <c r="A182" s="57" t="s">
        <v>4171</v>
      </c>
      <c r="B182" s="58" t="s">
        <v>3029</v>
      </c>
      <c r="C182" s="58" t="s">
        <v>132</v>
      </c>
      <c r="D182" s="59" t="s">
        <v>4172</v>
      </c>
      <c r="E182" s="58" t="s">
        <v>221</v>
      </c>
      <c r="F182" s="60" t="s">
        <v>4173</v>
      </c>
      <c r="G182" s="58" t="s">
        <v>4174</v>
      </c>
      <c r="H182" s="58" t="s">
        <v>3187</v>
      </c>
      <c r="I182" s="58"/>
      <c r="J182" s="58" t="s">
        <v>4175</v>
      </c>
      <c r="K182" s="58" t="s">
        <v>485</v>
      </c>
      <c r="L182" s="58" t="s">
        <v>3188</v>
      </c>
      <c r="M182" s="58" t="s">
        <v>4176</v>
      </c>
      <c r="N182" s="61" t="s">
        <v>91</v>
      </c>
      <c r="O182" s="58" t="s">
        <v>3588</v>
      </c>
      <c r="P182" s="61" t="n">
        <v>175</v>
      </c>
    </row>
    <row r="183" customFormat="false" ht="32.8" hidden="false" customHeight="false" outlineLevel="0" collapsed="false">
      <c r="A183" s="22" t="s">
        <v>4177</v>
      </c>
      <c r="B183" s="17" t="s">
        <v>3029</v>
      </c>
      <c r="C183" s="17" t="s">
        <v>133</v>
      </c>
      <c r="D183" s="55" t="s">
        <v>4178</v>
      </c>
      <c r="E183" s="17" t="s">
        <v>235</v>
      </c>
      <c r="F183" s="56" t="s">
        <v>4179</v>
      </c>
      <c r="G183" s="17" t="s">
        <v>4180</v>
      </c>
      <c r="H183" s="17"/>
      <c r="I183" s="17"/>
      <c r="J183" s="17"/>
      <c r="K183" s="17"/>
      <c r="L183" s="17" t="s">
        <v>4181</v>
      </c>
      <c r="M183" s="17" t="s">
        <v>4182</v>
      </c>
      <c r="N183" s="15" t="s">
        <v>91</v>
      </c>
      <c r="O183" s="17" t="s">
        <v>4183</v>
      </c>
      <c r="P183" s="15" t="n">
        <v>6</v>
      </c>
    </row>
    <row r="184" customFormat="false" ht="15" hidden="false" customHeight="false" outlineLevel="0" collapsed="false">
      <c r="A184" s="57" t="s">
        <v>4184</v>
      </c>
      <c r="B184" s="58" t="s">
        <v>3029</v>
      </c>
      <c r="C184" s="58" t="s">
        <v>133</v>
      </c>
      <c r="D184" s="59" t="s">
        <v>4185</v>
      </c>
      <c r="E184" s="58" t="s">
        <v>234</v>
      </c>
      <c r="F184" s="60" t="s">
        <v>4186</v>
      </c>
      <c r="G184" s="58" t="s">
        <v>4187</v>
      </c>
      <c r="H184" s="58" t="s">
        <v>594</v>
      </c>
      <c r="I184" s="58" t="s">
        <v>4188</v>
      </c>
      <c r="J184" s="58"/>
      <c r="K184" s="58"/>
      <c r="L184" s="58" t="s">
        <v>4189</v>
      </c>
      <c r="M184" s="58"/>
      <c r="N184" s="61" t="s">
        <v>91</v>
      </c>
      <c r="O184" s="58" t="s">
        <v>4183</v>
      </c>
      <c r="P184" s="61" t="n">
        <v>39</v>
      </c>
    </row>
    <row r="185" customFormat="false" ht="22.35" hidden="false" customHeight="false" outlineLevel="0" collapsed="false">
      <c r="A185" s="22" t="s">
        <v>4190</v>
      </c>
      <c r="B185" s="17" t="s">
        <v>3029</v>
      </c>
      <c r="C185" s="17" t="s">
        <v>133</v>
      </c>
      <c r="D185" s="55" t="s">
        <v>4191</v>
      </c>
      <c r="E185" s="17" t="s">
        <v>234</v>
      </c>
      <c r="F185" s="56" t="s">
        <v>4192</v>
      </c>
      <c r="G185" s="17" t="s">
        <v>4193</v>
      </c>
      <c r="H185" s="17" t="s">
        <v>4194</v>
      </c>
      <c r="I185" s="17" t="s">
        <v>4195</v>
      </c>
      <c r="J185" s="17"/>
      <c r="K185" s="17" t="s">
        <v>1192</v>
      </c>
      <c r="L185" s="17" t="s">
        <v>4196</v>
      </c>
      <c r="M185" s="17"/>
      <c r="N185" s="15" t="s">
        <v>91</v>
      </c>
      <c r="O185" s="17" t="s">
        <v>4183</v>
      </c>
      <c r="P185" s="15" t="n">
        <v>49</v>
      </c>
    </row>
    <row r="186" customFormat="false" ht="22.35" hidden="false" customHeight="false" outlineLevel="0" collapsed="false">
      <c r="A186" s="57" t="s">
        <v>4197</v>
      </c>
      <c r="B186" s="58" t="s">
        <v>3029</v>
      </c>
      <c r="C186" s="58" t="s">
        <v>133</v>
      </c>
      <c r="D186" s="59" t="s">
        <v>4198</v>
      </c>
      <c r="E186" s="58" t="s">
        <v>234</v>
      </c>
      <c r="F186" s="60" t="s">
        <v>4199</v>
      </c>
      <c r="G186" s="58" t="s">
        <v>4200</v>
      </c>
      <c r="H186" s="58" t="s">
        <v>4194</v>
      </c>
      <c r="I186" s="58" t="s">
        <v>4195</v>
      </c>
      <c r="J186" s="58"/>
      <c r="K186" s="58" t="s">
        <v>1192</v>
      </c>
      <c r="L186" s="58" t="s">
        <v>4201</v>
      </c>
      <c r="M186" s="58"/>
      <c r="N186" s="61" t="s">
        <v>91</v>
      </c>
      <c r="O186" s="58" t="s">
        <v>4183</v>
      </c>
      <c r="P186" s="61" t="n">
        <v>59</v>
      </c>
    </row>
    <row r="187" customFormat="false" ht="22.35" hidden="false" customHeight="false" outlineLevel="0" collapsed="false">
      <c r="A187" s="22" t="s">
        <v>4202</v>
      </c>
      <c r="B187" s="17" t="s">
        <v>3029</v>
      </c>
      <c r="C187" s="17" t="s">
        <v>134</v>
      </c>
      <c r="D187" s="55" t="s">
        <v>4203</v>
      </c>
      <c r="E187" s="17" t="s">
        <v>235</v>
      </c>
      <c r="F187" s="56" t="s">
        <v>4204</v>
      </c>
      <c r="G187" s="17" t="s">
        <v>4205</v>
      </c>
      <c r="H187" s="17"/>
      <c r="I187" s="17"/>
      <c r="J187" s="17"/>
      <c r="K187" s="17"/>
      <c r="L187" s="17" t="s">
        <v>3174</v>
      </c>
      <c r="M187" s="17"/>
      <c r="N187" s="15" t="s">
        <v>91</v>
      </c>
      <c r="O187" s="17" t="s">
        <v>1399</v>
      </c>
      <c r="P187" s="15" t="n">
        <v>32</v>
      </c>
    </row>
    <row r="188" customFormat="false" ht="22.35" hidden="false" customHeight="false" outlineLevel="0" collapsed="false">
      <c r="A188" s="57" t="s">
        <v>4206</v>
      </c>
      <c r="B188" s="58" t="s">
        <v>3029</v>
      </c>
      <c r="C188" s="58" t="s">
        <v>134</v>
      </c>
      <c r="D188" s="59" t="s">
        <v>4207</v>
      </c>
      <c r="E188" s="58" t="s">
        <v>221</v>
      </c>
      <c r="F188" s="60" t="s">
        <v>3178</v>
      </c>
      <c r="G188" s="58" t="s">
        <v>4208</v>
      </c>
      <c r="H188" s="58" t="s">
        <v>3180</v>
      </c>
      <c r="I188" s="58"/>
      <c r="J188" s="58" t="s">
        <v>4209</v>
      </c>
      <c r="K188" s="58" t="s">
        <v>4210</v>
      </c>
      <c r="L188" s="58" t="s">
        <v>1282</v>
      </c>
      <c r="M188" s="58" t="s">
        <v>4211</v>
      </c>
      <c r="N188" s="61" t="s">
        <v>91</v>
      </c>
      <c r="O188" s="58" t="s">
        <v>1399</v>
      </c>
      <c r="P188" s="61" t="n">
        <v>38</v>
      </c>
    </row>
    <row r="189" customFormat="false" ht="15" hidden="false" customHeight="false" outlineLevel="0" collapsed="false">
      <c r="A189" s="22" t="s">
        <v>4212</v>
      </c>
      <c r="B189" s="17" t="s">
        <v>3029</v>
      </c>
      <c r="C189" s="17" t="s">
        <v>134</v>
      </c>
      <c r="D189" s="55" t="s">
        <v>4213</v>
      </c>
      <c r="E189" s="17" t="s">
        <v>221</v>
      </c>
      <c r="F189" s="56" t="s">
        <v>3192</v>
      </c>
      <c r="G189" s="17" t="s">
        <v>4214</v>
      </c>
      <c r="H189" s="17"/>
      <c r="I189" s="17"/>
      <c r="J189" s="17"/>
      <c r="K189" s="17"/>
      <c r="L189" s="17" t="s">
        <v>125</v>
      </c>
      <c r="M189" s="17" t="s">
        <v>4215</v>
      </c>
      <c r="N189" s="15" t="s">
        <v>91</v>
      </c>
      <c r="O189" s="17" t="s">
        <v>1399</v>
      </c>
      <c r="P189" s="15" t="n">
        <v>39</v>
      </c>
    </row>
    <row r="190" customFormat="false" ht="32.8" hidden="false" customHeight="false" outlineLevel="0" collapsed="false">
      <c r="A190" s="57" t="s">
        <v>4216</v>
      </c>
      <c r="B190" s="58" t="s">
        <v>3029</v>
      </c>
      <c r="C190" s="58" t="s">
        <v>135</v>
      </c>
      <c r="D190" s="59" t="s">
        <v>4217</v>
      </c>
      <c r="E190" s="58" t="s">
        <v>235</v>
      </c>
      <c r="F190" s="60" t="s">
        <v>4218</v>
      </c>
      <c r="G190" s="58" t="s">
        <v>4219</v>
      </c>
      <c r="H190" s="58"/>
      <c r="I190" s="58"/>
      <c r="J190" s="58"/>
      <c r="K190" s="58"/>
      <c r="L190" s="58" t="s">
        <v>4220</v>
      </c>
      <c r="M190" s="58" t="s">
        <v>4221</v>
      </c>
      <c r="N190" s="61" t="s">
        <v>91</v>
      </c>
      <c r="O190" s="58" t="s">
        <v>4222</v>
      </c>
      <c r="P190" s="61" t="n">
        <v>24</v>
      </c>
    </row>
    <row r="191" customFormat="false" ht="22.35" hidden="false" customHeight="false" outlineLevel="0" collapsed="false">
      <c r="A191" s="22" t="s">
        <v>4223</v>
      </c>
      <c r="B191" s="17" t="s">
        <v>3029</v>
      </c>
      <c r="C191" s="17" t="s">
        <v>135</v>
      </c>
      <c r="D191" s="55" t="s">
        <v>4224</v>
      </c>
      <c r="E191" s="17" t="s">
        <v>221</v>
      </c>
      <c r="F191" s="56" t="s">
        <v>4225</v>
      </c>
      <c r="G191" s="17" t="s">
        <v>4226</v>
      </c>
      <c r="H191" s="17" t="s">
        <v>4227</v>
      </c>
      <c r="I191" s="17"/>
      <c r="J191" s="17"/>
      <c r="K191" s="17"/>
      <c r="L191" s="17"/>
      <c r="M191" s="17" t="s">
        <v>3041</v>
      </c>
      <c r="N191" s="15" t="s">
        <v>91</v>
      </c>
      <c r="O191" s="17" t="s">
        <v>4222</v>
      </c>
      <c r="P191" s="15" t="n">
        <v>28</v>
      </c>
    </row>
    <row r="192" customFormat="false" ht="22.35" hidden="false" customHeight="false" outlineLevel="0" collapsed="false">
      <c r="A192" s="57" t="s">
        <v>4228</v>
      </c>
      <c r="B192" s="58" t="s">
        <v>3029</v>
      </c>
      <c r="C192" s="58" t="s">
        <v>135</v>
      </c>
      <c r="D192" s="59" t="s">
        <v>4229</v>
      </c>
      <c r="E192" s="58" t="s">
        <v>221</v>
      </c>
      <c r="F192" s="60" t="s">
        <v>4230</v>
      </c>
      <c r="G192" s="58" t="s">
        <v>4231</v>
      </c>
      <c r="H192" s="58" t="s">
        <v>3103</v>
      </c>
      <c r="I192" s="58"/>
      <c r="J192" s="58"/>
      <c r="K192" s="58"/>
      <c r="L192" s="58"/>
      <c r="M192" s="58" t="s">
        <v>3041</v>
      </c>
      <c r="N192" s="61" t="s">
        <v>91</v>
      </c>
      <c r="O192" s="58" t="s">
        <v>4222</v>
      </c>
      <c r="P192" s="61" t="n">
        <v>76</v>
      </c>
    </row>
    <row r="193" customFormat="false" ht="15" hidden="false" customHeight="false" outlineLevel="0" collapsed="false">
      <c r="A193" s="22" t="s">
        <v>4232</v>
      </c>
      <c r="B193" s="17" t="s">
        <v>3029</v>
      </c>
      <c r="C193" s="17" t="s">
        <v>135</v>
      </c>
      <c r="D193" s="55" t="s">
        <v>4233</v>
      </c>
      <c r="E193" s="17" t="s">
        <v>227</v>
      </c>
      <c r="F193" s="56" t="s">
        <v>4234</v>
      </c>
      <c r="G193" s="17" t="s">
        <v>4235</v>
      </c>
      <c r="H193" s="17"/>
      <c r="I193" s="17"/>
      <c r="J193" s="17"/>
      <c r="K193" s="17"/>
      <c r="L193" s="17" t="s">
        <v>4236</v>
      </c>
      <c r="M193" s="17"/>
      <c r="N193" s="15" t="s">
        <v>91</v>
      </c>
      <c r="O193" s="17" t="s">
        <v>4222</v>
      </c>
      <c r="P193" s="15" t="n">
        <v>79</v>
      </c>
    </row>
    <row r="194" customFormat="false" ht="15" hidden="false" customHeight="false" outlineLevel="0" collapsed="false">
      <c r="A194" s="57" t="s">
        <v>4237</v>
      </c>
      <c r="B194" s="58" t="s">
        <v>3029</v>
      </c>
      <c r="C194" s="58" t="s">
        <v>135</v>
      </c>
      <c r="D194" s="59" t="s">
        <v>4238</v>
      </c>
      <c r="E194" s="58" t="s">
        <v>227</v>
      </c>
      <c r="F194" s="60" t="s">
        <v>4239</v>
      </c>
      <c r="G194" s="58" t="s">
        <v>4240</v>
      </c>
      <c r="H194" s="58"/>
      <c r="I194" s="58"/>
      <c r="J194" s="58"/>
      <c r="K194" s="58"/>
      <c r="L194" s="58" t="s">
        <v>4236</v>
      </c>
      <c r="M194" s="58"/>
      <c r="N194" s="61" t="s">
        <v>91</v>
      </c>
      <c r="O194" s="58" t="s">
        <v>4222</v>
      </c>
      <c r="P194" s="61" t="n">
        <v>80</v>
      </c>
    </row>
    <row r="195" customFormat="false" ht="15" hidden="false" customHeight="false" outlineLevel="0" collapsed="false">
      <c r="A195" s="22" t="s">
        <v>4241</v>
      </c>
      <c r="B195" s="17" t="s">
        <v>3029</v>
      </c>
      <c r="C195" s="17" t="s">
        <v>135</v>
      </c>
      <c r="D195" s="55" t="s">
        <v>4242</v>
      </c>
      <c r="E195" s="17" t="s">
        <v>227</v>
      </c>
      <c r="F195" s="56" t="s">
        <v>4243</v>
      </c>
      <c r="G195" s="17" t="s">
        <v>4244</v>
      </c>
      <c r="H195" s="17"/>
      <c r="I195" s="17"/>
      <c r="J195" s="17"/>
      <c r="K195" s="17"/>
      <c r="L195" s="17" t="s">
        <v>4236</v>
      </c>
      <c r="M195" s="17"/>
      <c r="N195" s="15" t="s">
        <v>91</v>
      </c>
      <c r="O195" s="17" t="s">
        <v>4222</v>
      </c>
      <c r="P195" s="15" t="n">
        <v>81</v>
      </c>
    </row>
    <row r="196" customFormat="false" ht="15" hidden="false" customHeight="false" outlineLevel="0" collapsed="false">
      <c r="A196" s="57" t="s">
        <v>4245</v>
      </c>
      <c r="B196" s="58" t="s">
        <v>3029</v>
      </c>
      <c r="C196" s="58" t="s">
        <v>135</v>
      </c>
      <c r="D196" s="59" t="s">
        <v>4246</v>
      </c>
      <c r="E196" s="58" t="s">
        <v>227</v>
      </c>
      <c r="F196" s="60" t="s">
        <v>4247</v>
      </c>
      <c r="G196" s="58" t="s">
        <v>4248</v>
      </c>
      <c r="H196" s="58"/>
      <c r="I196" s="58" t="s">
        <v>4249</v>
      </c>
      <c r="J196" s="58"/>
      <c r="K196" s="58"/>
      <c r="L196" s="58" t="s">
        <v>4236</v>
      </c>
      <c r="M196" s="58"/>
      <c r="N196" s="61" t="s">
        <v>91</v>
      </c>
      <c r="O196" s="58" t="s">
        <v>4222</v>
      </c>
      <c r="P196" s="61" t="n">
        <v>83</v>
      </c>
    </row>
    <row r="197" customFormat="false" ht="15" hidden="false" customHeight="false" outlineLevel="0" collapsed="false">
      <c r="A197" s="22" t="s">
        <v>4250</v>
      </c>
      <c r="B197" s="17" t="s">
        <v>3029</v>
      </c>
      <c r="C197" s="17" t="s">
        <v>135</v>
      </c>
      <c r="D197" s="55" t="s">
        <v>4251</v>
      </c>
      <c r="E197" s="17" t="s">
        <v>227</v>
      </c>
      <c r="F197" s="56" t="s">
        <v>4252</v>
      </c>
      <c r="G197" s="17" t="s">
        <v>4253</v>
      </c>
      <c r="H197" s="17"/>
      <c r="I197" s="17"/>
      <c r="J197" s="17"/>
      <c r="K197" s="17"/>
      <c r="L197" s="17" t="s">
        <v>4236</v>
      </c>
      <c r="M197" s="17"/>
      <c r="N197" s="15" t="s">
        <v>91</v>
      </c>
      <c r="O197" s="17" t="s">
        <v>4222</v>
      </c>
      <c r="P197" s="15" t="n">
        <v>84</v>
      </c>
    </row>
    <row r="198" customFormat="false" ht="22.35" hidden="false" customHeight="false" outlineLevel="0" collapsed="false">
      <c r="A198" s="57" t="s">
        <v>4254</v>
      </c>
      <c r="B198" s="58" t="s">
        <v>3029</v>
      </c>
      <c r="C198" s="58" t="s">
        <v>136</v>
      </c>
      <c r="D198" s="59" t="s">
        <v>4255</v>
      </c>
      <c r="E198" s="58" t="s">
        <v>235</v>
      </c>
      <c r="F198" s="60" t="s">
        <v>4256</v>
      </c>
      <c r="G198" s="58" t="s">
        <v>4257</v>
      </c>
      <c r="H198" s="58"/>
      <c r="I198" s="58"/>
      <c r="J198" s="58"/>
      <c r="K198" s="58"/>
      <c r="L198" s="58" t="s">
        <v>3174</v>
      </c>
      <c r="M198" s="58" t="s">
        <v>4258</v>
      </c>
      <c r="N198" s="61" t="s">
        <v>91</v>
      </c>
      <c r="O198" s="58" t="s">
        <v>1399</v>
      </c>
      <c r="P198" s="61" t="n">
        <v>95</v>
      </c>
    </row>
    <row r="199" customFormat="false" ht="22.35" hidden="false" customHeight="false" outlineLevel="0" collapsed="false">
      <c r="A199" s="22" t="s">
        <v>4259</v>
      </c>
      <c r="B199" s="17" t="s">
        <v>3029</v>
      </c>
      <c r="C199" s="17" t="s">
        <v>136</v>
      </c>
      <c r="D199" s="55" t="s">
        <v>4260</v>
      </c>
      <c r="E199" s="17" t="s">
        <v>221</v>
      </c>
      <c r="F199" s="56" t="s">
        <v>3178</v>
      </c>
      <c r="G199" s="17" t="s">
        <v>4261</v>
      </c>
      <c r="H199" s="17" t="s">
        <v>3180</v>
      </c>
      <c r="I199" s="17"/>
      <c r="J199" s="17" t="s">
        <v>4262</v>
      </c>
      <c r="K199" s="17"/>
      <c r="L199" s="17" t="s">
        <v>1282</v>
      </c>
      <c r="M199" s="17" t="s">
        <v>4263</v>
      </c>
      <c r="N199" s="15" t="s">
        <v>91</v>
      </c>
      <c r="O199" s="17" t="s">
        <v>1399</v>
      </c>
      <c r="P199" s="15" t="n">
        <v>101</v>
      </c>
    </row>
    <row r="200" customFormat="false" ht="22.35" hidden="false" customHeight="false" outlineLevel="0" collapsed="false">
      <c r="A200" s="57" t="s">
        <v>4264</v>
      </c>
      <c r="B200" s="58" t="s">
        <v>3029</v>
      </c>
      <c r="C200" s="58" t="s">
        <v>136</v>
      </c>
      <c r="D200" s="59" t="s">
        <v>4265</v>
      </c>
      <c r="E200" s="58" t="s">
        <v>221</v>
      </c>
      <c r="F200" s="60" t="s">
        <v>3185</v>
      </c>
      <c r="G200" s="58" t="s">
        <v>4266</v>
      </c>
      <c r="H200" s="58" t="s">
        <v>3187</v>
      </c>
      <c r="I200" s="58"/>
      <c r="J200" s="58"/>
      <c r="K200" s="58" t="s">
        <v>492</v>
      </c>
      <c r="L200" s="58" t="s">
        <v>3188</v>
      </c>
      <c r="M200" s="58" t="s">
        <v>4267</v>
      </c>
      <c r="N200" s="61" t="s">
        <v>91</v>
      </c>
      <c r="O200" s="58" t="s">
        <v>1399</v>
      </c>
      <c r="P200" s="61" t="n">
        <v>102</v>
      </c>
    </row>
    <row r="201" customFormat="false" ht="15" hidden="false" customHeight="false" outlineLevel="0" collapsed="false">
      <c r="A201" s="22" t="s">
        <v>4268</v>
      </c>
      <c r="B201" s="17" t="s">
        <v>3029</v>
      </c>
      <c r="C201" s="17" t="s">
        <v>136</v>
      </c>
      <c r="D201" s="55" t="s">
        <v>4269</v>
      </c>
      <c r="E201" s="17" t="s">
        <v>221</v>
      </c>
      <c r="F201" s="56" t="s">
        <v>3192</v>
      </c>
      <c r="G201" s="17" t="s">
        <v>4270</v>
      </c>
      <c r="H201" s="17"/>
      <c r="I201" s="17"/>
      <c r="J201" s="17"/>
      <c r="K201" s="17"/>
      <c r="L201" s="17" t="s">
        <v>125</v>
      </c>
      <c r="M201" s="17" t="s">
        <v>4271</v>
      </c>
      <c r="N201" s="15" t="s">
        <v>91</v>
      </c>
      <c r="O201" s="17" t="s">
        <v>1399</v>
      </c>
      <c r="P201" s="15" t="n">
        <v>103</v>
      </c>
    </row>
  </sheetData>
  <autoFilter ref="A4:P201"/>
  <mergeCells count="1">
    <mergeCell ref="A2:J2"/>
  </mergeCells>
  <printOptions headings="false" gridLines="false" gridLinesSet="true" horizontalCentered="true" verticalCentered="false"/>
  <pageMargins left="0.4" right="0.4" top="0.5" bottom="0.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&amp;LiW-ASCEJ-01-API-Reference-R1.0-REL1.0&amp;C&amp;A&amp;RPage &amp;P of &amp;N</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P3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8"/>
    <col collapsed="false" customWidth="true" hidden="false" outlineLevel="0" max="4" min="4" style="0" width="30"/>
    <col collapsed="false" customWidth="true" hidden="false" outlineLevel="0" max="5" min="5" style="0" width="12"/>
    <col collapsed="false" customWidth="true" hidden="false" outlineLevel="0" max="6" min="6" style="0" width="46"/>
    <col collapsed="false" customWidth="true" hidden="false" outlineLevel="0" max="7" min="7" style="0" width="52"/>
    <col collapsed="false" customWidth="true" hidden="false" outlineLevel="0" max="9" min="8" style="0" width="34"/>
    <col collapsed="false" customWidth="true" hidden="false" outlineLevel="0" max="10" min="10" style="0" width="46"/>
    <col collapsed="false" customWidth="true" hidden="false" outlineLevel="0" max="11" min="11" style="0" width="10"/>
    <col collapsed="false" customWidth="true" hidden="false" outlineLevel="0" max="12" min="12" style="0" width="34"/>
    <col collapsed="false" customWidth="true" hidden="false" outlineLevel="0" max="13" min="13" style="0" width="40"/>
    <col collapsed="false" customWidth="true" hidden="false" outlineLevel="0" max="14" min="14" style="0" width="6"/>
    <col collapsed="false" customWidth="true" hidden="false" outlineLevel="0" max="15" min="15" style="0" width="46"/>
    <col collapsed="false" customWidth="true" hidden="false" outlineLevel="0" max="16" min="16" style="0" width="7"/>
  </cols>
  <sheetData>
    <row r="1" customFormat="false" ht="25.5" hidden="false" customHeight="true" outlineLevel="0" collapsed="false">
      <c r="A1" s="12" t="s">
        <v>4272</v>
      </c>
    </row>
    <row r="2" customFormat="false" ht="30" hidden="false" customHeight="true" outlineLevel="0" collapsed="false">
      <c r="A2" s="13" t="s">
        <v>58</v>
      </c>
      <c r="B2" s="13"/>
      <c r="C2" s="13"/>
      <c r="D2" s="13"/>
      <c r="E2" s="13"/>
      <c r="F2" s="13"/>
      <c r="G2" s="13"/>
      <c r="H2" s="13"/>
      <c r="I2" s="13"/>
      <c r="J2" s="13"/>
    </row>
    <row r="3" customFormat="false" ht="15" hidden="false" customHeight="false" outlineLevel="0" collapsed="false">
      <c r="A3" s="9" t="s">
        <v>4273</v>
      </c>
    </row>
    <row r="4" customFormat="false" ht="30" hidden="false" customHeight="true" outlineLevel="0" collapsed="false">
      <c r="A4" s="14" t="s">
        <v>398</v>
      </c>
      <c r="B4" s="14" t="s">
        <v>1006</v>
      </c>
      <c r="C4" s="14" t="s">
        <v>98</v>
      </c>
      <c r="D4" s="14" t="s">
        <v>1007</v>
      </c>
      <c r="E4" s="14" t="s">
        <v>220</v>
      </c>
      <c r="F4" s="14" t="s">
        <v>1008</v>
      </c>
      <c r="G4" s="14" t="s">
        <v>1009</v>
      </c>
      <c r="H4" s="14" t="s">
        <v>1010</v>
      </c>
      <c r="I4" s="14" t="s">
        <v>1011</v>
      </c>
      <c r="J4" s="14" t="s">
        <v>1012</v>
      </c>
      <c r="K4" s="14" t="s">
        <v>1013</v>
      </c>
      <c r="L4" s="14" t="s">
        <v>1014</v>
      </c>
      <c r="M4" s="14" t="s">
        <v>1015</v>
      </c>
      <c r="N4" s="14" t="s">
        <v>1016</v>
      </c>
      <c r="O4" s="14" t="s">
        <v>1017</v>
      </c>
      <c r="P4" s="14" t="s">
        <v>1018</v>
      </c>
    </row>
    <row r="5" customFormat="false" ht="22.35" hidden="false" customHeight="false" outlineLevel="0" collapsed="false">
      <c r="A5" s="22" t="s">
        <v>4274</v>
      </c>
      <c r="B5" s="17" t="s">
        <v>4275</v>
      </c>
      <c r="C5" s="17" t="s">
        <v>161</v>
      </c>
      <c r="D5" s="55" t="s">
        <v>4276</v>
      </c>
      <c r="E5" s="17" t="s">
        <v>234</v>
      </c>
      <c r="F5" s="56" t="s">
        <v>4277</v>
      </c>
      <c r="G5" s="17" t="s">
        <v>4278</v>
      </c>
      <c r="H5" s="17" t="s">
        <v>4279</v>
      </c>
      <c r="I5" s="17" t="s">
        <v>4280</v>
      </c>
      <c r="J5" s="17"/>
      <c r="K5" s="17" t="s">
        <v>656</v>
      </c>
      <c r="L5" s="17" t="s">
        <v>4281</v>
      </c>
      <c r="M5" s="17" t="s">
        <v>4282</v>
      </c>
      <c r="N5" s="15" t="s">
        <v>91</v>
      </c>
      <c r="O5" s="17" t="s">
        <v>4283</v>
      </c>
      <c r="P5" s="15" t="n">
        <v>20</v>
      </c>
    </row>
    <row r="6" customFormat="false" ht="64.15" hidden="false" customHeight="false" outlineLevel="0" collapsed="false">
      <c r="A6" s="57" t="s">
        <v>4284</v>
      </c>
      <c r="B6" s="58" t="s">
        <v>4275</v>
      </c>
      <c r="C6" s="58" t="s">
        <v>161</v>
      </c>
      <c r="D6" s="59" t="s">
        <v>4285</v>
      </c>
      <c r="E6" s="58" t="s">
        <v>234</v>
      </c>
      <c r="F6" s="60" t="s">
        <v>4286</v>
      </c>
      <c r="G6" s="58" t="s">
        <v>4287</v>
      </c>
      <c r="H6" s="58" t="s">
        <v>4288</v>
      </c>
      <c r="I6" s="58" t="s">
        <v>4289</v>
      </c>
      <c r="J6" s="58"/>
      <c r="K6" s="58"/>
      <c r="L6" s="58" t="s">
        <v>4290</v>
      </c>
      <c r="M6" s="58" t="s">
        <v>4291</v>
      </c>
      <c r="N6" s="61" t="s">
        <v>91</v>
      </c>
      <c r="O6" s="58" t="s">
        <v>4283</v>
      </c>
      <c r="P6" s="61" t="n">
        <v>31</v>
      </c>
    </row>
    <row r="7" customFormat="false" ht="53.7" hidden="false" customHeight="false" outlineLevel="0" collapsed="false">
      <c r="A7" s="22" t="s">
        <v>4292</v>
      </c>
      <c r="B7" s="17" t="s">
        <v>4275</v>
      </c>
      <c r="C7" s="17" t="s">
        <v>161</v>
      </c>
      <c r="D7" s="55" t="s">
        <v>4293</v>
      </c>
      <c r="E7" s="17" t="s">
        <v>221</v>
      </c>
      <c r="F7" s="56" t="s">
        <v>4294</v>
      </c>
      <c r="G7" s="17" t="s">
        <v>4295</v>
      </c>
      <c r="H7" s="17" t="s">
        <v>4296</v>
      </c>
      <c r="I7" s="17" t="s">
        <v>4297</v>
      </c>
      <c r="J7" s="17"/>
      <c r="K7" s="17" t="s">
        <v>4298</v>
      </c>
      <c r="L7" s="17" t="s">
        <v>4285</v>
      </c>
      <c r="M7" s="17" t="s">
        <v>4299</v>
      </c>
      <c r="N7" s="15" t="s">
        <v>91</v>
      </c>
      <c r="O7" s="17" t="s">
        <v>4283</v>
      </c>
      <c r="P7" s="15" t="n">
        <v>72</v>
      </c>
    </row>
    <row r="8" customFormat="false" ht="22.35" hidden="false" customHeight="false" outlineLevel="0" collapsed="false">
      <c r="A8" s="57" t="s">
        <v>4300</v>
      </c>
      <c r="B8" s="58" t="s">
        <v>4275</v>
      </c>
      <c r="C8" s="58" t="s">
        <v>161</v>
      </c>
      <c r="D8" s="59" t="s">
        <v>4301</v>
      </c>
      <c r="E8" s="58" t="s">
        <v>221</v>
      </c>
      <c r="F8" s="60" t="s">
        <v>4302</v>
      </c>
      <c r="G8" s="58" t="s">
        <v>4303</v>
      </c>
      <c r="H8" s="58" t="s">
        <v>4304</v>
      </c>
      <c r="I8" s="58" t="s">
        <v>4305</v>
      </c>
      <c r="J8" s="58"/>
      <c r="K8" s="58"/>
      <c r="L8" s="58" t="s">
        <v>4285</v>
      </c>
      <c r="M8" s="58" t="s">
        <v>4306</v>
      </c>
      <c r="N8" s="61" t="s">
        <v>91</v>
      </c>
      <c r="O8" s="58" t="s">
        <v>4283</v>
      </c>
      <c r="P8" s="61" t="n">
        <v>138</v>
      </c>
    </row>
    <row r="9" customFormat="false" ht="32.8" hidden="false" customHeight="false" outlineLevel="0" collapsed="false">
      <c r="A9" s="22" t="s">
        <v>4307</v>
      </c>
      <c r="B9" s="17" t="s">
        <v>4275</v>
      </c>
      <c r="C9" s="17" t="s">
        <v>161</v>
      </c>
      <c r="D9" s="55" t="s">
        <v>4308</v>
      </c>
      <c r="E9" s="17" t="s">
        <v>221</v>
      </c>
      <c r="F9" s="56" t="s">
        <v>4309</v>
      </c>
      <c r="G9" s="17" t="s">
        <v>4310</v>
      </c>
      <c r="H9" s="17" t="s">
        <v>4311</v>
      </c>
      <c r="I9" s="17" t="s">
        <v>4312</v>
      </c>
      <c r="J9" s="17"/>
      <c r="K9" s="17" t="s">
        <v>4313</v>
      </c>
      <c r="L9" s="17" t="s">
        <v>4285</v>
      </c>
      <c r="M9" s="17"/>
      <c r="N9" s="15" t="s">
        <v>91</v>
      </c>
      <c r="O9" s="17" t="s">
        <v>4283</v>
      </c>
      <c r="P9" s="15" t="n">
        <v>176</v>
      </c>
    </row>
    <row r="10" customFormat="false" ht="32.8" hidden="false" customHeight="false" outlineLevel="0" collapsed="false">
      <c r="A10" s="57" t="s">
        <v>4314</v>
      </c>
      <c r="B10" s="58" t="s">
        <v>4275</v>
      </c>
      <c r="C10" s="58" t="s">
        <v>161</v>
      </c>
      <c r="D10" s="59" t="s">
        <v>4315</v>
      </c>
      <c r="E10" s="58" t="s">
        <v>221</v>
      </c>
      <c r="F10" s="60" t="s">
        <v>4316</v>
      </c>
      <c r="G10" s="58" t="s">
        <v>4317</v>
      </c>
      <c r="H10" s="58"/>
      <c r="I10" s="58" t="s">
        <v>4318</v>
      </c>
      <c r="J10" s="58"/>
      <c r="K10" s="58"/>
      <c r="L10" s="58" t="s">
        <v>4285</v>
      </c>
      <c r="M10" s="58" t="s">
        <v>4319</v>
      </c>
      <c r="N10" s="61" t="s">
        <v>91</v>
      </c>
      <c r="O10" s="58" t="s">
        <v>4283</v>
      </c>
      <c r="P10" s="61" t="n">
        <v>201</v>
      </c>
    </row>
    <row r="11" customFormat="false" ht="53.7" hidden="false" customHeight="false" outlineLevel="0" collapsed="false">
      <c r="A11" s="22" t="s">
        <v>4320</v>
      </c>
      <c r="B11" s="17" t="s">
        <v>4275</v>
      </c>
      <c r="C11" s="17" t="s">
        <v>161</v>
      </c>
      <c r="D11" s="55" t="s">
        <v>4321</v>
      </c>
      <c r="E11" s="17" t="s">
        <v>221</v>
      </c>
      <c r="F11" s="56" t="s">
        <v>4322</v>
      </c>
      <c r="G11" s="17" t="s">
        <v>4323</v>
      </c>
      <c r="H11" s="17" t="s">
        <v>3921</v>
      </c>
      <c r="I11" s="17"/>
      <c r="J11" s="17"/>
      <c r="K11" s="17"/>
      <c r="L11" s="17" t="s">
        <v>4285</v>
      </c>
      <c r="M11" s="17" t="s">
        <v>4324</v>
      </c>
      <c r="N11" s="15" t="s">
        <v>91</v>
      </c>
      <c r="O11" s="17" t="s">
        <v>4283</v>
      </c>
      <c r="P11" s="15" t="n">
        <v>225</v>
      </c>
    </row>
    <row r="12" customFormat="false" ht="32.8" hidden="false" customHeight="false" outlineLevel="0" collapsed="false">
      <c r="A12" s="57" t="s">
        <v>4325</v>
      </c>
      <c r="B12" s="58" t="s">
        <v>4275</v>
      </c>
      <c r="C12" s="58" t="s">
        <v>161</v>
      </c>
      <c r="D12" s="59" t="s">
        <v>4326</v>
      </c>
      <c r="E12" s="58" t="s">
        <v>221</v>
      </c>
      <c r="F12" s="60" t="s">
        <v>4327</v>
      </c>
      <c r="G12" s="58" t="s">
        <v>4328</v>
      </c>
      <c r="H12" s="58" t="s">
        <v>3187</v>
      </c>
      <c r="I12" s="58" t="s">
        <v>4329</v>
      </c>
      <c r="J12" s="58"/>
      <c r="K12" s="58"/>
      <c r="L12" s="58" t="s">
        <v>4285</v>
      </c>
      <c r="M12" s="58" t="s">
        <v>4330</v>
      </c>
      <c r="N12" s="61" t="s">
        <v>91</v>
      </c>
      <c r="O12" s="58" t="s">
        <v>4283</v>
      </c>
      <c r="P12" s="61" t="n">
        <v>231</v>
      </c>
    </row>
    <row r="13" customFormat="false" ht="32.8" hidden="false" customHeight="false" outlineLevel="0" collapsed="false">
      <c r="A13" s="22" t="s">
        <v>4331</v>
      </c>
      <c r="B13" s="17" t="s">
        <v>4332</v>
      </c>
      <c r="C13" s="17" t="s">
        <v>137</v>
      </c>
      <c r="D13" s="55" t="s">
        <v>4333</v>
      </c>
      <c r="E13" s="17" t="s">
        <v>243</v>
      </c>
      <c r="F13" s="56" t="s">
        <v>4334</v>
      </c>
      <c r="G13" s="17" t="s">
        <v>4335</v>
      </c>
      <c r="H13" s="17"/>
      <c r="I13" s="17"/>
      <c r="J13" s="17"/>
      <c r="K13" s="17"/>
      <c r="L13" s="17" t="s">
        <v>4336</v>
      </c>
      <c r="M13" s="17" t="s">
        <v>4337</v>
      </c>
      <c r="N13" s="15" t="s">
        <v>91</v>
      </c>
      <c r="O13" s="17" t="s">
        <v>1853</v>
      </c>
      <c r="P13" s="15" t="n">
        <v>66</v>
      </c>
    </row>
    <row r="14" customFormat="false" ht="22.35" hidden="false" customHeight="false" outlineLevel="0" collapsed="false">
      <c r="A14" s="57" t="s">
        <v>4338</v>
      </c>
      <c r="B14" s="58" t="s">
        <v>4332</v>
      </c>
      <c r="C14" s="58" t="s">
        <v>137</v>
      </c>
      <c r="D14" s="59" t="s">
        <v>4339</v>
      </c>
      <c r="E14" s="58" t="s">
        <v>234</v>
      </c>
      <c r="F14" s="60" t="s">
        <v>4340</v>
      </c>
      <c r="G14" s="58" t="s">
        <v>4341</v>
      </c>
      <c r="H14" s="58" t="s">
        <v>4031</v>
      </c>
      <c r="I14" s="58" t="s">
        <v>3069</v>
      </c>
      <c r="J14" s="58"/>
      <c r="K14" s="58"/>
      <c r="L14" s="58" t="s">
        <v>4342</v>
      </c>
      <c r="M14" s="58" t="s">
        <v>4343</v>
      </c>
      <c r="N14" s="61" t="s">
        <v>91</v>
      </c>
      <c r="O14" s="58" t="s">
        <v>1853</v>
      </c>
      <c r="P14" s="61" t="n">
        <v>72</v>
      </c>
    </row>
    <row r="15" customFormat="false" ht="32.8" hidden="false" customHeight="false" outlineLevel="0" collapsed="false">
      <c r="A15" s="22" t="s">
        <v>4344</v>
      </c>
      <c r="B15" s="17" t="s">
        <v>4332</v>
      </c>
      <c r="C15" s="17" t="s">
        <v>137</v>
      </c>
      <c r="D15" s="55" t="s">
        <v>1847</v>
      </c>
      <c r="E15" s="17" t="s">
        <v>234</v>
      </c>
      <c r="F15" s="56" t="s">
        <v>1848</v>
      </c>
      <c r="G15" s="17" t="s">
        <v>4345</v>
      </c>
      <c r="H15" s="17"/>
      <c r="I15" s="17"/>
      <c r="J15" s="17" t="s">
        <v>4346</v>
      </c>
      <c r="K15" s="17" t="s">
        <v>1046</v>
      </c>
      <c r="L15" s="17" t="s">
        <v>1851</v>
      </c>
      <c r="M15" s="17" t="s">
        <v>4347</v>
      </c>
      <c r="N15" s="15" t="s">
        <v>91</v>
      </c>
      <c r="O15" s="17" t="s">
        <v>1853</v>
      </c>
      <c r="P15" s="15" t="n">
        <v>94</v>
      </c>
    </row>
    <row r="16" customFormat="false" ht="22.35" hidden="false" customHeight="false" outlineLevel="0" collapsed="false">
      <c r="A16" s="57" t="s">
        <v>4348</v>
      </c>
      <c r="B16" s="58" t="s">
        <v>4332</v>
      </c>
      <c r="C16" s="58" t="s">
        <v>137</v>
      </c>
      <c r="D16" s="59" t="s">
        <v>1814</v>
      </c>
      <c r="E16" s="58" t="s">
        <v>234</v>
      </c>
      <c r="F16" s="60" t="s">
        <v>4349</v>
      </c>
      <c r="G16" s="58" t="s">
        <v>4350</v>
      </c>
      <c r="H16" s="58"/>
      <c r="I16" s="58" t="s">
        <v>1046</v>
      </c>
      <c r="J16" s="58"/>
      <c r="K16" s="58" t="s">
        <v>1046</v>
      </c>
      <c r="L16" s="58" t="s">
        <v>4351</v>
      </c>
      <c r="M16" s="58" t="s">
        <v>4352</v>
      </c>
      <c r="N16" s="61" t="s">
        <v>91</v>
      </c>
      <c r="O16" s="58" t="s">
        <v>1853</v>
      </c>
      <c r="P16" s="61" t="n">
        <v>100</v>
      </c>
    </row>
    <row r="17" customFormat="false" ht="15" hidden="false" customHeight="false" outlineLevel="0" collapsed="false">
      <c r="A17" s="22" t="s">
        <v>4353</v>
      </c>
      <c r="B17" s="17" t="s">
        <v>4332</v>
      </c>
      <c r="C17" s="17" t="s">
        <v>137</v>
      </c>
      <c r="D17" s="55" t="s">
        <v>1822</v>
      </c>
      <c r="E17" s="17" t="s">
        <v>234</v>
      </c>
      <c r="F17" s="56" t="s">
        <v>4354</v>
      </c>
      <c r="G17" s="17" t="s">
        <v>4355</v>
      </c>
      <c r="H17" s="17" t="s">
        <v>1046</v>
      </c>
      <c r="I17" s="17" t="s">
        <v>1046</v>
      </c>
      <c r="J17" s="17"/>
      <c r="K17" s="17"/>
      <c r="L17" s="17" t="s">
        <v>4356</v>
      </c>
      <c r="M17" s="17" t="s">
        <v>4357</v>
      </c>
      <c r="N17" s="15" t="s">
        <v>91</v>
      </c>
      <c r="O17" s="17" t="s">
        <v>1853</v>
      </c>
      <c r="P17" s="15" t="n">
        <v>102</v>
      </c>
    </row>
    <row r="18" customFormat="false" ht="15" hidden="false" customHeight="false" outlineLevel="0" collapsed="false">
      <c r="A18" s="57" t="s">
        <v>4358</v>
      </c>
      <c r="B18" s="58" t="s">
        <v>4332</v>
      </c>
      <c r="C18" s="58" t="s">
        <v>137</v>
      </c>
      <c r="D18" s="59" t="s">
        <v>2648</v>
      </c>
      <c r="E18" s="58" t="s">
        <v>234</v>
      </c>
      <c r="F18" s="60" t="s">
        <v>4359</v>
      </c>
      <c r="G18" s="58" t="s">
        <v>4360</v>
      </c>
      <c r="H18" s="58" t="s">
        <v>1046</v>
      </c>
      <c r="I18" s="58" t="s">
        <v>3069</v>
      </c>
      <c r="J18" s="58"/>
      <c r="K18" s="58"/>
      <c r="L18" s="58" t="s">
        <v>4361</v>
      </c>
      <c r="M18" s="58" t="s">
        <v>4362</v>
      </c>
      <c r="N18" s="61" t="s">
        <v>91</v>
      </c>
      <c r="O18" s="58" t="s">
        <v>1853</v>
      </c>
      <c r="P18" s="61" t="n">
        <v>104</v>
      </c>
    </row>
    <row r="19" customFormat="false" ht="22.35" hidden="false" customHeight="false" outlineLevel="0" collapsed="false">
      <c r="A19" s="22" t="s">
        <v>4363</v>
      </c>
      <c r="B19" s="17" t="s">
        <v>4332</v>
      </c>
      <c r="C19" s="17" t="s">
        <v>137</v>
      </c>
      <c r="D19" s="55" t="s">
        <v>1829</v>
      </c>
      <c r="E19" s="17" t="s">
        <v>234</v>
      </c>
      <c r="F19" s="56" t="s">
        <v>4364</v>
      </c>
      <c r="G19" s="17" t="s">
        <v>4365</v>
      </c>
      <c r="H19" s="17" t="s">
        <v>3299</v>
      </c>
      <c r="I19" s="17" t="s">
        <v>4366</v>
      </c>
      <c r="J19" s="17"/>
      <c r="K19" s="17" t="s">
        <v>607</v>
      </c>
      <c r="L19" s="17" t="s">
        <v>4367</v>
      </c>
      <c r="M19" s="17" t="s">
        <v>4368</v>
      </c>
      <c r="N19" s="15" t="s">
        <v>91</v>
      </c>
      <c r="O19" s="17" t="s">
        <v>1853</v>
      </c>
      <c r="P19" s="15" t="n">
        <v>107</v>
      </c>
    </row>
    <row r="20" customFormat="false" ht="22.35" hidden="false" customHeight="false" outlineLevel="0" collapsed="false">
      <c r="A20" s="57" t="s">
        <v>4369</v>
      </c>
      <c r="B20" s="58" t="s">
        <v>4332</v>
      </c>
      <c r="C20" s="58" t="s">
        <v>137</v>
      </c>
      <c r="D20" s="59" t="s">
        <v>1838</v>
      </c>
      <c r="E20" s="58" t="s">
        <v>234</v>
      </c>
      <c r="F20" s="60" t="s">
        <v>4370</v>
      </c>
      <c r="G20" s="58" t="s">
        <v>4371</v>
      </c>
      <c r="H20" s="58" t="s">
        <v>3299</v>
      </c>
      <c r="I20" s="58" t="s">
        <v>4372</v>
      </c>
      <c r="J20" s="58"/>
      <c r="K20" s="58" t="s">
        <v>607</v>
      </c>
      <c r="L20" s="58" t="s">
        <v>4373</v>
      </c>
      <c r="M20" s="58" t="s">
        <v>4374</v>
      </c>
      <c r="N20" s="61" t="s">
        <v>91</v>
      </c>
      <c r="O20" s="58" t="s">
        <v>1853</v>
      </c>
      <c r="P20" s="61" t="n">
        <v>109</v>
      </c>
    </row>
    <row r="21" customFormat="false" ht="22.35" hidden="false" customHeight="false" outlineLevel="0" collapsed="false">
      <c r="A21" s="22" t="s">
        <v>4375</v>
      </c>
      <c r="B21" s="17" t="s">
        <v>4332</v>
      </c>
      <c r="C21" s="17" t="s">
        <v>137</v>
      </c>
      <c r="D21" s="55" t="s">
        <v>4376</v>
      </c>
      <c r="E21" s="17" t="s">
        <v>234</v>
      </c>
      <c r="F21" s="56" t="s">
        <v>4377</v>
      </c>
      <c r="G21" s="17" t="s">
        <v>4378</v>
      </c>
      <c r="H21" s="17" t="s">
        <v>3299</v>
      </c>
      <c r="I21" s="17" t="s">
        <v>3235</v>
      </c>
      <c r="J21" s="17"/>
      <c r="K21" s="17"/>
      <c r="L21" s="17" t="s">
        <v>4367</v>
      </c>
      <c r="M21" s="17" t="s">
        <v>4379</v>
      </c>
      <c r="N21" s="15" t="s">
        <v>91</v>
      </c>
      <c r="O21" s="17" t="s">
        <v>1853</v>
      </c>
      <c r="P21" s="15" t="n">
        <v>112</v>
      </c>
    </row>
    <row r="22" customFormat="false" ht="32.8" hidden="false" customHeight="false" outlineLevel="0" collapsed="false">
      <c r="A22" s="57" t="s">
        <v>4380</v>
      </c>
      <c r="B22" s="58" t="s">
        <v>4332</v>
      </c>
      <c r="C22" s="58" t="s">
        <v>137</v>
      </c>
      <c r="D22" s="59" t="s">
        <v>4381</v>
      </c>
      <c r="E22" s="58" t="s">
        <v>243</v>
      </c>
      <c r="F22" s="60" t="s">
        <v>4382</v>
      </c>
      <c r="G22" s="58" t="s">
        <v>4383</v>
      </c>
      <c r="H22" s="58"/>
      <c r="I22" s="58"/>
      <c r="J22" s="58"/>
      <c r="K22" s="58"/>
      <c r="L22" s="58" t="s">
        <v>4384</v>
      </c>
      <c r="M22" s="58" t="s">
        <v>4337</v>
      </c>
      <c r="N22" s="61" t="s">
        <v>91</v>
      </c>
      <c r="O22" s="58" t="s">
        <v>1853</v>
      </c>
      <c r="P22" s="61" t="n">
        <v>115</v>
      </c>
    </row>
    <row r="23" customFormat="false" ht="22.35" hidden="false" customHeight="false" outlineLevel="0" collapsed="false">
      <c r="A23" s="22" t="s">
        <v>4385</v>
      </c>
      <c r="B23" s="17" t="s">
        <v>4332</v>
      </c>
      <c r="C23" s="17" t="s">
        <v>137</v>
      </c>
      <c r="D23" s="55" t="s">
        <v>4386</v>
      </c>
      <c r="E23" s="17" t="s">
        <v>234</v>
      </c>
      <c r="F23" s="56" t="s">
        <v>4387</v>
      </c>
      <c r="G23" s="17" t="s">
        <v>4388</v>
      </c>
      <c r="H23" s="17" t="s">
        <v>918</v>
      </c>
      <c r="I23" s="17" t="s">
        <v>3069</v>
      </c>
      <c r="J23" s="17"/>
      <c r="K23" s="17"/>
      <c r="L23" s="17" t="s">
        <v>4389</v>
      </c>
      <c r="M23" s="17" t="s">
        <v>4390</v>
      </c>
      <c r="N23" s="15" t="s">
        <v>91</v>
      </c>
      <c r="O23" s="17" t="s">
        <v>1853</v>
      </c>
      <c r="P23" s="15" t="n">
        <v>124</v>
      </c>
    </row>
    <row r="24" customFormat="false" ht="22.35" hidden="false" customHeight="false" outlineLevel="0" collapsed="false">
      <c r="A24" s="57" t="s">
        <v>4391</v>
      </c>
      <c r="B24" s="58" t="s">
        <v>4332</v>
      </c>
      <c r="C24" s="58" t="s">
        <v>137</v>
      </c>
      <c r="D24" s="59" t="s">
        <v>4392</v>
      </c>
      <c r="E24" s="58" t="s">
        <v>243</v>
      </c>
      <c r="F24" s="60" t="s">
        <v>4393</v>
      </c>
      <c r="G24" s="58" t="s">
        <v>4394</v>
      </c>
      <c r="H24" s="58"/>
      <c r="I24" s="58"/>
      <c r="J24" s="58"/>
      <c r="K24" s="58"/>
      <c r="L24" s="58" t="s">
        <v>4395</v>
      </c>
      <c r="M24" s="58"/>
      <c r="N24" s="61" t="s">
        <v>91</v>
      </c>
      <c r="O24" s="58" t="s">
        <v>1853</v>
      </c>
      <c r="P24" s="61" t="n">
        <v>128</v>
      </c>
    </row>
    <row r="25" customFormat="false" ht="22.35" hidden="false" customHeight="false" outlineLevel="0" collapsed="false">
      <c r="A25" s="22" t="s">
        <v>4396</v>
      </c>
      <c r="B25" s="17" t="s">
        <v>4332</v>
      </c>
      <c r="C25" s="17" t="s">
        <v>137</v>
      </c>
      <c r="D25" s="55" t="s">
        <v>4397</v>
      </c>
      <c r="E25" s="17" t="s">
        <v>234</v>
      </c>
      <c r="F25" s="56" t="s">
        <v>4398</v>
      </c>
      <c r="G25" s="17" t="s">
        <v>4399</v>
      </c>
      <c r="H25" s="17" t="s">
        <v>4400</v>
      </c>
      <c r="I25" s="17" t="s">
        <v>4401</v>
      </c>
      <c r="J25" s="17"/>
      <c r="K25" s="17"/>
      <c r="L25" s="17" t="s">
        <v>4395</v>
      </c>
      <c r="M25" s="17" t="s">
        <v>4402</v>
      </c>
      <c r="N25" s="15" t="s">
        <v>91</v>
      </c>
      <c r="O25" s="17" t="s">
        <v>1853</v>
      </c>
      <c r="P25" s="15" t="n">
        <v>130</v>
      </c>
    </row>
    <row r="26" customFormat="false" ht="15" hidden="false" customHeight="false" outlineLevel="0" collapsed="false">
      <c r="A26" s="57" t="s">
        <v>4403</v>
      </c>
      <c r="B26" s="58" t="s">
        <v>4332</v>
      </c>
      <c r="C26" s="58" t="s">
        <v>137</v>
      </c>
      <c r="D26" s="59" t="s">
        <v>4404</v>
      </c>
      <c r="E26" s="58" t="s">
        <v>234</v>
      </c>
      <c r="F26" s="60" t="s">
        <v>4405</v>
      </c>
      <c r="G26" s="58" t="s">
        <v>4406</v>
      </c>
      <c r="H26" s="58" t="s">
        <v>3351</v>
      </c>
      <c r="I26" s="58" t="s">
        <v>3069</v>
      </c>
      <c r="J26" s="58"/>
      <c r="K26" s="58"/>
      <c r="L26" s="58" t="s">
        <v>4395</v>
      </c>
      <c r="M26" s="58" t="s">
        <v>4407</v>
      </c>
      <c r="N26" s="61" t="s">
        <v>91</v>
      </c>
      <c r="O26" s="58" t="s">
        <v>1853</v>
      </c>
      <c r="P26" s="61" t="n">
        <v>131</v>
      </c>
    </row>
    <row r="27" customFormat="false" ht="43.25" hidden="false" customHeight="false" outlineLevel="0" collapsed="false">
      <c r="A27" s="22" t="s">
        <v>4408</v>
      </c>
      <c r="B27" s="17" t="s">
        <v>4332</v>
      </c>
      <c r="C27" s="17" t="s">
        <v>137</v>
      </c>
      <c r="D27" s="55" t="s">
        <v>4409</v>
      </c>
      <c r="E27" s="17" t="s">
        <v>224</v>
      </c>
      <c r="F27" s="56" t="s">
        <v>4410</v>
      </c>
      <c r="G27" s="17" t="s">
        <v>4411</v>
      </c>
      <c r="H27" s="17"/>
      <c r="I27" s="17"/>
      <c r="J27" s="17"/>
      <c r="K27" s="17"/>
      <c r="L27" s="17" t="s">
        <v>4412</v>
      </c>
      <c r="M27" s="17" t="s">
        <v>4413</v>
      </c>
      <c r="N27" s="15" t="s">
        <v>91</v>
      </c>
      <c r="O27" s="17" t="s">
        <v>1853</v>
      </c>
      <c r="P27" s="15" t="n">
        <v>136</v>
      </c>
    </row>
    <row r="28" customFormat="false" ht="32.8" hidden="false" customHeight="false" outlineLevel="0" collapsed="false">
      <c r="A28" s="57" t="s">
        <v>4414</v>
      </c>
      <c r="B28" s="58" t="s">
        <v>4332</v>
      </c>
      <c r="C28" s="58" t="s">
        <v>137</v>
      </c>
      <c r="D28" s="59" t="s">
        <v>4415</v>
      </c>
      <c r="E28" s="58" t="s">
        <v>224</v>
      </c>
      <c r="F28" s="60" t="s">
        <v>4416</v>
      </c>
      <c r="G28" s="58" t="s">
        <v>4417</v>
      </c>
      <c r="H28" s="58"/>
      <c r="I28" s="58"/>
      <c r="J28" s="58"/>
      <c r="K28" s="58"/>
      <c r="L28" s="58" t="s">
        <v>4418</v>
      </c>
      <c r="M28" s="58"/>
      <c r="N28" s="61" t="s">
        <v>91</v>
      </c>
      <c r="O28" s="58" t="s">
        <v>1853</v>
      </c>
      <c r="P28" s="61" t="n">
        <v>158</v>
      </c>
    </row>
    <row r="29" customFormat="false" ht="53.7" hidden="false" customHeight="false" outlineLevel="0" collapsed="false">
      <c r="A29" s="22" t="s">
        <v>4419</v>
      </c>
      <c r="B29" s="17" t="s">
        <v>4332</v>
      </c>
      <c r="C29" s="17" t="s">
        <v>137</v>
      </c>
      <c r="D29" s="55" t="s">
        <v>4420</v>
      </c>
      <c r="E29" s="17" t="s">
        <v>235</v>
      </c>
      <c r="F29" s="56" t="s">
        <v>4421</v>
      </c>
      <c r="G29" s="17" t="s">
        <v>4422</v>
      </c>
      <c r="H29" s="17"/>
      <c r="I29" s="17"/>
      <c r="J29" s="17"/>
      <c r="K29" s="17"/>
      <c r="L29" s="17" t="s">
        <v>4423</v>
      </c>
      <c r="M29" s="17" t="s">
        <v>4424</v>
      </c>
      <c r="N29" s="15" t="s">
        <v>91</v>
      </c>
      <c r="O29" s="17" t="s">
        <v>1853</v>
      </c>
      <c r="P29" s="15" t="n">
        <v>192</v>
      </c>
    </row>
    <row r="30" customFormat="false" ht="22.35" hidden="false" customHeight="false" outlineLevel="0" collapsed="false">
      <c r="A30" s="57" t="s">
        <v>4425</v>
      </c>
      <c r="B30" s="58" t="s">
        <v>4332</v>
      </c>
      <c r="C30" s="58" t="s">
        <v>137</v>
      </c>
      <c r="D30" s="59" t="s">
        <v>4426</v>
      </c>
      <c r="E30" s="58" t="s">
        <v>221</v>
      </c>
      <c r="F30" s="60" t="s">
        <v>4427</v>
      </c>
      <c r="G30" s="58" t="s">
        <v>4428</v>
      </c>
      <c r="H30" s="58"/>
      <c r="I30" s="58"/>
      <c r="J30" s="58"/>
      <c r="K30" s="58"/>
      <c r="L30" s="58" t="s">
        <v>4429</v>
      </c>
      <c r="M30" s="58" t="s">
        <v>4430</v>
      </c>
      <c r="N30" s="61" t="s">
        <v>91</v>
      </c>
      <c r="O30" s="58" t="s">
        <v>1853</v>
      </c>
      <c r="P30" s="61" t="n">
        <v>197</v>
      </c>
    </row>
    <row r="31" customFormat="false" ht="22.35" hidden="false" customHeight="false" outlineLevel="0" collapsed="false">
      <c r="A31" s="22" t="s">
        <v>4431</v>
      </c>
      <c r="B31" s="17" t="s">
        <v>4332</v>
      </c>
      <c r="C31" s="17" t="s">
        <v>137</v>
      </c>
      <c r="D31" s="55" t="s">
        <v>4432</v>
      </c>
      <c r="E31" s="17" t="s">
        <v>221</v>
      </c>
      <c r="F31" s="56" t="s">
        <v>4433</v>
      </c>
      <c r="G31" s="17" t="s">
        <v>4434</v>
      </c>
      <c r="H31" s="17"/>
      <c r="I31" s="17" t="s">
        <v>4435</v>
      </c>
      <c r="J31" s="17"/>
      <c r="K31" s="17"/>
      <c r="L31" s="17" t="s">
        <v>4436</v>
      </c>
      <c r="M31" s="17" t="s">
        <v>4437</v>
      </c>
      <c r="N31" s="15" t="s">
        <v>91</v>
      </c>
      <c r="O31" s="17" t="s">
        <v>1853</v>
      </c>
      <c r="P31" s="15" t="n">
        <v>202</v>
      </c>
    </row>
    <row r="32" customFormat="false" ht="22.35" hidden="false" customHeight="false" outlineLevel="0" collapsed="false">
      <c r="A32" s="57" t="s">
        <v>4438</v>
      </c>
      <c r="B32" s="58" t="s">
        <v>4332</v>
      </c>
      <c r="C32" s="58" t="s">
        <v>137</v>
      </c>
      <c r="D32" s="59" t="s">
        <v>4439</v>
      </c>
      <c r="E32" s="58" t="s">
        <v>221</v>
      </c>
      <c r="F32" s="60" t="s">
        <v>4440</v>
      </c>
      <c r="G32" s="58" t="s">
        <v>4441</v>
      </c>
      <c r="H32" s="58" t="s">
        <v>4442</v>
      </c>
      <c r="I32" s="58" t="s">
        <v>3168</v>
      </c>
      <c r="J32" s="58"/>
      <c r="K32" s="58"/>
      <c r="L32" s="58" t="s">
        <v>4443</v>
      </c>
      <c r="M32" s="58" t="s">
        <v>4444</v>
      </c>
      <c r="N32" s="61" t="s">
        <v>91</v>
      </c>
      <c r="O32" s="58" t="s">
        <v>1853</v>
      </c>
      <c r="P32" s="61" t="n">
        <v>205</v>
      </c>
    </row>
    <row r="33" customFormat="false" ht="15" hidden="false" customHeight="false" outlineLevel="0" collapsed="false">
      <c r="A33" s="22" t="s">
        <v>4445</v>
      </c>
      <c r="B33" s="17" t="s">
        <v>4332</v>
      </c>
      <c r="C33" s="17" t="s">
        <v>137</v>
      </c>
      <c r="D33" s="55" t="s">
        <v>4446</v>
      </c>
      <c r="E33" s="17" t="s">
        <v>221</v>
      </c>
      <c r="F33" s="56" t="s">
        <v>4447</v>
      </c>
      <c r="G33" s="17" t="s">
        <v>4448</v>
      </c>
      <c r="H33" s="17"/>
      <c r="I33" s="17" t="s">
        <v>3235</v>
      </c>
      <c r="J33" s="17"/>
      <c r="K33" s="17"/>
      <c r="L33" s="17" t="s">
        <v>3735</v>
      </c>
      <c r="M33" s="17" t="s">
        <v>4449</v>
      </c>
      <c r="N33" s="15" t="s">
        <v>91</v>
      </c>
      <c r="O33" s="17" t="s">
        <v>1853</v>
      </c>
      <c r="P33" s="15" t="n">
        <v>208</v>
      </c>
    </row>
    <row r="34" customFormat="false" ht="22.35" hidden="false" customHeight="false" outlineLevel="0" collapsed="false">
      <c r="A34" s="57" t="s">
        <v>4450</v>
      </c>
      <c r="B34" s="58" t="s">
        <v>4332</v>
      </c>
      <c r="C34" s="58" t="s">
        <v>137</v>
      </c>
      <c r="D34" s="59" t="s">
        <v>4451</v>
      </c>
      <c r="E34" s="58" t="s">
        <v>221</v>
      </c>
      <c r="F34" s="60" t="s">
        <v>4452</v>
      </c>
      <c r="G34" s="58" t="s">
        <v>4453</v>
      </c>
      <c r="H34" s="58"/>
      <c r="I34" s="58" t="s">
        <v>3168</v>
      </c>
      <c r="J34" s="58"/>
      <c r="K34" s="58"/>
      <c r="L34" s="58" t="s">
        <v>4454</v>
      </c>
      <c r="M34" s="58" t="s">
        <v>4455</v>
      </c>
      <c r="N34" s="61" t="s">
        <v>91</v>
      </c>
      <c r="O34" s="58" t="s">
        <v>1853</v>
      </c>
      <c r="P34" s="61" t="n">
        <v>212</v>
      </c>
    </row>
    <row r="35" customFormat="false" ht="32.8" hidden="false" customHeight="false" outlineLevel="0" collapsed="false">
      <c r="A35" s="22" t="s">
        <v>4456</v>
      </c>
      <c r="B35" s="17" t="s">
        <v>4332</v>
      </c>
      <c r="C35" s="17" t="s">
        <v>137</v>
      </c>
      <c r="D35" s="55" t="s">
        <v>4457</v>
      </c>
      <c r="E35" s="17" t="s">
        <v>221</v>
      </c>
      <c r="F35" s="56" t="s">
        <v>4458</v>
      </c>
      <c r="G35" s="17" t="s">
        <v>4459</v>
      </c>
      <c r="H35" s="17"/>
      <c r="I35" s="17" t="s">
        <v>4460</v>
      </c>
      <c r="J35" s="17"/>
      <c r="K35" s="17"/>
      <c r="L35" s="17" t="s">
        <v>3742</v>
      </c>
      <c r="M35" s="17" t="s">
        <v>4461</v>
      </c>
      <c r="N35" s="15" t="s">
        <v>91</v>
      </c>
      <c r="O35" s="17" t="s">
        <v>1853</v>
      </c>
      <c r="P35" s="15" t="n">
        <v>213</v>
      </c>
    </row>
    <row r="36" customFormat="false" ht="22.35" hidden="false" customHeight="false" outlineLevel="0" collapsed="false">
      <c r="A36" s="57" t="s">
        <v>4462</v>
      </c>
      <c r="B36" s="58" t="s">
        <v>4332</v>
      </c>
      <c r="C36" s="58" t="s">
        <v>137</v>
      </c>
      <c r="D36" s="59" t="s">
        <v>4463</v>
      </c>
      <c r="E36" s="58" t="s">
        <v>221</v>
      </c>
      <c r="F36" s="60" t="s">
        <v>4464</v>
      </c>
      <c r="G36" s="58" t="s">
        <v>4465</v>
      </c>
      <c r="H36" s="58" t="s">
        <v>4466</v>
      </c>
      <c r="I36" s="58" t="s">
        <v>4467</v>
      </c>
      <c r="J36" s="58"/>
      <c r="K36" s="58"/>
      <c r="L36" s="58" t="s">
        <v>3742</v>
      </c>
      <c r="M36" s="58" t="s">
        <v>4468</v>
      </c>
      <c r="N36" s="61" t="s">
        <v>91</v>
      </c>
      <c r="O36" s="58" t="s">
        <v>1853</v>
      </c>
      <c r="P36" s="61" t="n">
        <v>217</v>
      </c>
    </row>
    <row r="37" customFormat="false" ht="22.35" hidden="false" customHeight="false" outlineLevel="0" collapsed="false">
      <c r="A37" s="22" t="s">
        <v>4469</v>
      </c>
      <c r="B37" s="17" t="s">
        <v>4332</v>
      </c>
      <c r="C37" s="17" t="s">
        <v>137</v>
      </c>
      <c r="D37" s="55" t="s">
        <v>4470</v>
      </c>
      <c r="E37" s="17" t="s">
        <v>221</v>
      </c>
      <c r="F37" s="56" t="s">
        <v>4471</v>
      </c>
      <c r="G37" s="17" t="s">
        <v>4472</v>
      </c>
      <c r="H37" s="17"/>
      <c r="I37" s="17" t="s">
        <v>4460</v>
      </c>
      <c r="J37" s="17"/>
      <c r="K37" s="17"/>
      <c r="L37" s="17" t="s">
        <v>3735</v>
      </c>
      <c r="M37" s="17" t="s">
        <v>4473</v>
      </c>
      <c r="N37" s="15" t="s">
        <v>91</v>
      </c>
      <c r="O37" s="17" t="s">
        <v>1853</v>
      </c>
      <c r="P37" s="15" t="n">
        <v>222</v>
      </c>
    </row>
    <row r="38" customFormat="false" ht="22.35" hidden="false" customHeight="false" outlineLevel="0" collapsed="false">
      <c r="A38" s="57" t="s">
        <v>4474</v>
      </c>
      <c r="B38" s="58" t="s">
        <v>4332</v>
      </c>
      <c r="C38" s="58" t="s">
        <v>137</v>
      </c>
      <c r="D38" s="59" t="s">
        <v>4475</v>
      </c>
      <c r="E38" s="58" t="s">
        <v>221</v>
      </c>
      <c r="F38" s="60" t="s">
        <v>4476</v>
      </c>
      <c r="G38" s="58" t="s">
        <v>4477</v>
      </c>
      <c r="H38" s="58" t="s">
        <v>3187</v>
      </c>
      <c r="I38" s="58" t="s">
        <v>3168</v>
      </c>
      <c r="J38" s="58"/>
      <c r="K38" s="58"/>
      <c r="L38" s="58"/>
      <c r="M38" s="58" t="s">
        <v>3041</v>
      </c>
      <c r="N38" s="61" t="s">
        <v>91</v>
      </c>
      <c r="O38" s="58" t="s">
        <v>1853</v>
      </c>
      <c r="P38" s="61" t="n">
        <v>225</v>
      </c>
    </row>
    <row r="39" customFormat="false" ht="32.8" hidden="false" customHeight="false" outlineLevel="0" collapsed="false">
      <c r="A39" s="22" t="s">
        <v>4478</v>
      </c>
      <c r="B39" s="17" t="s">
        <v>4332</v>
      </c>
      <c r="C39" s="17" t="s">
        <v>137</v>
      </c>
      <c r="D39" s="55" t="s">
        <v>4479</v>
      </c>
      <c r="E39" s="17" t="s">
        <v>221</v>
      </c>
      <c r="F39" s="56" t="s">
        <v>4480</v>
      </c>
      <c r="G39" s="17" t="s">
        <v>4481</v>
      </c>
      <c r="H39" s="17" t="s">
        <v>3168</v>
      </c>
      <c r="I39" s="17" t="s">
        <v>4482</v>
      </c>
      <c r="J39" s="17"/>
      <c r="K39" s="17"/>
      <c r="L39" s="17" t="s">
        <v>4483</v>
      </c>
      <c r="M39" s="17" t="s">
        <v>4484</v>
      </c>
      <c r="N39" s="15" t="s">
        <v>91</v>
      </c>
      <c r="O39" s="17" t="s">
        <v>1853</v>
      </c>
      <c r="P39" s="15" t="n">
        <v>230</v>
      </c>
    </row>
    <row r="40" customFormat="false" ht="22.35" hidden="false" customHeight="false" outlineLevel="0" collapsed="false">
      <c r="A40" s="57" t="s">
        <v>4485</v>
      </c>
      <c r="B40" s="58" t="s">
        <v>4332</v>
      </c>
      <c r="C40" s="58" t="s">
        <v>137</v>
      </c>
      <c r="D40" s="59" t="s">
        <v>4486</v>
      </c>
      <c r="E40" s="58" t="s">
        <v>221</v>
      </c>
      <c r="F40" s="60" t="s">
        <v>4487</v>
      </c>
      <c r="G40" s="58" t="s">
        <v>4488</v>
      </c>
      <c r="H40" s="58"/>
      <c r="I40" s="58" t="s">
        <v>3235</v>
      </c>
      <c r="J40" s="58"/>
      <c r="K40" s="58"/>
      <c r="L40" s="58" t="s">
        <v>4489</v>
      </c>
      <c r="M40" s="58" t="s">
        <v>3041</v>
      </c>
      <c r="N40" s="61" t="s">
        <v>91</v>
      </c>
      <c r="O40" s="58" t="s">
        <v>1853</v>
      </c>
      <c r="P40" s="61" t="n">
        <v>232</v>
      </c>
    </row>
    <row r="41" customFormat="false" ht="22.35" hidden="false" customHeight="false" outlineLevel="0" collapsed="false">
      <c r="A41" s="22" t="s">
        <v>4490</v>
      </c>
      <c r="B41" s="17" t="s">
        <v>4332</v>
      </c>
      <c r="C41" s="17" t="s">
        <v>137</v>
      </c>
      <c r="D41" s="55" t="s">
        <v>4491</v>
      </c>
      <c r="E41" s="17" t="s">
        <v>221</v>
      </c>
      <c r="F41" s="56" t="s">
        <v>4492</v>
      </c>
      <c r="G41" s="17" t="s">
        <v>4493</v>
      </c>
      <c r="H41" s="17"/>
      <c r="I41" s="17" t="s">
        <v>3235</v>
      </c>
      <c r="J41" s="17"/>
      <c r="K41" s="17"/>
      <c r="L41" s="17" t="s">
        <v>125</v>
      </c>
      <c r="M41" s="17" t="s">
        <v>3041</v>
      </c>
      <c r="N41" s="15" t="s">
        <v>91</v>
      </c>
      <c r="O41" s="17" t="s">
        <v>1853</v>
      </c>
      <c r="P41" s="15" t="n">
        <v>233</v>
      </c>
    </row>
    <row r="42" customFormat="false" ht="22.35" hidden="false" customHeight="false" outlineLevel="0" collapsed="false">
      <c r="A42" s="57" t="s">
        <v>4494</v>
      </c>
      <c r="B42" s="58" t="s">
        <v>4332</v>
      </c>
      <c r="C42" s="58" t="s">
        <v>137</v>
      </c>
      <c r="D42" s="59" t="s">
        <v>4495</v>
      </c>
      <c r="E42" s="58" t="s">
        <v>221</v>
      </c>
      <c r="F42" s="60" t="s">
        <v>4496</v>
      </c>
      <c r="G42" s="58" t="s">
        <v>4497</v>
      </c>
      <c r="H42" s="58"/>
      <c r="I42" s="58" t="s">
        <v>3235</v>
      </c>
      <c r="J42" s="58"/>
      <c r="K42" s="58"/>
      <c r="L42" s="58" t="s">
        <v>4498</v>
      </c>
      <c r="M42" s="58" t="s">
        <v>4499</v>
      </c>
      <c r="N42" s="61" t="s">
        <v>91</v>
      </c>
      <c r="O42" s="58" t="s">
        <v>1853</v>
      </c>
      <c r="P42" s="61" t="n">
        <v>234</v>
      </c>
    </row>
    <row r="43" customFormat="false" ht="22.35" hidden="false" customHeight="false" outlineLevel="0" collapsed="false">
      <c r="A43" s="22" t="s">
        <v>4500</v>
      </c>
      <c r="B43" s="17" t="s">
        <v>4332</v>
      </c>
      <c r="C43" s="17" t="s">
        <v>137</v>
      </c>
      <c r="D43" s="55" t="s">
        <v>4501</v>
      </c>
      <c r="E43" s="17" t="s">
        <v>221</v>
      </c>
      <c r="F43" s="56" t="s">
        <v>4502</v>
      </c>
      <c r="G43" s="17" t="s">
        <v>4503</v>
      </c>
      <c r="H43" s="17"/>
      <c r="I43" s="17" t="s">
        <v>4504</v>
      </c>
      <c r="J43" s="17"/>
      <c r="K43" s="17"/>
      <c r="L43" s="17"/>
      <c r="M43" s="17" t="s">
        <v>3041</v>
      </c>
      <c r="N43" s="15" t="s">
        <v>91</v>
      </c>
      <c r="O43" s="17" t="s">
        <v>1853</v>
      </c>
      <c r="P43" s="15" t="n">
        <v>235</v>
      </c>
    </row>
    <row r="44" customFormat="false" ht="22.35" hidden="false" customHeight="false" outlineLevel="0" collapsed="false">
      <c r="A44" s="57" t="s">
        <v>4505</v>
      </c>
      <c r="B44" s="58" t="s">
        <v>4332</v>
      </c>
      <c r="C44" s="58" t="s">
        <v>137</v>
      </c>
      <c r="D44" s="59" t="s">
        <v>4506</v>
      </c>
      <c r="E44" s="58" t="s">
        <v>221</v>
      </c>
      <c r="F44" s="60" t="s">
        <v>4507</v>
      </c>
      <c r="G44" s="58" t="s">
        <v>4508</v>
      </c>
      <c r="H44" s="58"/>
      <c r="I44" s="58" t="s">
        <v>4509</v>
      </c>
      <c r="J44" s="58"/>
      <c r="K44" s="58"/>
      <c r="L44" s="58" t="s">
        <v>4510</v>
      </c>
      <c r="M44" s="58" t="s">
        <v>3041</v>
      </c>
      <c r="N44" s="61" t="s">
        <v>91</v>
      </c>
      <c r="O44" s="58" t="s">
        <v>1853</v>
      </c>
      <c r="P44" s="61" t="n">
        <v>237</v>
      </c>
    </row>
    <row r="45" customFormat="false" ht="22.35" hidden="false" customHeight="false" outlineLevel="0" collapsed="false">
      <c r="A45" s="22" t="s">
        <v>4511</v>
      </c>
      <c r="B45" s="17" t="s">
        <v>4332</v>
      </c>
      <c r="C45" s="17" t="s">
        <v>137</v>
      </c>
      <c r="D45" s="55" t="s">
        <v>4512</v>
      </c>
      <c r="E45" s="17" t="s">
        <v>221</v>
      </c>
      <c r="F45" s="56" t="s">
        <v>4513</v>
      </c>
      <c r="G45" s="17" t="s">
        <v>4514</v>
      </c>
      <c r="H45" s="17"/>
      <c r="I45" s="17" t="s">
        <v>4515</v>
      </c>
      <c r="J45" s="17"/>
      <c r="K45" s="17"/>
      <c r="L45" s="17"/>
      <c r="M45" s="17" t="s">
        <v>3041</v>
      </c>
      <c r="N45" s="15" t="s">
        <v>91</v>
      </c>
      <c r="O45" s="17" t="s">
        <v>1853</v>
      </c>
      <c r="P45" s="15" t="n">
        <v>239</v>
      </c>
    </row>
    <row r="46" customFormat="false" ht="22.35" hidden="false" customHeight="false" outlineLevel="0" collapsed="false">
      <c r="A46" s="57" t="s">
        <v>4516</v>
      </c>
      <c r="B46" s="58" t="s">
        <v>4332</v>
      </c>
      <c r="C46" s="58" t="s">
        <v>137</v>
      </c>
      <c r="D46" s="59" t="s">
        <v>4517</v>
      </c>
      <c r="E46" s="58" t="s">
        <v>221</v>
      </c>
      <c r="F46" s="60" t="s">
        <v>4518</v>
      </c>
      <c r="G46" s="58" t="s">
        <v>4519</v>
      </c>
      <c r="H46" s="58"/>
      <c r="I46" s="58" t="s">
        <v>3235</v>
      </c>
      <c r="J46" s="58"/>
      <c r="K46" s="58"/>
      <c r="L46" s="58" t="s">
        <v>3315</v>
      </c>
      <c r="M46" s="58" t="s">
        <v>4520</v>
      </c>
      <c r="N46" s="61" t="s">
        <v>91</v>
      </c>
      <c r="O46" s="58" t="s">
        <v>1853</v>
      </c>
      <c r="P46" s="61" t="n">
        <v>241</v>
      </c>
    </row>
    <row r="47" customFormat="false" ht="43.25" hidden="false" customHeight="false" outlineLevel="0" collapsed="false">
      <c r="A47" s="22" t="s">
        <v>4521</v>
      </c>
      <c r="B47" s="17" t="s">
        <v>4332</v>
      </c>
      <c r="C47" s="17" t="s">
        <v>137</v>
      </c>
      <c r="D47" s="55" t="s">
        <v>4522</v>
      </c>
      <c r="E47" s="17" t="s">
        <v>225</v>
      </c>
      <c r="F47" s="56" t="s">
        <v>4523</v>
      </c>
      <c r="G47" s="17" t="s">
        <v>4524</v>
      </c>
      <c r="H47" s="17" t="s">
        <v>4525</v>
      </c>
      <c r="I47" s="17" t="s">
        <v>4526</v>
      </c>
      <c r="J47" s="17"/>
      <c r="K47" s="17" t="s">
        <v>656</v>
      </c>
      <c r="L47" s="17" t="s">
        <v>4527</v>
      </c>
      <c r="M47" s="17" t="s">
        <v>4528</v>
      </c>
      <c r="N47" s="15" t="s">
        <v>91</v>
      </c>
      <c r="O47" s="17" t="s">
        <v>1853</v>
      </c>
      <c r="P47" s="15" t="n">
        <v>247</v>
      </c>
    </row>
    <row r="48" customFormat="false" ht="32.8" hidden="false" customHeight="false" outlineLevel="0" collapsed="false">
      <c r="A48" s="57" t="s">
        <v>4529</v>
      </c>
      <c r="B48" s="58" t="s">
        <v>4332</v>
      </c>
      <c r="C48" s="58" t="s">
        <v>137</v>
      </c>
      <c r="D48" s="59" t="s">
        <v>4530</v>
      </c>
      <c r="E48" s="58" t="s">
        <v>225</v>
      </c>
      <c r="F48" s="60" t="s">
        <v>4531</v>
      </c>
      <c r="G48" s="58" t="s">
        <v>4532</v>
      </c>
      <c r="H48" s="58"/>
      <c r="I48" s="58" t="s">
        <v>4533</v>
      </c>
      <c r="J48" s="58"/>
      <c r="K48" s="58" t="s">
        <v>656</v>
      </c>
      <c r="L48" s="58" t="s">
        <v>4534</v>
      </c>
      <c r="M48" s="58" t="s">
        <v>4535</v>
      </c>
      <c r="N48" s="61" t="s">
        <v>91</v>
      </c>
      <c r="O48" s="58" t="s">
        <v>1853</v>
      </c>
      <c r="P48" s="61" t="n">
        <v>251</v>
      </c>
    </row>
    <row r="49" customFormat="false" ht="32.8" hidden="false" customHeight="false" outlineLevel="0" collapsed="false">
      <c r="A49" s="22" t="s">
        <v>4536</v>
      </c>
      <c r="B49" s="17" t="s">
        <v>4332</v>
      </c>
      <c r="C49" s="17" t="s">
        <v>137</v>
      </c>
      <c r="D49" s="55" t="s">
        <v>4537</v>
      </c>
      <c r="E49" s="17" t="s">
        <v>225</v>
      </c>
      <c r="F49" s="56" t="s">
        <v>4538</v>
      </c>
      <c r="G49" s="17" t="s">
        <v>4539</v>
      </c>
      <c r="H49" s="17" t="s">
        <v>4540</v>
      </c>
      <c r="I49" s="17" t="s">
        <v>4541</v>
      </c>
      <c r="J49" s="17"/>
      <c r="K49" s="17"/>
      <c r="L49" s="17" t="s">
        <v>4542</v>
      </c>
      <c r="M49" s="17" t="s">
        <v>4543</v>
      </c>
      <c r="N49" s="15" t="s">
        <v>91</v>
      </c>
      <c r="O49" s="17" t="s">
        <v>1853</v>
      </c>
      <c r="P49" s="15" t="n">
        <v>255</v>
      </c>
    </row>
    <row r="50" customFormat="false" ht="22.35" hidden="false" customHeight="false" outlineLevel="0" collapsed="false">
      <c r="A50" s="57" t="s">
        <v>4544</v>
      </c>
      <c r="B50" s="58" t="s">
        <v>4332</v>
      </c>
      <c r="C50" s="58" t="s">
        <v>137</v>
      </c>
      <c r="D50" s="59" t="s">
        <v>4545</v>
      </c>
      <c r="E50" s="58" t="s">
        <v>225</v>
      </c>
      <c r="F50" s="60" t="s">
        <v>4546</v>
      </c>
      <c r="G50" s="58" t="s">
        <v>4547</v>
      </c>
      <c r="H50" s="58"/>
      <c r="I50" s="58" t="s">
        <v>4548</v>
      </c>
      <c r="J50" s="58"/>
      <c r="K50" s="58"/>
      <c r="L50" s="58" t="s">
        <v>4549</v>
      </c>
      <c r="M50" s="58" t="s">
        <v>4550</v>
      </c>
      <c r="N50" s="61" t="s">
        <v>91</v>
      </c>
      <c r="O50" s="58" t="s">
        <v>1853</v>
      </c>
      <c r="P50" s="61" t="n">
        <v>260</v>
      </c>
    </row>
    <row r="51" customFormat="false" ht="32.8" hidden="false" customHeight="false" outlineLevel="0" collapsed="false">
      <c r="A51" s="22" t="s">
        <v>4551</v>
      </c>
      <c r="B51" s="17" t="s">
        <v>4332</v>
      </c>
      <c r="C51" s="17" t="s">
        <v>137</v>
      </c>
      <c r="D51" s="55" t="s">
        <v>4552</v>
      </c>
      <c r="E51" s="17" t="s">
        <v>225</v>
      </c>
      <c r="F51" s="56" t="s">
        <v>4553</v>
      </c>
      <c r="G51" s="17" t="s">
        <v>4554</v>
      </c>
      <c r="H51" s="17" t="s">
        <v>4555</v>
      </c>
      <c r="I51" s="17" t="s">
        <v>4556</v>
      </c>
      <c r="J51" s="17"/>
      <c r="K51" s="17"/>
      <c r="L51" s="17" t="s">
        <v>4557</v>
      </c>
      <c r="M51" s="17" t="s">
        <v>4558</v>
      </c>
      <c r="N51" s="15" t="s">
        <v>91</v>
      </c>
      <c r="O51" s="17" t="s">
        <v>1853</v>
      </c>
      <c r="P51" s="15" t="n">
        <v>266</v>
      </c>
    </row>
    <row r="52" customFormat="false" ht="22.35" hidden="false" customHeight="false" outlineLevel="0" collapsed="false">
      <c r="A52" s="57" t="s">
        <v>4559</v>
      </c>
      <c r="B52" s="58" t="s">
        <v>4332</v>
      </c>
      <c r="C52" s="58" t="s">
        <v>137</v>
      </c>
      <c r="D52" s="59" t="s">
        <v>4560</v>
      </c>
      <c r="E52" s="58" t="s">
        <v>227</v>
      </c>
      <c r="F52" s="60" t="s">
        <v>4561</v>
      </c>
      <c r="G52" s="58" t="s">
        <v>4562</v>
      </c>
      <c r="H52" s="58"/>
      <c r="I52" s="58" t="s">
        <v>3299</v>
      </c>
      <c r="J52" s="58"/>
      <c r="K52" s="58"/>
      <c r="L52" s="58" t="s">
        <v>4563</v>
      </c>
      <c r="M52" s="58"/>
      <c r="N52" s="61" t="s">
        <v>91</v>
      </c>
      <c r="O52" s="58" t="s">
        <v>1853</v>
      </c>
      <c r="P52" s="61" t="n">
        <v>270</v>
      </c>
    </row>
    <row r="53" customFormat="false" ht="32.8" hidden="false" customHeight="false" outlineLevel="0" collapsed="false">
      <c r="A53" s="22" t="s">
        <v>4564</v>
      </c>
      <c r="B53" s="17" t="s">
        <v>4332</v>
      </c>
      <c r="C53" s="17" t="s">
        <v>137</v>
      </c>
      <c r="D53" s="55" t="s">
        <v>4565</v>
      </c>
      <c r="E53" s="17" t="s">
        <v>227</v>
      </c>
      <c r="F53" s="56" t="s">
        <v>4566</v>
      </c>
      <c r="G53" s="17" t="s">
        <v>4567</v>
      </c>
      <c r="H53" s="17"/>
      <c r="I53" s="17" t="s">
        <v>3299</v>
      </c>
      <c r="J53" s="17"/>
      <c r="K53" s="17"/>
      <c r="L53" s="17" t="s">
        <v>4568</v>
      </c>
      <c r="M53" s="17"/>
      <c r="N53" s="15" t="s">
        <v>91</v>
      </c>
      <c r="O53" s="17" t="s">
        <v>1853</v>
      </c>
      <c r="P53" s="15" t="n">
        <v>272</v>
      </c>
    </row>
    <row r="54" customFormat="false" ht="43.25" hidden="false" customHeight="false" outlineLevel="0" collapsed="false">
      <c r="A54" s="57" t="s">
        <v>4569</v>
      </c>
      <c r="B54" s="58" t="s">
        <v>4332</v>
      </c>
      <c r="C54" s="58" t="s">
        <v>137</v>
      </c>
      <c r="D54" s="59" t="s">
        <v>4570</v>
      </c>
      <c r="E54" s="58" t="s">
        <v>227</v>
      </c>
      <c r="F54" s="60" t="s">
        <v>4571</v>
      </c>
      <c r="G54" s="58" t="s">
        <v>4572</v>
      </c>
      <c r="H54" s="58"/>
      <c r="I54" s="58" t="s">
        <v>4573</v>
      </c>
      <c r="J54" s="58"/>
      <c r="K54" s="58"/>
      <c r="L54" s="58" t="s">
        <v>4574</v>
      </c>
      <c r="M54" s="58"/>
      <c r="N54" s="61" t="s">
        <v>91</v>
      </c>
      <c r="O54" s="58" t="s">
        <v>1853</v>
      </c>
      <c r="P54" s="61" t="n">
        <v>274</v>
      </c>
    </row>
    <row r="55" customFormat="false" ht="22.35" hidden="false" customHeight="false" outlineLevel="0" collapsed="false">
      <c r="A55" s="22" t="s">
        <v>4575</v>
      </c>
      <c r="B55" s="17" t="s">
        <v>4332</v>
      </c>
      <c r="C55" s="17" t="s">
        <v>137</v>
      </c>
      <c r="D55" s="55" t="s">
        <v>4576</v>
      </c>
      <c r="E55" s="17" t="s">
        <v>227</v>
      </c>
      <c r="F55" s="56" t="s">
        <v>4577</v>
      </c>
      <c r="G55" s="17" t="s">
        <v>4578</v>
      </c>
      <c r="H55" s="17"/>
      <c r="I55" s="17" t="s">
        <v>4579</v>
      </c>
      <c r="J55" s="17"/>
      <c r="K55" s="17"/>
      <c r="L55" s="17" t="s">
        <v>4580</v>
      </c>
      <c r="M55" s="17"/>
      <c r="N55" s="15" t="s">
        <v>91</v>
      </c>
      <c r="O55" s="17" t="s">
        <v>1853</v>
      </c>
      <c r="P55" s="15" t="n">
        <v>276</v>
      </c>
    </row>
    <row r="56" customFormat="false" ht="32.8" hidden="false" customHeight="false" outlineLevel="0" collapsed="false">
      <c r="A56" s="57" t="s">
        <v>4581</v>
      </c>
      <c r="B56" s="58" t="s">
        <v>4332</v>
      </c>
      <c r="C56" s="58" t="s">
        <v>137</v>
      </c>
      <c r="D56" s="59" t="s">
        <v>4582</v>
      </c>
      <c r="E56" s="58" t="s">
        <v>227</v>
      </c>
      <c r="F56" s="60" t="s">
        <v>4583</v>
      </c>
      <c r="G56" s="58" t="s">
        <v>4584</v>
      </c>
      <c r="H56" s="58"/>
      <c r="I56" s="58" t="s">
        <v>4585</v>
      </c>
      <c r="J56" s="58"/>
      <c r="K56" s="58"/>
      <c r="L56" s="58" t="s">
        <v>4586</v>
      </c>
      <c r="M56" s="58"/>
      <c r="N56" s="61" t="s">
        <v>91</v>
      </c>
      <c r="O56" s="58" t="s">
        <v>1853</v>
      </c>
      <c r="P56" s="61" t="n">
        <v>280</v>
      </c>
    </row>
    <row r="57" customFormat="false" ht="22.35" hidden="false" customHeight="false" outlineLevel="0" collapsed="false">
      <c r="A57" s="22" t="s">
        <v>4587</v>
      </c>
      <c r="B57" s="17" t="s">
        <v>4332</v>
      </c>
      <c r="C57" s="17" t="s">
        <v>137</v>
      </c>
      <c r="D57" s="55" t="s">
        <v>4588</v>
      </c>
      <c r="E57" s="17" t="s">
        <v>227</v>
      </c>
      <c r="F57" s="56" t="s">
        <v>4589</v>
      </c>
      <c r="G57" s="17" t="s">
        <v>4590</v>
      </c>
      <c r="H57" s="17"/>
      <c r="I57" s="17"/>
      <c r="J57" s="17"/>
      <c r="K57" s="17"/>
      <c r="L57" s="17" t="s">
        <v>4591</v>
      </c>
      <c r="M57" s="17"/>
      <c r="N57" s="15" t="s">
        <v>91</v>
      </c>
      <c r="O57" s="17" t="s">
        <v>1853</v>
      </c>
      <c r="P57" s="15" t="n">
        <v>283</v>
      </c>
    </row>
    <row r="58" customFormat="false" ht="22.35" hidden="false" customHeight="false" outlineLevel="0" collapsed="false">
      <c r="A58" s="57" t="s">
        <v>4592</v>
      </c>
      <c r="B58" s="58" t="s">
        <v>4332</v>
      </c>
      <c r="C58" s="58" t="s">
        <v>137</v>
      </c>
      <c r="D58" s="59" t="s">
        <v>4593</v>
      </c>
      <c r="E58" s="58" t="s">
        <v>227</v>
      </c>
      <c r="F58" s="60" t="s">
        <v>4594</v>
      </c>
      <c r="G58" s="58" t="s">
        <v>4595</v>
      </c>
      <c r="H58" s="58"/>
      <c r="I58" s="58" t="s">
        <v>1046</v>
      </c>
      <c r="J58" s="58"/>
      <c r="K58" s="58" t="s">
        <v>1046</v>
      </c>
      <c r="L58" s="58" t="s">
        <v>4596</v>
      </c>
      <c r="M58" s="58"/>
      <c r="N58" s="61" t="s">
        <v>91</v>
      </c>
      <c r="O58" s="58" t="s">
        <v>1853</v>
      </c>
      <c r="P58" s="61" t="n">
        <v>286</v>
      </c>
    </row>
    <row r="59" customFormat="false" ht="22.35" hidden="false" customHeight="false" outlineLevel="0" collapsed="false">
      <c r="A59" s="22" t="s">
        <v>4597</v>
      </c>
      <c r="B59" s="17" t="s">
        <v>4332</v>
      </c>
      <c r="C59" s="17" t="s">
        <v>137</v>
      </c>
      <c r="D59" s="55" t="s">
        <v>4598</v>
      </c>
      <c r="E59" s="17" t="s">
        <v>227</v>
      </c>
      <c r="F59" s="56" t="s">
        <v>4599</v>
      </c>
      <c r="G59" s="17" t="s">
        <v>4600</v>
      </c>
      <c r="H59" s="17"/>
      <c r="I59" s="17" t="s">
        <v>4601</v>
      </c>
      <c r="J59" s="17"/>
      <c r="K59" s="17" t="s">
        <v>607</v>
      </c>
      <c r="L59" s="17" t="s">
        <v>4602</v>
      </c>
      <c r="M59" s="17"/>
      <c r="N59" s="15" t="s">
        <v>91</v>
      </c>
      <c r="O59" s="17" t="s">
        <v>1853</v>
      </c>
      <c r="P59" s="15" t="n">
        <v>288</v>
      </c>
    </row>
    <row r="60" customFormat="false" ht="22.35" hidden="false" customHeight="false" outlineLevel="0" collapsed="false">
      <c r="A60" s="57" t="s">
        <v>4603</v>
      </c>
      <c r="B60" s="58" t="s">
        <v>4332</v>
      </c>
      <c r="C60" s="58" t="s">
        <v>137</v>
      </c>
      <c r="D60" s="59" t="s">
        <v>4604</v>
      </c>
      <c r="E60" s="58" t="s">
        <v>227</v>
      </c>
      <c r="F60" s="60" t="s">
        <v>4605</v>
      </c>
      <c r="G60" s="58" t="s">
        <v>4606</v>
      </c>
      <c r="H60" s="58"/>
      <c r="I60" s="58" t="s">
        <v>4607</v>
      </c>
      <c r="J60" s="58"/>
      <c r="K60" s="58"/>
      <c r="L60" s="58" t="s">
        <v>4608</v>
      </c>
      <c r="M60" s="58"/>
      <c r="N60" s="61" t="s">
        <v>91</v>
      </c>
      <c r="O60" s="58" t="s">
        <v>1853</v>
      </c>
      <c r="P60" s="61" t="n">
        <v>290</v>
      </c>
    </row>
    <row r="61" customFormat="false" ht="22.35" hidden="false" customHeight="false" outlineLevel="0" collapsed="false">
      <c r="A61" s="22" t="s">
        <v>4609</v>
      </c>
      <c r="B61" s="17" t="s">
        <v>4332</v>
      </c>
      <c r="C61" s="17" t="s">
        <v>137</v>
      </c>
      <c r="D61" s="55" t="s">
        <v>4610</v>
      </c>
      <c r="E61" s="17" t="s">
        <v>227</v>
      </c>
      <c r="F61" s="56" t="s">
        <v>4611</v>
      </c>
      <c r="G61" s="17" t="s">
        <v>4612</v>
      </c>
      <c r="H61" s="17"/>
      <c r="I61" s="17" t="s">
        <v>4613</v>
      </c>
      <c r="J61" s="17"/>
      <c r="K61" s="17" t="s">
        <v>607</v>
      </c>
      <c r="L61" s="17" t="s">
        <v>4614</v>
      </c>
      <c r="M61" s="17"/>
      <c r="N61" s="15" t="s">
        <v>91</v>
      </c>
      <c r="O61" s="17" t="s">
        <v>1853</v>
      </c>
      <c r="P61" s="15" t="n">
        <v>292</v>
      </c>
    </row>
    <row r="62" customFormat="false" ht="22.35" hidden="false" customHeight="false" outlineLevel="0" collapsed="false">
      <c r="A62" s="57" t="s">
        <v>4615</v>
      </c>
      <c r="B62" s="58" t="s">
        <v>4332</v>
      </c>
      <c r="C62" s="58" t="s">
        <v>137</v>
      </c>
      <c r="D62" s="59" t="s">
        <v>4616</v>
      </c>
      <c r="E62" s="58" t="s">
        <v>227</v>
      </c>
      <c r="F62" s="60" t="s">
        <v>4617</v>
      </c>
      <c r="G62" s="58" t="s">
        <v>4618</v>
      </c>
      <c r="H62" s="58"/>
      <c r="I62" s="58" t="s">
        <v>4619</v>
      </c>
      <c r="J62" s="58"/>
      <c r="K62" s="58"/>
      <c r="L62" s="58" t="s">
        <v>4620</v>
      </c>
      <c r="M62" s="58" t="s">
        <v>4621</v>
      </c>
      <c r="N62" s="61" t="s">
        <v>91</v>
      </c>
      <c r="O62" s="58" t="s">
        <v>1853</v>
      </c>
      <c r="P62" s="61" t="n">
        <v>294</v>
      </c>
    </row>
    <row r="63" customFormat="false" ht="32.8" hidden="false" customHeight="false" outlineLevel="0" collapsed="false">
      <c r="A63" s="22" t="s">
        <v>4622</v>
      </c>
      <c r="B63" s="17" t="s">
        <v>4332</v>
      </c>
      <c r="C63" s="17" t="s">
        <v>137</v>
      </c>
      <c r="D63" s="55" t="s">
        <v>4623</v>
      </c>
      <c r="E63" s="17" t="s">
        <v>227</v>
      </c>
      <c r="F63" s="56" t="s">
        <v>4624</v>
      </c>
      <c r="G63" s="17" t="s">
        <v>4625</v>
      </c>
      <c r="H63" s="17"/>
      <c r="I63" s="17" t="s">
        <v>4626</v>
      </c>
      <c r="J63" s="17"/>
      <c r="K63" s="17"/>
      <c r="L63" s="17" t="s">
        <v>4627</v>
      </c>
      <c r="M63" s="17" t="s">
        <v>4628</v>
      </c>
      <c r="N63" s="15" t="s">
        <v>91</v>
      </c>
      <c r="O63" s="17" t="s">
        <v>1853</v>
      </c>
      <c r="P63" s="15" t="n">
        <v>296</v>
      </c>
    </row>
    <row r="64" customFormat="false" ht="22.35" hidden="false" customHeight="false" outlineLevel="0" collapsed="false">
      <c r="A64" s="57" t="s">
        <v>4629</v>
      </c>
      <c r="B64" s="58" t="s">
        <v>4332</v>
      </c>
      <c r="C64" s="58" t="s">
        <v>137</v>
      </c>
      <c r="D64" s="59" t="s">
        <v>4630</v>
      </c>
      <c r="E64" s="58" t="s">
        <v>225</v>
      </c>
      <c r="F64" s="60" t="s">
        <v>4631</v>
      </c>
      <c r="G64" s="58" t="s">
        <v>4632</v>
      </c>
      <c r="H64" s="58"/>
      <c r="I64" s="58" t="s">
        <v>4633</v>
      </c>
      <c r="J64" s="58"/>
      <c r="K64" s="58"/>
      <c r="L64" s="58" t="s">
        <v>4634</v>
      </c>
      <c r="M64" s="58" t="s">
        <v>4635</v>
      </c>
      <c r="N64" s="61" t="s">
        <v>91</v>
      </c>
      <c r="O64" s="58" t="s">
        <v>1853</v>
      </c>
      <c r="P64" s="61" t="n">
        <v>299</v>
      </c>
    </row>
    <row r="65" customFormat="false" ht="32.8" hidden="false" customHeight="false" outlineLevel="0" collapsed="false">
      <c r="A65" s="22" t="s">
        <v>4636</v>
      </c>
      <c r="B65" s="17" t="s">
        <v>4332</v>
      </c>
      <c r="C65" s="17" t="s">
        <v>137</v>
      </c>
      <c r="D65" s="55" t="s">
        <v>4637</v>
      </c>
      <c r="E65" s="17" t="s">
        <v>225</v>
      </c>
      <c r="F65" s="56" t="s">
        <v>4638</v>
      </c>
      <c r="G65" s="17" t="s">
        <v>4639</v>
      </c>
      <c r="H65" s="17" t="s">
        <v>4640</v>
      </c>
      <c r="I65" s="17" t="s">
        <v>4641</v>
      </c>
      <c r="J65" s="17"/>
      <c r="K65" s="17"/>
      <c r="L65" s="17" t="s">
        <v>4642</v>
      </c>
      <c r="M65" s="17" t="s">
        <v>4643</v>
      </c>
      <c r="N65" s="15" t="s">
        <v>91</v>
      </c>
      <c r="O65" s="17" t="s">
        <v>1853</v>
      </c>
      <c r="P65" s="15" t="n">
        <v>300</v>
      </c>
    </row>
    <row r="66" customFormat="false" ht="22.35" hidden="false" customHeight="false" outlineLevel="0" collapsed="false">
      <c r="A66" s="57" t="s">
        <v>4644</v>
      </c>
      <c r="B66" s="58" t="s">
        <v>4332</v>
      </c>
      <c r="C66" s="58" t="s">
        <v>137</v>
      </c>
      <c r="D66" s="59" t="s">
        <v>4645</v>
      </c>
      <c r="E66" s="58" t="s">
        <v>225</v>
      </c>
      <c r="F66" s="60" t="s">
        <v>4646</v>
      </c>
      <c r="G66" s="58" t="s">
        <v>4647</v>
      </c>
      <c r="H66" s="58" t="s">
        <v>4648</v>
      </c>
      <c r="I66" s="58" t="s">
        <v>4649</v>
      </c>
      <c r="J66" s="58"/>
      <c r="K66" s="58"/>
      <c r="L66" s="58" t="s">
        <v>4650</v>
      </c>
      <c r="M66" s="58" t="s">
        <v>4651</v>
      </c>
      <c r="N66" s="61" t="s">
        <v>91</v>
      </c>
      <c r="O66" s="58" t="s">
        <v>1853</v>
      </c>
      <c r="P66" s="61" t="n">
        <v>301</v>
      </c>
    </row>
    <row r="67" customFormat="false" ht="32.8" hidden="false" customHeight="false" outlineLevel="0" collapsed="false">
      <c r="A67" s="22" t="s">
        <v>4652</v>
      </c>
      <c r="B67" s="17" t="s">
        <v>4332</v>
      </c>
      <c r="C67" s="17" t="s">
        <v>137</v>
      </c>
      <c r="D67" s="55" t="s">
        <v>4653</v>
      </c>
      <c r="E67" s="17" t="s">
        <v>221</v>
      </c>
      <c r="F67" s="56" t="s">
        <v>4654</v>
      </c>
      <c r="G67" s="17" t="s">
        <v>4655</v>
      </c>
      <c r="H67" s="17" t="s">
        <v>4656</v>
      </c>
      <c r="I67" s="17" t="s">
        <v>4657</v>
      </c>
      <c r="J67" s="17"/>
      <c r="K67" s="17"/>
      <c r="L67" s="17" t="s">
        <v>4658</v>
      </c>
      <c r="M67" s="17" t="s">
        <v>4659</v>
      </c>
      <c r="N67" s="15" t="s">
        <v>91</v>
      </c>
      <c r="O67" s="17" t="s">
        <v>1853</v>
      </c>
      <c r="P67" s="15" t="n">
        <v>310</v>
      </c>
    </row>
    <row r="68" customFormat="false" ht="32.8" hidden="false" customHeight="false" outlineLevel="0" collapsed="false">
      <c r="A68" s="57" t="s">
        <v>4660</v>
      </c>
      <c r="B68" s="58" t="s">
        <v>4332</v>
      </c>
      <c r="C68" s="58" t="s">
        <v>137</v>
      </c>
      <c r="D68" s="59" t="s">
        <v>4661</v>
      </c>
      <c r="E68" s="58" t="s">
        <v>221</v>
      </c>
      <c r="F68" s="60" t="s">
        <v>4662</v>
      </c>
      <c r="G68" s="58" t="s">
        <v>4663</v>
      </c>
      <c r="H68" s="58" t="s">
        <v>4664</v>
      </c>
      <c r="I68" s="58"/>
      <c r="J68" s="58"/>
      <c r="K68" s="58"/>
      <c r="L68" s="58" t="s">
        <v>4665</v>
      </c>
      <c r="M68" s="58" t="s">
        <v>4666</v>
      </c>
      <c r="N68" s="61" t="s">
        <v>91</v>
      </c>
      <c r="O68" s="58" t="s">
        <v>1853</v>
      </c>
      <c r="P68" s="61" t="n">
        <v>336</v>
      </c>
    </row>
    <row r="69" customFormat="false" ht="22.35" hidden="false" customHeight="false" outlineLevel="0" collapsed="false">
      <c r="A69" s="22" t="s">
        <v>4667</v>
      </c>
      <c r="B69" s="17" t="s">
        <v>4332</v>
      </c>
      <c r="C69" s="17" t="s">
        <v>138</v>
      </c>
      <c r="D69" s="55" t="s">
        <v>1872</v>
      </c>
      <c r="E69" s="17" t="s">
        <v>234</v>
      </c>
      <c r="F69" s="56" t="s">
        <v>1873</v>
      </c>
      <c r="G69" s="17" t="s">
        <v>4668</v>
      </c>
      <c r="H69" s="17"/>
      <c r="I69" s="17" t="s">
        <v>4669</v>
      </c>
      <c r="J69" s="17"/>
      <c r="K69" s="17" t="s">
        <v>607</v>
      </c>
      <c r="L69" s="17" t="s">
        <v>1896</v>
      </c>
      <c r="M69" s="17" t="s">
        <v>4670</v>
      </c>
      <c r="N69" s="15" t="s">
        <v>91</v>
      </c>
      <c r="O69" s="17" t="s">
        <v>1878</v>
      </c>
      <c r="P69" s="15" t="n">
        <v>23</v>
      </c>
    </row>
    <row r="70" customFormat="false" ht="22.35" hidden="false" customHeight="false" outlineLevel="0" collapsed="false">
      <c r="A70" s="57" t="s">
        <v>4671</v>
      </c>
      <c r="B70" s="58" t="s">
        <v>4332</v>
      </c>
      <c r="C70" s="58" t="s">
        <v>138</v>
      </c>
      <c r="D70" s="59" t="s">
        <v>1880</v>
      </c>
      <c r="E70" s="58" t="s">
        <v>234</v>
      </c>
      <c r="F70" s="60" t="s">
        <v>1881</v>
      </c>
      <c r="G70" s="58" t="s">
        <v>4672</v>
      </c>
      <c r="H70" s="58" t="s">
        <v>4673</v>
      </c>
      <c r="I70" s="58" t="s">
        <v>607</v>
      </c>
      <c r="J70" s="58" t="s">
        <v>4674</v>
      </c>
      <c r="K70" s="58" t="s">
        <v>607</v>
      </c>
      <c r="L70" s="58" t="s">
        <v>4675</v>
      </c>
      <c r="M70" s="58" t="s">
        <v>4676</v>
      </c>
      <c r="N70" s="61" t="s">
        <v>91</v>
      </c>
      <c r="O70" s="58" t="s">
        <v>1878</v>
      </c>
      <c r="P70" s="61" t="n">
        <v>26</v>
      </c>
    </row>
    <row r="71" customFormat="false" ht="22.35" hidden="false" customHeight="false" outlineLevel="0" collapsed="false">
      <c r="A71" s="22" t="s">
        <v>4677</v>
      </c>
      <c r="B71" s="17" t="s">
        <v>4332</v>
      </c>
      <c r="C71" s="17" t="s">
        <v>138</v>
      </c>
      <c r="D71" s="55" t="s">
        <v>2675</v>
      </c>
      <c r="E71" s="17" t="s">
        <v>234</v>
      </c>
      <c r="F71" s="56" t="s">
        <v>2676</v>
      </c>
      <c r="G71" s="17" t="s">
        <v>4678</v>
      </c>
      <c r="H71" s="17" t="s">
        <v>1895</v>
      </c>
      <c r="I71" s="17" t="s">
        <v>4679</v>
      </c>
      <c r="J71" s="17"/>
      <c r="K71" s="17"/>
      <c r="L71" s="17" t="s">
        <v>1896</v>
      </c>
      <c r="M71" s="17" t="s">
        <v>4676</v>
      </c>
      <c r="N71" s="15" t="s">
        <v>91</v>
      </c>
      <c r="O71" s="17" t="s">
        <v>1878</v>
      </c>
      <c r="P71" s="15" t="n">
        <v>33</v>
      </c>
    </row>
    <row r="72" customFormat="false" ht="43.25" hidden="false" customHeight="false" outlineLevel="0" collapsed="false">
      <c r="A72" s="57" t="s">
        <v>4680</v>
      </c>
      <c r="B72" s="58" t="s">
        <v>4332</v>
      </c>
      <c r="C72" s="58" t="s">
        <v>138</v>
      </c>
      <c r="D72" s="59" t="s">
        <v>1889</v>
      </c>
      <c r="E72" s="58" t="s">
        <v>234</v>
      </c>
      <c r="F72" s="60" t="s">
        <v>1890</v>
      </c>
      <c r="G72" s="58" t="s">
        <v>4681</v>
      </c>
      <c r="H72" s="58" t="s">
        <v>4682</v>
      </c>
      <c r="I72" s="58" t="s">
        <v>4683</v>
      </c>
      <c r="J72" s="58"/>
      <c r="K72" s="58"/>
      <c r="L72" s="58" t="s">
        <v>1896</v>
      </c>
      <c r="M72" s="58" t="s">
        <v>4676</v>
      </c>
      <c r="N72" s="61" t="s">
        <v>91</v>
      </c>
      <c r="O72" s="58" t="s">
        <v>1878</v>
      </c>
      <c r="P72" s="61" t="n">
        <v>40</v>
      </c>
    </row>
    <row r="73" customFormat="false" ht="32.8" hidden="false" customHeight="false" outlineLevel="0" collapsed="false">
      <c r="A73" s="22" t="s">
        <v>4684</v>
      </c>
      <c r="B73" s="17" t="s">
        <v>4332</v>
      </c>
      <c r="C73" s="17" t="s">
        <v>138</v>
      </c>
      <c r="D73" s="55" t="s">
        <v>1899</v>
      </c>
      <c r="E73" s="17" t="s">
        <v>234</v>
      </c>
      <c r="F73" s="56" t="s">
        <v>1900</v>
      </c>
      <c r="G73" s="17" t="s">
        <v>4685</v>
      </c>
      <c r="H73" s="17" t="s">
        <v>4686</v>
      </c>
      <c r="I73" s="17" t="s">
        <v>4687</v>
      </c>
      <c r="J73" s="17" t="s">
        <v>4688</v>
      </c>
      <c r="K73" s="17"/>
      <c r="L73" s="17" t="s">
        <v>3315</v>
      </c>
      <c r="M73" s="17" t="s">
        <v>4676</v>
      </c>
      <c r="N73" s="15" t="s">
        <v>91</v>
      </c>
      <c r="O73" s="17" t="s">
        <v>1878</v>
      </c>
      <c r="P73" s="15" t="n">
        <v>54</v>
      </c>
    </row>
    <row r="74" customFormat="false" ht="32.8" hidden="false" customHeight="false" outlineLevel="0" collapsed="false">
      <c r="A74" s="57" t="s">
        <v>4689</v>
      </c>
      <c r="B74" s="58" t="s">
        <v>4332</v>
      </c>
      <c r="C74" s="58" t="s">
        <v>139</v>
      </c>
      <c r="D74" s="59" t="s">
        <v>4690</v>
      </c>
      <c r="E74" s="58" t="s">
        <v>235</v>
      </c>
      <c r="F74" s="60" t="s">
        <v>4691</v>
      </c>
      <c r="G74" s="58" t="s">
        <v>4692</v>
      </c>
      <c r="H74" s="58"/>
      <c r="I74" s="58"/>
      <c r="J74" s="58"/>
      <c r="K74" s="58"/>
      <c r="L74" s="58" t="s">
        <v>3133</v>
      </c>
      <c r="M74" s="58" t="s">
        <v>4693</v>
      </c>
      <c r="N74" s="61" t="s">
        <v>91</v>
      </c>
      <c r="O74" s="58" t="s">
        <v>4694</v>
      </c>
      <c r="P74" s="61" t="n">
        <v>27</v>
      </c>
    </row>
    <row r="75" customFormat="false" ht="22.35" hidden="false" customHeight="false" outlineLevel="0" collapsed="false">
      <c r="A75" s="22" t="s">
        <v>4695</v>
      </c>
      <c r="B75" s="17" t="s">
        <v>4332</v>
      </c>
      <c r="C75" s="17" t="s">
        <v>139</v>
      </c>
      <c r="D75" s="55" t="s">
        <v>4696</v>
      </c>
      <c r="E75" s="17" t="s">
        <v>243</v>
      </c>
      <c r="F75" s="56" t="s">
        <v>4697</v>
      </c>
      <c r="G75" s="17" t="s">
        <v>4698</v>
      </c>
      <c r="H75" s="17"/>
      <c r="I75" s="17"/>
      <c r="J75" s="17"/>
      <c r="K75" s="17"/>
      <c r="L75" s="17" t="s">
        <v>4699</v>
      </c>
      <c r="M75" s="17"/>
      <c r="N75" s="15" t="s">
        <v>91</v>
      </c>
      <c r="O75" s="17" t="s">
        <v>4694</v>
      </c>
      <c r="P75" s="15" t="n">
        <v>30</v>
      </c>
    </row>
    <row r="76" customFormat="false" ht="22.35" hidden="false" customHeight="false" outlineLevel="0" collapsed="false">
      <c r="A76" s="57" t="s">
        <v>4700</v>
      </c>
      <c r="B76" s="58" t="s">
        <v>4332</v>
      </c>
      <c r="C76" s="58" t="s">
        <v>139</v>
      </c>
      <c r="D76" s="59" t="s">
        <v>4701</v>
      </c>
      <c r="E76" s="58" t="s">
        <v>224</v>
      </c>
      <c r="F76" s="60" t="s">
        <v>4702</v>
      </c>
      <c r="G76" s="58" t="s">
        <v>4703</v>
      </c>
      <c r="H76" s="58"/>
      <c r="I76" s="58"/>
      <c r="J76" s="58"/>
      <c r="K76" s="58"/>
      <c r="L76" s="58" t="s">
        <v>4704</v>
      </c>
      <c r="M76" s="58"/>
      <c r="N76" s="61" t="s">
        <v>91</v>
      </c>
      <c r="O76" s="58" t="s">
        <v>4694</v>
      </c>
      <c r="P76" s="61" t="n">
        <v>53</v>
      </c>
    </row>
    <row r="77" customFormat="false" ht="22.35" hidden="false" customHeight="false" outlineLevel="0" collapsed="false">
      <c r="A77" s="22" t="s">
        <v>4705</v>
      </c>
      <c r="B77" s="17" t="s">
        <v>4332</v>
      </c>
      <c r="C77" s="17" t="s">
        <v>139</v>
      </c>
      <c r="D77" s="55" t="s">
        <v>4706</v>
      </c>
      <c r="E77" s="17" t="s">
        <v>234</v>
      </c>
      <c r="F77" s="56" t="s">
        <v>4707</v>
      </c>
      <c r="G77" s="17" t="s">
        <v>4708</v>
      </c>
      <c r="H77" s="17" t="s">
        <v>4709</v>
      </c>
      <c r="I77" s="17" t="s">
        <v>4710</v>
      </c>
      <c r="J77" s="17"/>
      <c r="K77" s="17" t="s">
        <v>2723</v>
      </c>
      <c r="L77" s="17" t="s">
        <v>3133</v>
      </c>
      <c r="M77" s="17" t="s">
        <v>4711</v>
      </c>
      <c r="N77" s="15" t="s">
        <v>91</v>
      </c>
      <c r="O77" s="17" t="s">
        <v>4694</v>
      </c>
      <c r="P77" s="15" t="n">
        <v>72</v>
      </c>
    </row>
    <row r="78" customFormat="false" ht="53.7" hidden="false" customHeight="false" outlineLevel="0" collapsed="false">
      <c r="A78" s="57" t="s">
        <v>4712</v>
      </c>
      <c r="B78" s="58" t="s">
        <v>4332</v>
      </c>
      <c r="C78" s="58" t="s">
        <v>140</v>
      </c>
      <c r="D78" s="59" t="s">
        <v>4713</v>
      </c>
      <c r="E78" s="58" t="s">
        <v>235</v>
      </c>
      <c r="F78" s="60" t="s">
        <v>4714</v>
      </c>
      <c r="G78" s="58" t="s">
        <v>4715</v>
      </c>
      <c r="H78" s="58"/>
      <c r="I78" s="58"/>
      <c r="J78" s="58"/>
      <c r="K78" s="58"/>
      <c r="L78" s="58" t="s">
        <v>4716</v>
      </c>
      <c r="M78" s="58" t="s">
        <v>4717</v>
      </c>
      <c r="N78" s="61" t="s">
        <v>91</v>
      </c>
      <c r="O78" s="58" t="s">
        <v>4718</v>
      </c>
      <c r="P78" s="61" t="n">
        <v>182</v>
      </c>
    </row>
    <row r="79" customFormat="false" ht="22.35" hidden="false" customHeight="false" outlineLevel="0" collapsed="false">
      <c r="A79" s="22" t="s">
        <v>4719</v>
      </c>
      <c r="B79" s="17" t="s">
        <v>4332</v>
      </c>
      <c r="C79" s="17" t="s">
        <v>140</v>
      </c>
      <c r="D79" s="55" t="s">
        <v>4720</v>
      </c>
      <c r="E79" s="17" t="s">
        <v>225</v>
      </c>
      <c r="F79" s="56" t="s">
        <v>4721</v>
      </c>
      <c r="G79" s="17" t="s">
        <v>4722</v>
      </c>
      <c r="H79" s="17"/>
      <c r="I79" s="17" t="s">
        <v>4723</v>
      </c>
      <c r="J79" s="17" t="s">
        <v>4724</v>
      </c>
      <c r="K79" s="17" t="s">
        <v>1046</v>
      </c>
      <c r="L79" s="17" t="s">
        <v>3728</v>
      </c>
      <c r="M79" s="17" t="s">
        <v>4725</v>
      </c>
      <c r="N79" s="15" t="s">
        <v>91</v>
      </c>
      <c r="O79" s="17" t="s">
        <v>4718</v>
      </c>
      <c r="P79" s="15" t="n">
        <v>192</v>
      </c>
    </row>
    <row r="80" customFormat="false" ht="15" hidden="false" customHeight="false" outlineLevel="0" collapsed="false">
      <c r="A80" s="57" t="s">
        <v>4726</v>
      </c>
      <c r="B80" s="58" t="s">
        <v>4332</v>
      </c>
      <c r="C80" s="58" t="s">
        <v>140</v>
      </c>
      <c r="D80" s="59" t="s">
        <v>4727</v>
      </c>
      <c r="E80" s="58" t="s">
        <v>225</v>
      </c>
      <c r="F80" s="60" t="s">
        <v>4728</v>
      </c>
      <c r="G80" s="58" t="s">
        <v>4729</v>
      </c>
      <c r="H80" s="58"/>
      <c r="I80" s="58" t="s">
        <v>4730</v>
      </c>
      <c r="J80" s="58"/>
      <c r="K80" s="58"/>
      <c r="L80" s="58" t="s">
        <v>4731</v>
      </c>
      <c r="M80" s="58" t="s">
        <v>4732</v>
      </c>
      <c r="N80" s="61" t="s">
        <v>91</v>
      </c>
      <c r="O80" s="58" t="s">
        <v>4718</v>
      </c>
      <c r="P80" s="61" t="n">
        <v>193</v>
      </c>
    </row>
    <row r="81" customFormat="false" ht="22.35" hidden="false" customHeight="false" outlineLevel="0" collapsed="false">
      <c r="A81" s="22" t="s">
        <v>4733</v>
      </c>
      <c r="B81" s="17" t="s">
        <v>4332</v>
      </c>
      <c r="C81" s="17" t="s">
        <v>140</v>
      </c>
      <c r="D81" s="55" t="s">
        <v>4734</v>
      </c>
      <c r="E81" s="17" t="s">
        <v>225</v>
      </c>
      <c r="F81" s="56" t="s">
        <v>4735</v>
      </c>
      <c r="G81" s="17" t="s">
        <v>4736</v>
      </c>
      <c r="H81" s="17" t="s">
        <v>3187</v>
      </c>
      <c r="I81" s="17"/>
      <c r="J81" s="17"/>
      <c r="K81" s="17"/>
      <c r="L81" s="17" t="s">
        <v>4737</v>
      </c>
      <c r="M81" s="17" t="s">
        <v>4738</v>
      </c>
      <c r="N81" s="15" t="s">
        <v>91</v>
      </c>
      <c r="O81" s="17" t="s">
        <v>4718</v>
      </c>
      <c r="P81" s="15" t="n">
        <v>194</v>
      </c>
    </row>
    <row r="82" customFormat="false" ht="32.8" hidden="false" customHeight="false" outlineLevel="0" collapsed="false">
      <c r="A82" s="57" t="s">
        <v>4739</v>
      </c>
      <c r="B82" s="58" t="s">
        <v>4332</v>
      </c>
      <c r="C82" s="58" t="s">
        <v>140</v>
      </c>
      <c r="D82" s="59" t="s">
        <v>4740</v>
      </c>
      <c r="E82" s="58" t="s">
        <v>225</v>
      </c>
      <c r="F82" s="60" t="s">
        <v>4741</v>
      </c>
      <c r="G82" s="58" t="s">
        <v>4742</v>
      </c>
      <c r="H82" s="58"/>
      <c r="I82" s="58" t="s">
        <v>4743</v>
      </c>
      <c r="J82" s="58"/>
      <c r="K82" s="58" t="s">
        <v>656</v>
      </c>
      <c r="L82" s="58" t="s">
        <v>4744</v>
      </c>
      <c r="M82" s="58" t="s">
        <v>4745</v>
      </c>
      <c r="N82" s="61" t="s">
        <v>91</v>
      </c>
      <c r="O82" s="58" t="s">
        <v>4718</v>
      </c>
      <c r="P82" s="61" t="n">
        <v>197</v>
      </c>
    </row>
    <row r="83" customFormat="false" ht="32.8" hidden="false" customHeight="false" outlineLevel="0" collapsed="false">
      <c r="A83" s="22" t="s">
        <v>4746</v>
      </c>
      <c r="B83" s="17" t="s">
        <v>4332</v>
      </c>
      <c r="C83" s="17" t="s">
        <v>140</v>
      </c>
      <c r="D83" s="55" t="s">
        <v>4747</v>
      </c>
      <c r="E83" s="17" t="s">
        <v>221</v>
      </c>
      <c r="F83" s="56" t="s">
        <v>4748</v>
      </c>
      <c r="G83" s="17" t="s">
        <v>4749</v>
      </c>
      <c r="H83" s="17"/>
      <c r="I83" s="17" t="s">
        <v>3235</v>
      </c>
      <c r="J83" s="17"/>
      <c r="K83" s="17"/>
      <c r="L83" s="17" t="s">
        <v>4750</v>
      </c>
      <c r="M83" s="17" t="s">
        <v>4751</v>
      </c>
      <c r="N83" s="15" t="s">
        <v>91</v>
      </c>
      <c r="O83" s="17" t="s">
        <v>4718</v>
      </c>
      <c r="P83" s="15" t="n">
        <v>200</v>
      </c>
    </row>
    <row r="84" customFormat="false" ht="32.8" hidden="false" customHeight="false" outlineLevel="0" collapsed="false">
      <c r="A84" s="57" t="s">
        <v>4752</v>
      </c>
      <c r="B84" s="58" t="s">
        <v>4332</v>
      </c>
      <c r="C84" s="58" t="s">
        <v>140</v>
      </c>
      <c r="D84" s="59" t="s">
        <v>4753</v>
      </c>
      <c r="E84" s="58" t="s">
        <v>221</v>
      </c>
      <c r="F84" s="60" t="s">
        <v>4754</v>
      </c>
      <c r="G84" s="58" t="s">
        <v>4755</v>
      </c>
      <c r="H84" s="58"/>
      <c r="I84" s="58" t="s">
        <v>4756</v>
      </c>
      <c r="J84" s="58"/>
      <c r="K84" s="58" t="s">
        <v>656</v>
      </c>
      <c r="L84" s="58" t="s">
        <v>4740</v>
      </c>
      <c r="M84" s="58" t="s">
        <v>4757</v>
      </c>
      <c r="N84" s="61" t="s">
        <v>91</v>
      </c>
      <c r="O84" s="58" t="s">
        <v>4718</v>
      </c>
      <c r="P84" s="61" t="n">
        <v>206</v>
      </c>
    </row>
    <row r="85" customFormat="false" ht="43.25" hidden="false" customHeight="false" outlineLevel="0" collapsed="false">
      <c r="A85" s="22" t="s">
        <v>4758</v>
      </c>
      <c r="B85" s="17" t="s">
        <v>4332</v>
      </c>
      <c r="C85" s="17" t="s">
        <v>141</v>
      </c>
      <c r="D85" s="55" t="s">
        <v>4759</v>
      </c>
      <c r="E85" s="17" t="s">
        <v>235</v>
      </c>
      <c r="F85" s="56" t="s">
        <v>4760</v>
      </c>
      <c r="G85" s="17" t="s">
        <v>4761</v>
      </c>
      <c r="H85" s="17"/>
      <c r="I85" s="17"/>
      <c r="J85" s="17"/>
      <c r="K85" s="17"/>
      <c r="L85" s="17" t="s">
        <v>4762</v>
      </c>
      <c r="M85" s="17" t="s">
        <v>4763</v>
      </c>
      <c r="N85" s="15" t="s">
        <v>91</v>
      </c>
      <c r="O85" s="17" t="s">
        <v>4764</v>
      </c>
      <c r="P85" s="15" t="n">
        <v>24</v>
      </c>
    </row>
    <row r="86" customFormat="false" ht="22.35" hidden="false" customHeight="false" outlineLevel="0" collapsed="false">
      <c r="A86" s="57" t="s">
        <v>4765</v>
      </c>
      <c r="B86" s="58" t="s">
        <v>4332</v>
      </c>
      <c r="C86" s="58" t="s">
        <v>141</v>
      </c>
      <c r="D86" s="59" t="s">
        <v>4766</v>
      </c>
      <c r="E86" s="58" t="s">
        <v>221</v>
      </c>
      <c r="F86" s="60" t="s">
        <v>4767</v>
      </c>
      <c r="G86" s="58" t="s">
        <v>4768</v>
      </c>
      <c r="H86" s="58"/>
      <c r="I86" s="58" t="s">
        <v>4435</v>
      </c>
      <c r="J86" s="58"/>
      <c r="K86" s="58"/>
      <c r="L86" s="58" t="s">
        <v>4769</v>
      </c>
      <c r="M86" s="58" t="s">
        <v>4770</v>
      </c>
      <c r="N86" s="61" t="s">
        <v>91</v>
      </c>
      <c r="O86" s="58" t="s">
        <v>4764</v>
      </c>
      <c r="P86" s="61" t="n">
        <v>41</v>
      </c>
    </row>
    <row r="87" customFormat="false" ht="22.35" hidden="false" customHeight="false" outlineLevel="0" collapsed="false">
      <c r="A87" s="22" t="s">
        <v>4771</v>
      </c>
      <c r="B87" s="17" t="s">
        <v>4332</v>
      </c>
      <c r="C87" s="17" t="s">
        <v>141</v>
      </c>
      <c r="D87" s="55" t="s">
        <v>4772</v>
      </c>
      <c r="E87" s="17" t="s">
        <v>221</v>
      </c>
      <c r="F87" s="56" t="s">
        <v>4773</v>
      </c>
      <c r="G87" s="17" t="s">
        <v>4774</v>
      </c>
      <c r="H87" s="17"/>
      <c r="I87" s="17" t="s">
        <v>4435</v>
      </c>
      <c r="J87" s="17"/>
      <c r="K87" s="17"/>
      <c r="L87" s="17" t="s">
        <v>4775</v>
      </c>
      <c r="M87" s="17" t="s">
        <v>4776</v>
      </c>
      <c r="N87" s="15" t="s">
        <v>91</v>
      </c>
      <c r="O87" s="17" t="s">
        <v>4764</v>
      </c>
      <c r="P87" s="15" t="n">
        <v>44</v>
      </c>
    </row>
    <row r="88" customFormat="false" ht="15" hidden="false" customHeight="false" outlineLevel="0" collapsed="false">
      <c r="A88" s="57" t="s">
        <v>4777</v>
      </c>
      <c r="B88" s="58" t="s">
        <v>4332</v>
      </c>
      <c r="C88" s="58" t="s">
        <v>141</v>
      </c>
      <c r="D88" s="59" t="s">
        <v>4778</v>
      </c>
      <c r="E88" s="58" t="s">
        <v>221</v>
      </c>
      <c r="F88" s="60" t="s">
        <v>4779</v>
      </c>
      <c r="G88" s="58" t="s">
        <v>4780</v>
      </c>
      <c r="H88" s="58"/>
      <c r="I88" s="58" t="s">
        <v>4781</v>
      </c>
      <c r="J88" s="58"/>
      <c r="K88" s="58"/>
      <c r="L88" s="58" t="s">
        <v>4782</v>
      </c>
      <c r="M88" s="58" t="s">
        <v>4783</v>
      </c>
      <c r="N88" s="61" t="s">
        <v>91</v>
      </c>
      <c r="O88" s="58" t="s">
        <v>4764</v>
      </c>
      <c r="P88" s="61" t="n">
        <v>48</v>
      </c>
    </row>
    <row r="89" customFormat="false" ht="22.35" hidden="false" customHeight="false" outlineLevel="0" collapsed="false">
      <c r="A89" s="22" t="s">
        <v>4784</v>
      </c>
      <c r="B89" s="17" t="s">
        <v>4332</v>
      </c>
      <c r="C89" s="17" t="s">
        <v>141</v>
      </c>
      <c r="D89" s="55" t="s">
        <v>4785</v>
      </c>
      <c r="E89" s="17" t="s">
        <v>221</v>
      </c>
      <c r="F89" s="56" t="s">
        <v>4786</v>
      </c>
      <c r="G89" s="17" t="s">
        <v>4787</v>
      </c>
      <c r="H89" s="17"/>
      <c r="I89" s="17" t="s">
        <v>4788</v>
      </c>
      <c r="J89" s="17"/>
      <c r="K89" s="17"/>
      <c r="L89" s="17" t="s">
        <v>4782</v>
      </c>
      <c r="M89" s="17" t="s">
        <v>4789</v>
      </c>
      <c r="N89" s="15" t="s">
        <v>91</v>
      </c>
      <c r="O89" s="17" t="s">
        <v>4764</v>
      </c>
      <c r="P89" s="15" t="n">
        <v>51</v>
      </c>
    </row>
    <row r="90" customFormat="false" ht="22.35" hidden="false" customHeight="false" outlineLevel="0" collapsed="false">
      <c r="A90" s="57" t="s">
        <v>4790</v>
      </c>
      <c r="B90" s="58" t="s">
        <v>4332</v>
      </c>
      <c r="C90" s="58" t="s">
        <v>141</v>
      </c>
      <c r="D90" s="59" t="s">
        <v>4791</v>
      </c>
      <c r="E90" s="58" t="s">
        <v>221</v>
      </c>
      <c r="F90" s="60" t="s">
        <v>4792</v>
      </c>
      <c r="G90" s="58" t="s">
        <v>4793</v>
      </c>
      <c r="H90" s="58"/>
      <c r="I90" s="58" t="s">
        <v>4788</v>
      </c>
      <c r="J90" s="58"/>
      <c r="K90" s="58"/>
      <c r="L90" s="58" t="s">
        <v>4782</v>
      </c>
      <c r="M90" s="58" t="s">
        <v>4794</v>
      </c>
      <c r="N90" s="61" t="s">
        <v>91</v>
      </c>
      <c r="O90" s="58" t="s">
        <v>4764</v>
      </c>
      <c r="P90" s="61" t="n">
        <v>57</v>
      </c>
    </row>
    <row r="91" customFormat="false" ht="22.35" hidden="false" customHeight="false" outlineLevel="0" collapsed="false">
      <c r="A91" s="22" t="s">
        <v>4795</v>
      </c>
      <c r="B91" s="17" t="s">
        <v>4332</v>
      </c>
      <c r="C91" s="17" t="s">
        <v>141</v>
      </c>
      <c r="D91" s="55" t="s">
        <v>4796</v>
      </c>
      <c r="E91" s="17" t="s">
        <v>221</v>
      </c>
      <c r="F91" s="56" t="s">
        <v>4797</v>
      </c>
      <c r="G91" s="17" t="s">
        <v>4798</v>
      </c>
      <c r="H91" s="17"/>
      <c r="I91" s="17" t="s">
        <v>4788</v>
      </c>
      <c r="J91" s="17"/>
      <c r="K91" s="17"/>
      <c r="L91" s="17" t="s">
        <v>4799</v>
      </c>
      <c r="M91" s="17" t="s">
        <v>4800</v>
      </c>
      <c r="N91" s="15" t="s">
        <v>91</v>
      </c>
      <c r="O91" s="17" t="s">
        <v>4764</v>
      </c>
      <c r="P91" s="15" t="n">
        <v>62</v>
      </c>
    </row>
    <row r="92" customFormat="false" ht="22.35" hidden="false" customHeight="false" outlineLevel="0" collapsed="false">
      <c r="A92" s="57" t="s">
        <v>4801</v>
      </c>
      <c r="B92" s="58" t="s">
        <v>4332</v>
      </c>
      <c r="C92" s="58" t="s">
        <v>141</v>
      </c>
      <c r="D92" s="59" t="s">
        <v>4802</v>
      </c>
      <c r="E92" s="58" t="s">
        <v>221</v>
      </c>
      <c r="F92" s="60" t="s">
        <v>4803</v>
      </c>
      <c r="G92" s="58" t="s">
        <v>4804</v>
      </c>
      <c r="H92" s="58"/>
      <c r="I92" s="58" t="s">
        <v>3235</v>
      </c>
      <c r="J92" s="58"/>
      <c r="K92" s="58"/>
      <c r="L92" s="58" t="s">
        <v>3940</v>
      </c>
      <c r="M92" s="58" t="s">
        <v>3041</v>
      </c>
      <c r="N92" s="61" t="s">
        <v>91</v>
      </c>
      <c r="O92" s="58" t="s">
        <v>4764</v>
      </c>
      <c r="P92" s="61" t="n">
        <v>68</v>
      </c>
    </row>
    <row r="93" customFormat="false" ht="22.35" hidden="false" customHeight="false" outlineLevel="0" collapsed="false">
      <c r="A93" s="22" t="s">
        <v>4805</v>
      </c>
      <c r="B93" s="17" t="s">
        <v>4332</v>
      </c>
      <c r="C93" s="17" t="s">
        <v>141</v>
      </c>
      <c r="D93" s="55" t="s">
        <v>4806</v>
      </c>
      <c r="E93" s="17" t="s">
        <v>221</v>
      </c>
      <c r="F93" s="56" t="s">
        <v>4807</v>
      </c>
      <c r="G93" s="17" t="s">
        <v>4808</v>
      </c>
      <c r="H93" s="17" t="s">
        <v>4809</v>
      </c>
      <c r="I93" s="17" t="s">
        <v>4810</v>
      </c>
      <c r="J93" s="17"/>
      <c r="K93" s="17"/>
      <c r="L93" s="17" t="s">
        <v>3940</v>
      </c>
      <c r="M93" s="17" t="s">
        <v>4811</v>
      </c>
      <c r="N93" s="15" t="s">
        <v>91</v>
      </c>
      <c r="O93" s="17" t="s">
        <v>4764</v>
      </c>
      <c r="P93" s="15" t="n">
        <v>73</v>
      </c>
    </row>
    <row r="94" customFormat="false" ht="15" hidden="false" customHeight="false" outlineLevel="0" collapsed="false">
      <c r="A94" s="57" t="s">
        <v>4812</v>
      </c>
      <c r="B94" s="58" t="s">
        <v>4332</v>
      </c>
      <c r="C94" s="58" t="s">
        <v>141</v>
      </c>
      <c r="D94" s="59" t="s">
        <v>4813</v>
      </c>
      <c r="E94" s="58" t="s">
        <v>227</v>
      </c>
      <c r="F94" s="60" t="s">
        <v>4814</v>
      </c>
      <c r="G94" s="58" t="s">
        <v>4815</v>
      </c>
      <c r="H94" s="58"/>
      <c r="I94" s="58" t="s">
        <v>3299</v>
      </c>
      <c r="J94" s="58"/>
      <c r="K94" s="58"/>
      <c r="L94" s="58" t="s">
        <v>4816</v>
      </c>
      <c r="M94" s="58"/>
      <c r="N94" s="61" t="s">
        <v>91</v>
      </c>
      <c r="O94" s="58" t="s">
        <v>4764</v>
      </c>
      <c r="P94" s="61" t="n">
        <v>76</v>
      </c>
    </row>
    <row r="95" customFormat="false" ht="43.25" hidden="false" customHeight="false" outlineLevel="0" collapsed="false">
      <c r="A95" s="22" t="s">
        <v>4817</v>
      </c>
      <c r="B95" s="17" t="s">
        <v>4332</v>
      </c>
      <c r="C95" s="17" t="s">
        <v>142</v>
      </c>
      <c r="D95" s="55" t="s">
        <v>4818</v>
      </c>
      <c r="E95" s="17" t="s">
        <v>235</v>
      </c>
      <c r="F95" s="56" t="s">
        <v>4819</v>
      </c>
      <c r="G95" s="17" t="s">
        <v>4820</v>
      </c>
      <c r="H95" s="17"/>
      <c r="I95" s="17"/>
      <c r="J95" s="17"/>
      <c r="K95" s="17"/>
      <c r="L95" s="17" t="s">
        <v>3798</v>
      </c>
      <c r="M95" s="17" t="s">
        <v>4821</v>
      </c>
      <c r="N95" s="15" t="s">
        <v>91</v>
      </c>
      <c r="O95" s="17" t="s">
        <v>4822</v>
      </c>
      <c r="P95" s="15" t="n">
        <v>15</v>
      </c>
    </row>
    <row r="96" customFormat="false" ht="22.35" hidden="false" customHeight="false" outlineLevel="0" collapsed="false">
      <c r="A96" s="57" t="s">
        <v>4823</v>
      </c>
      <c r="B96" s="58" t="s">
        <v>4332</v>
      </c>
      <c r="C96" s="58" t="s">
        <v>142</v>
      </c>
      <c r="D96" s="59" t="s">
        <v>4824</v>
      </c>
      <c r="E96" s="58" t="s">
        <v>221</v>
      </c>
      <c r="F96" s="60" t="s">
        <v>4825</v>
      </c>
      <c r="G96" s="58" t="s">
        <v>4826</v>
      </c>
      <c r="H96" s="58" t="s">
        <v>4827</v>
      </c>
      <c r="I96" s="58"/>
      <c r="J96" s="58"/>
      <c r="K96" s="58"/>
      <c r="L96" s="58" t="s">
        <v>3798</v>
      </c>
      <c r="M96" s="58"/>
      <c r="N96" s="61" t="s">
        <v>91</v>
      </c>
      <c r="O96" s="58" t="s">
        <v>4822</v>
      </c>
      <c r="P96" s="61" t="n">
        <v>24</v>
      </c>
    </row>
    <row r="97" customFormat="false" ht="32.8" hidden="false" customHeight="false" outlineLevel="0" collapsed="false">
      <c r="A97" s="22" t="s">
        <v>4828</v>
      </c>
      <c r="B97" s="17" t="s">
        <v>4332</v>
      </c>
      <c r="C97" s="17" t="s">
        <v>142</v>
      </c>
      <c r="D97" s="55" t="s">
        <v>4829</v>
      </c>
      <c r="E97" s="17" t="s">
        <v>221</v>
      </c>
      <c r="F97" s="56" t="s">
        <v>4830</v>
      </c>
      <c r="G97" s="17" t="s">
        <v>4831</v>
      </c>
      <c r="H97" s="17" t="s">
        <v>4832</v>
      </c>
      <c r="I97" s="17"/>
      <c r="J97" s="17"/>
      <c r="K97" s="17"/>
      <c r="L97" s="17" t="s">
        <v>3599</v>
      </c>
      <c r="M97" s="17" t="s">
        <v>4833</v>
      </c>
      <c r="N97" s="15" t="s">
        <v>91</v>
      </c>
      <c r="O97" s="17" t="s">
        <v>4822</v>
      </c>
      <c r="P97" s="15" t="n">
        <v>29</v>
      </c>
    </row>
    <row r="98" customFormat="false" ht="22.35" hidden="false" customHeight="false" outlineLevel="0" collapsed="false">
      <c r="A98" s="57" t="s">
        <v>4834</v>
      </c>
      <c r="B98" s="58" t="s">
        <v>4332</v>
      </c>
      <c r="C98" s="58" t="s">
        <v>142</v>
      </c>
      <c r="D98" s="59" t="s">
        <v>1908</v>
      </c>
      <c r="E98" s="58" t="s">
        <v>225</v>
      </c>
      <c r="F98" s="60" t="s">
        <v>4835</v>
      </c>
      <c r="G98" s="58" t="s">
        <v>4836</v>
      </c>
      <c r="H98" s="58" t="s">
        <v>3187</v>
      </c>
      <c r="I98" s="58" t="s">
        <v>4837</v>
      </c>
      <c r="J98" s="58" t="s">
        <v>4838</v>
      </c>
      <c r="K98" s="58"/>
      <c r="L98" s="58" t="s">
        <v>4839</v>
      </c>
      <c r="M98" s="58" t="s">
        <v>4840</v>
      </c>
      <c r="N98" s="61" t="s">
        <v>91</v>
      </c>
      <c r="O98" s="58" t="s">
        <v>4822</v>
      </c>
      <c r="P98" s="61" t="n">
        <v>32</v>
      </c>
    </row>
    <row r="99" customFormat="false" ht="53.7" hidden="false" customHeight="false" outlineLevel="0" collapsed="false">
      <c r="A99" s="22" t="s">
        <v>4841</v>
      </c>
      <c r="B99" s="17" t="s">
        <v>4332</v>
      </c>
      <c r="C99" s="17" t="s">
        <v>142</v>
      </c>
      <c r="D99" s="55" t="s">
        <v>1917</v>
      </c>
      <c r="E99" s="17" t="s">
        <v>225</v>
      </c>
      <c r="F99" s="56" t="s">
        <v>4842</v>
      </c>
      <c r="G99" s="17" t="s">
        <v>4843</v>
      </c>
      <c r="H99" s="17" t="s">
        <v>4844</v>
      </c>
      <c r="I99" s="17" t="s">
        <v>4845</v>
      </c>
      <c r="J99" s="17" t="s">
        <v>4846</v>
      </c>
      <c r="K99" s="17" t="s">
        <v>1127</v>
      </c>
      <c r="L99" s="17" t="s">
        <v>4847</v>
      </c>
      <c r="M99" s="17" t="s">
        <v>4848</v>
      </c>
      <c r="N99" s="15" t="s">
        <v>91</v>
      </c>
      <c r="O99" s="17" t="s">
        <v>4822</v>
      </c>
      <c r="P99" s="15" t="n">
        <v>33</v>
      </c>
    </row>
    <row r="100" customFormat="false" ht="22.35" hidden="false" customHeight="false" outlineLevel="0" collapsed="false">
      <c r="A100" s="57" t="s">
        <v>4849</v>
      </c>
      <c r="B100" s="58" t="s">
        <v>4332</v>
      </c>
      <c r="C100" s="58" t="s">
        <v>142</v>
      </c>
      <c r="D100" s="59" t="s">
        <v>4850</v>
      </c>
      <c r="E100" s="58" t="s">
        <v>225</v>
      </c>
      <c r="F100" s="60" t="s">
        <v>4851</v>
      </c>
      <c r="G100" s="58" t="s">
        <v>4852</v>
      </c>
      <c r="H100" s="58" t="s">
        <v>4098</v>
      </c>
      <c r="I100" s="58"/>
      <c r="J100" s="58"/>
      <c r="K100" s="58"/>
      <c r="L100" s="58" t="s">
        <v>4853</v>
      </c>
      <c r="M100" s="58" t="s">
        <v>4854</v>
      </c>
      <c r="N100" s="61" t="s">
        <v>91</v>
      </c>
      <c r="O100" s="58" t="s">
        <v>4822</v>
      </c>
      <c r="P100" s="61" t="n">
        <v>34</v>
      </c>
    </row>
    <row r="101" customFormat="false" ht="15" hidden="false" customHeight="false" outlineLevel="0" collapsed="false">
      <c r="A101" s="22" t="s">
        <v>4855</v>
      </c>
      <c r="B101" s="17" t="s">
        <v>4332</v>
      </c>
      <c r="C101" s="17" t="s">
        <v>142</v>
      </c>
      <c r="D101" s="55" t="s">
        <v>4856</v>
      </c>
      <c r="E101" s="17" t="s">
        <v>225</v>
      </c>
      <c r="F101" s="56" t="s">
        <v>4857</v>
      </c>
      <c r="G101" s="17" t="s">
        <v>4858</v>
      </c>
      <c r="H101" s="17"/>
      <c r="I101" s="17"/>
      <c r="J101" s="17"/>
      <c r="K101" s="17"/>
      <c r="L101" s="17" t="s">
        <v>4859</v>
      </c>
      <c r="M101" s="17" t="s">
        <v>4860</v>
      </c>
      <c r="N101" s="15" t="s">
        <v>91</v>
      </c>
      <c r="O101" s="17" t="s">
        <v>4822</v>
      </c>
      <c r="P101" s="15" t="n">
        <v>35</v>
      </c>
    </row>
    <row r="102" customFormat="false" ht="22.35" hidden="false" customHeight="false" outlineLevel="0" collapsed="false">
      <c r="A102" s="57" t="s">
        <v>4861</v>
      </c>
      <c r="B102" s="58" t="s">
        <v>4332</v>
      </c>
      <c r="C102" s="58" t="s">
        <v>142</v>
      </c>
      <c r="D102" s="59" t="s">
        <v>4862</v>
      </c>
      <c r="E102" s="58" t="s">
        <v>225</v>
      </c>
      <c r="F102" s="60" t="s">
        <v>4863</v>
      </c>
      <c r="G102" s="58" t="s">
        <v>4864</v>
      </c>
      <c r="H102" s="58"/>
      <c r="I102" s="58"/>
      <c r="J102" s="58"/>
      <c r="K102" s="58"/>
      <c r="L102" s="58" t="s">
        <v>4865</v>
      </c>
      <c r="M102" s="58" t="s">
        <v>4866</v>
      </c>
      <c r="N102" s="61" t="s">
        <v>91</v>
      </c>
      <c r="O102" s="58" t="s">
        <v>4822</v>
      </c>
      <c r="P102" s="61" t="n">
        <v>36</v>
      </c>
    </row>
    <row r="103" customFormat="false" ht="22.35" hidden="false" customHeight="false" outlineLevel="0" collapsed="false">
      <c r="A103" s="22" t="s">
        <v>4867</v>
      </c>
      <c r="B103" s="17" t="s">
        <v>4332</v>
      </c>
      <c r="C103" s="17" t="s">
        <v>142</v>
      </c>
      <c r="D103" s="55" t="s">
        <v>4868</v>
      </c>
      <c r="E103" s="17" t="s">
        <v>227</v>
      </c>
      <c r="F103" s="56" t="s">
        <v>4869</v>
      </c>
      <c r="G103" s="17" t="s">
        <v>4870</v>
      </c>
      <c r="H103" s="17"/>
      <c r="I103" s="17" t="s">
        <v>4871</v>
      </c>
      <c r="J103" s="17"/>
      <c r="K103" s="17"/>
      <c r="L103" s="17" t="s">
        <v>3678</v>
      </c>
      <c r="M103" s="17" t="s">
        <v>4872</v>
      </c>
      <c r="N103" s="15" t="s">
        <v>91</v>
      </c>
      <c r="O103" s="17" t="s">
        <v>4822</v>
      </c>
      <c r="P103" s="15" t="n">
        <v>39</v>
      </c>
    </row>
    <row r="104" customFormat="false" ht="22.35" hidden="false" customHeight="false" outlineLevel="0" collapsed="false">
      <c r="A104" s="57" t="s">
        <v>4873</v>
      </c>
      <c r="B104" s="58" t="s">
        <v>4332</v>
      </c>
      <c r="C104" s="58" t="s">
        <v>142</v>
      </c>
      <c r="D104" s="59" t="s">
        <v>4874</v>
      </c>
      <c r="E104" s="58" t="s">
        <v>227</v>
      </c>
      <c r="F104" s="60" t="s">
        <v>4875</v>
      </c>
      <c r="G104" s="58" t="s">
        <v>4876</v>
      </c>
      <c r="H104" s="58"/>
      <c r="I104" s="58" t="s">
        <v>4877</v>
      </c>
      <c r="J104" s="58"/>
      <c r="K104" s="58"/>
      <c r="L104" s="58" t="s">
        <v>4878</v>
      </c>
      <c r="M104" s="58"/>
      <c r="N104" s="61" t="s">
        <v>91</v>
      </c>
      <c r="O104" s="58" t="s">
        <v>4822</v>
      </c>
      <c r="P104" s="61" t="n">
        <v>42</v>
      </c>
    </row>
    <row r="105" customFormat="false" ht="22.35" hidden="false" customHeight="false" outlineLevel="0" collapsed="false">
      <c r="A105" s="22" t="s">
        <v>4879</v>
      </c>
      <c r="B105" s="17" t="s">
        <v>4332</v>
      </c>
      <c r="C105" s="17" t="s">
        <v>142</v>
      </c>
      <c r="D105" s="55" t="s">
        <v>1076</v>
      </c>
      <c r="E105" s="17" t="s">
        <v>221</v>
      </c>
      <c r="F105" s="56" t="s">
        <v>4880</v>
      </c>
      <c r="G105" s="17" t="s">
        <v>4881</v>
      </c>
      <c r="H105" s="17" t="s">
        <v>4882</v>
      </c>
      <c r="I105" s="17"/>
      <c r="J105" s="17" t="s">
        <v>4883</v>
      </c>
      <c r="K105" s="17" t="s">
        <v>485</v>
      </c>
      <c r="L105" s="17" t="s">
        <v>4884</v>
      </c>
      <c r="M105" s="17" t="s">
        <v>4885</v>
      </c>
      <c r="N105" s="15" t="s">
        <v>91</v>
      </c>
      <c r="O105" s="17" t="s">
        <v>4822</v>
      </c>
      <c r="P105" s="15" t="n">
        <v>55</v>
      </c>
    </row>
    <row r="106" customFormat="false" ht="43.25" hidden="false" customHeight="false" outlineLevel="0" collapsed="false">
      <c r="A106" s="57" t="s">
        <v>4886</v>
      </c>
      <c r="B106" s="58" t="s">
        <v>4332</v>
      </c>
      <c r="C106" s="58" t="s">
        <v>142</v>
      </c>
      <c r="D106" s="59" t="s">
        <v>1416</v>
      </c>
      <c r="E106" s="58" t="s">
        <v>221</v>
      </c>
      <c r="F106" s="60" t="s">
        <v>4887</v>
      </c>
      <c r="G106" s="58" t="s">
        <v>4888</v>
      </c>
      <c r="H106" s="58" t="s">
        <v>4889</v>
      </c>
      <c r="I106" s="58" t="s">
        <v>4890</v>
      </c>
      <c r="J106" s="58" t="s">
        <v>4891</v>
      </c>
      <c r="K106" s="58" t="s">
        <v>784</v>
      </c>
      <c r="L106" s="58" t="s">
        <v>4884</v>
      </c>
      <c r="M106" s="58" t="s">
        <v>4892</v>
      </c>
      <c r="N106" s="61" t="s">
        <v>91</v>
      </c>
      <c r="O106" s="58" t="s">
        <v>4822</v>
      </c>
      <c r="P106" s="61" t="n">
        <v>56</v>
      </c>
    </row>
    <row r="107" customFormat="false" ht="22.35" hidden="false" customHeight="false" outlineLevel="0" collapsed="false">
      <c r="A107" s="22" t="s">
        <v>4893</v>
      </c>
      <c r="B107" s="17" t="s">
        <v>4332</v>
      </c>
      <c r="C107" s="17" t="s">
        <v>142</v>
      </c>
      <c r="D107" s="55" t="s">
        <v>2420</v>
      </c>
      <c r="E107" s="17" t="s">
        <v>221</v>
      </c>
      <c r="F107" s="56" t="s">
        <v>4894</v>
      </c>
      <c r="G107" s="17" t="s">
        <v>4895</v>
      </c>
      <c r="H107" s="17" t="s">
        <v>4896</v>
      </c>
      <c r="I107" s="17" t="s">
        <v>4897</v>
      </c>
      <c r="J107" s="17"/>
      <c r="K107" s="17"/>
      <c r="L107" s="17" t="s">
        <v>4884</v>
      </c>
      <c r="M107" s="17" t="s">
        <v>4898</v>
      </c>
      <c r="N107" s="15" t="s">
        <v>91</v>
      </c>
      <c r="O107" s="17" t="s">
        <v>4822</v>
      </c>
      <c r="P107" s="15" t="n">
        <v>58</v>
      </c>
    </row>
    <row r="108" customFormat="false" ht="53.7" hidden="false" customHeight="false" outlineLevel="0" collapsed="false">
      <c r="A108" s="57" t="s">
        <v>4899</v>
      </c>
      <c r="B108" s="58" t="s">
        <v>4332</v>
      </c>
      <c r="C108" s="58" t="s">
        <v>143</v>
      </c>
      <c r="D108" s="59" t="s">
        <v>4900</v>
      </c>
      <c r="E108" s="58" t="s">
        <v>235</v>
      </c>
      <c r="F108" s="60" t="s">
        <v>4901</v>
      </c>
      <c r="G108" s="58" t="s">
        <v>4902</v>
      </c>
      <c r="H108" s="58"/>
      <c r="I108" s="58"/>
      <c r="J108" s="58"/>
      <c r="K108" s="58"/>
      <c r="L108" s="58" t="s">
        <v>4903</v>
      </c>
      <c r="M108" s="58" t="s">
        <v>4904</v>
      </c>
      <c r="N108" s="61" t="s">
        <v>91</v>
      </c>
      <c r="O108" s="58" t="s">
        <v>4718</v>
      </c>
      <c r="P108" s="61" t="n">
        <v>140</v>
      </c>
    </row>
    <row r="109" customFormat="false" ht="15" hidden="false" customHeight="false" outlineLevel="0" collapsed="false">
      <c r="A109" s="22" t="s">
        <v>4905</v>
      </c>
      <c r="B109" s="17" t="s">
        <v>4332</v>
      </c>
      <c r="C109" s="17" t="s">
        <v>143</v>
      </c>
      <c r="D109" s="55" t="s">
        <v>4906</v>
      </c>
      <c r="E109" s="17" t="s">
        <v>221</v>
      </c>
      <c r="F109" s="56" t="s">
        <v>4907</v>
      </c>
      <c r="G109" s="17" t="s">
        <v>4908</v>
      </c>
      <c r="H109" s="17"/>
      <c r="I109" s="17" t="s">
        <v>4909</v>
      </c>
      <c r="J109" s="17" t="s">
        <v>4910</v>
      </c>
      <c r="K109" s="17"/>
      <c r="L109" s="17" t="s">
        <v>4911</v>
      </c>
      <c r="M109" s="17" t="s">
        <v>4912</v>
      </c>
      <c r="N109" s="15" t="s">
        <v>91</v>
      </c>
      <c r="O109" s="17" t="s">
        <v>4718</v>
      </c>
      <c r="P109" s="15" t="n">
        <v>151</v>
      </c>
    </row>
    <row r="110" customFormat="false" ht="15" hidden="false" customHeight="false" outlineLevel="0" collapsed="false">
      <c r="A110" s="57" t="s">
        <v>4913</v>
      </c>
      <c r="B110" s="58" t="s">
        <v>4332</v>
      </c>
      <c r="C110" s="58" t="s">
        <v>143</v>
      </c>
      <c r="D110" s="59" t="s">
        <v>4914</v>
      </c>
      <c r="E110" s="58" t="s">
        <v>225</v>
      </c>
      <c r="F110" s="60" t="s">
        <v>4721</v>
      </c>
      <c r="G110" s="58" t="s">
        <v>4915</v>
      </c>
      <c r="H110" s="58"/>
      <c r="I110" s="58" t="s">
        <v>4723</v>
      </c>
      <c r="J110" s="58"/>
      <c r="K110" s="58"/>
      <c r="L110" s="58" t="s">
        <v>3728</v>
      </c>
      <c r="M110" s="58" t="s">
        <v>4916</v>
      </c>
      <c r="N110" s="61" t="s">
        <v>91</v>
      </c>
      <c r="O110" s="58" t="s">
        <v>4718</v>
      </c>
      <c r="P110" s="61" t="n">
        <v>154</v>
      </c>
    </row>
    <row r="111" customFormat="false" ht="15" hidden="false" customHeight="false" outlineLevel="0" collapsed="false">
      <c r="A111" s="22" t="s">
        <v>4917</v>
      </c>
      <c r="B111" s="17" t="s">
        <v>4332</v>
      </c>
      <c r="C111" s="17" t="s">
        <v>143</v>
      </c>
      <c r="D111" s="55" t="s">
        <v>4918</v>
      </c>
      <c r="E111" s="17" t="s">
        <v>225</v>
      </c>
      <c r="F111" s="56" t="s">
        <v>4728</v>
      </c>
      <c r="G111" s="17" t="s">
        <v>4919</v>
      </c>
      <c r="H111" s="17"/>
      <c r="I111" s="17" t="s">
        <v>4730</v>
      </c>
      <c r="J111" s="17"/>
      <c r="K111" s="17"/>
      <c r="L111" s="17" t="s">
        <v>4920</v>
      </c>
      <c r="M111" s="17" t="s">
        <v>4921</v>
      </c>
      <c r="N111" s="15" t="s">
        <v>91</v>
      </c>
      <c r="O111" s="17" t="s">
        <v>4718</v>
      </c>
      <c r="P111" s="15" t="n">
        <v>155</v>
      </c>
    </row>
    <row r="112" customFormat="false" ht="22.35" hidden="false" customHeight="false" outlineLevel="0" collapsed="false">
      <c r="A112" s="57" t="s">
        <v>4922</v>
      </c>
      <c r="B112" s="58" t="s">
        <v>4332</v>
      </c>
      <c r="C112" s="58" t="s">
        <v>143</v>
      </c>
      <c r="D112" s="59" t="s">
        <v>4923</v>
      </c>
      <c r="E112" s="58" t="s">
        <v>225</v>
      </c>
      <c r="F112" s="60" t="s">
        <v>4735</v>
      </c>
      <c r="G112" s="58" t="s">
        <v>4924</v>
      </c>
      <c r="H112" s="58" t="s">
        <v>3187</v>
      </c>
      <c r="I112" s="58"/>
      <c r="J112" s="58"/>
      <c r="K112" s="58"/>
      <c r="L112" s="58" t="s">
        <v>125</v>
      </c>
      <c r="M112" s="58" t="s">
        <v>4925</v>
      </c>
      <c r="N112" s="61" t="s">
        <v>91</v>
      </c>
      <c r="O112" s="58" t="s">
        <v>4718</v>
      </c>
      <c r="P112" s="61" t="n">
        <v>156</v>
      </c>
    </row>
    <row r="113" customFormat="false" ht="15" hidden="false" customHeight="false" outlineLevel="0" collapsed="false">
      <c r="A113" s="22" t="s">
        <v>4926</v>
      </c>
      <c r="B113" s="17" t="s">
        <v>4332</v>
      </c>
      <c r="C113" s="17" t="s">
        <v>143</v>
      </c>
      <c r="D113" s="55" t="s">
        <v>4927</v>
      </c>
      <c r="E113" s="17" t="s">
        <v>225</v>
      </c>
      <c r="F113" s="56" t="s">
        <v>4928</v>
      </c>
      <c r="G113" s="17" t="s">
        <v>4929</v>
      </c>
      <c r="H113" s="17" t="s">
        <v>4930</v>
      </c>
      <c r="I113" s="17" t="s">
        <v>4931</v>
      </c>
      <c r="J113" s="17"/>
      <c r="K113" s="17"/>
      <c r="L113" s="17" t="s">
        <v>4932</v>
      </c>
      <c r="M113" s="17" t="s">
        <v>4933</v>
      </c>
      <c r="N113" s="15" t="s">
        <v>91</v>
      </c>
      <c r="O113" s="17" t="s">
        <v>4718</v>
      </c>
      <c r="P113" s="15" t="n">
        <v>157</v>
      </c>
    </row>
    <row r="114" customFormat="false" ht="22.35" hidden="false" customHeight="false" outlineLevel="0" collapsed="false">
      <c r="A114" s="57" t="s">
        <v>4934</v>
      </c>
      <c r="B114" s="58" t="s">
        <v>4332</v>
      </c>
      <c r="C114" s="58" t="s">
        <v>143</v>
      </c>
      <c r="D114" s="59" t="s">
        <v>4935</v>
      </c>
      <c r="E114" s="58" t="s">
        <v>225</v>
      </c>
      <c r="F114" s="60" t="s">
        <v>4936</v>
      </c>
      <c r="G114" s="58" t="s">
        <v>4937</v>
      </c>
      <c r="H114" s="58"/>
      <c r="I114" s="58" t="s">
        <v>4743</v>
      </c>
      <c r="J114" s="58" t="s">
        <v>4938</v>
      </c>
      <c r="K114" s="58" t="s">
        <v>753</v>
      </c>
      <c r="L114" s="58" t="s">
        <v>4939</v>
      </c>
      <c r="M114" s="58" t="s">
        <v>4940</v>
      </c>
      <c r="N114" s="61" t="s">
        <v>91</v>
      </c>
      <c r="O114" s="58" t="s">
        <v>4718</v>
      </c>
      <c r="P114" s="61" t="n">
        <v>160</v>
      </c>
    </row>
    <row r="115" customFormat="false" ht="32.8" hidden="false" customHeight="false" outlineLevel="0" collapsed="false">
      <c r="A115" s="22" t="s">
        <v>4941</v>
      </c>
      <c r="B115" s="17" t="s">
        <v>4332</v>
      </c>
      <c r="C115" s="17" t="s">
        <v>144</v>
      </c>
      <c r="D115" s="55" t="s">
        <v>4942</v>
      </c>
      <c r="E115" s="17" t="s">
        <v>235</v>
      </c>
      <c r="F115" s="56" t="s">
        <v>4943</v>
      </c>
      <c r="G115" s="17" t="s">
        <v>4944</v>
      </c>
      <c r="H115" s="17"/>
      <c r="I115" s="17"/>
      <c r="J115" s="17"/>
      <c r="K115" s="17"/>
      <c r="L115" s="17" t="s">
        <v>4945</v>
      </c>
      <c r="M115" s="17" t="s">
        <v>4946</v>
      </c>
      <c r="N115" s="15" t="s">
        <v>91</v>
      </c>
      <c r="O115" s="17" t="s">
        <v>4947</v>
      </c>
      <c r="P115" s="15" t="n">
        <v>37</v>
      </c>
    </row>
    <row r="116" customFormat="false" ht="15" hidden="false" customHeight="false" outlineLevel="0" collapsed="false">
      <c r="A116" s="57" t="s">
        <v>4948</v>
      </c>
      <c r="B116" s="58" t="s">
        <v>4332</v>
      </c>
      <c r="C116" s="58" t="s">
        <v>144</v>
      </c>
      <c r="D116" s="59" t="s">
        <v>4949</v>
      </c>
      <c r="E116" s="58" t="s">
        <v>221</v>
      </c>
      <c r="F116" s="60" t="s">
        <v>4950</v>
      </c>
      <c r="G116" s="58" t="s">
        <v>4951</v>
      </c>
      <c r="H116" s="58"/>
      <c r="I116" s="58" t="s">
        <v>4952</v>
      </c>
      <c r="J116" s="58"/>
      <c r="K116" s="58"/>
      <c r="L116" s="58" t="s">
        <v>1416</v>
      </c>
      <c r="M116" s="58" t="s">
        <v>4953</v>
      </c>
      <c r="N116" s="61" t="s">
        <v>91</v>
      </c>
      <c r="O116" s="58" t="s">
        <v>4947</v>
      </c>
      <c r="P116" s="61" t="n">
        <v>51</v>
      </c>
    </row>
    <row r="117" customFormat="false" ht="22.35" hidden="false" customHeight="false" outlineLevel="0" collapsed="false">
      <c r="A117" s="22" t="s">
        <v>4954</v>
      </c>
      <c r="B117" s="17" t="s">
        <v>4332</v>
      </c>
      <c r="C117" s="17" t="s">
        <v>144</v>
      </c>
      <c r="D117" s="55" t="s">
        <v>4955</v>
      </c>
      <c r="E117" s="17" t="s">
        <v>221</v>
      </c>
      <c r="F117" s="56" t="s">
        <v>4956</v>
      </c>
      <c r="G117" s="17" t="s">
        <v>4957</v>
      </c>
      <c r="H117" s="17" t="s">
        <v>4958</v>
      </c>
      <c r="I117" s="17" t="s">
        <v>4959</v>
      </c>
      <c r="J117" s="17"/>
      <c r="K117" s="17"/>
      <c r="L117" s="17" t="s">
        <v>1416</v>
      </c>
      <c r="M117" s="17" t="s">
        <v>4960</v>
      </c>
      <c r="N117" s="15" t="s">
        <v>91</v>
      </c>
      <c r="O117" s="17" t="s">
        <v>4947</v>
      </c>
      <c r="P117" s="15" t="n">
        <v>55</v>
      </c>
    </row>
    <row r="118" customFormat="false" ht="32.8" hidden="false" customHeight="false" outlineLevel="0" collapsed="false">
      <c r="A118" s="57" t="s">
        <v>4961</v>
      </c>
      <c r="B118" s="58" t="s">
        <v>4332</v>
      </c>
      <c r="C118" s="58" t="s">
        <v>144</v>
      </c>
      <c r="D118" s="59" t="s">
        <v>4962</v>
      </c>
      <c r="E118" s="58" t="s">
        <v>221</v>
      </c>
      <c r="F118" s="60" t="s">
        <v>4963</v>
      </c>
      <c r="G118" s="58" t="s">
        <v>4964</v>
      </c>
      <c r="H118" s="58" t="s">
        <v>4965</v>
      </c>
      <c r="I118" s="58" t="s">
        <v>4966</v>
      </c>
      <c r="J118" s="58"/>
      <c r="K118" s="58"/>
      <c r="L118" s="58" t="s">
        <v>1416</v>
      </c>
      <c r="M118" s="58" t="s">
        <v>4967</v>
      </c>
      <c r="N118" s="61" t="s">
        <v>91</v>
      </c>
      <c r="O118" s="58" t="s">
        <v>4947</v>
      </c>
      <c r="P118" s="61" t="n">
        <v>59</v>
      </c>
    </row>
    <row r="119" customFormat="false" ht="43.25" hidden="false" customHeight="false" outlineLevel="0" collapsed="false">
      <c r="A119" s="22" t="s">
        <v>4968</v>
      </c>
      <c r="B119" s="17" t="s">
        <v>4332</v>
      </c>
      <c r="C119" s="17" t="s">
        <v>145</v>
      </c>
      <c r="D119" s="55" t="s">
        <v>4969</v>
      </c>
      <c r="E119" s="17" t="s">
        <v>235</v>
      </c>
      <c r="F119" s="56" t="s">
        <v>4970</v>
      </c>
      <c r="G119" s="17" t="s">
        <v>4971</v>
      </c>
      <c r="H119" s="17"/>
      <c r="I119" s="17"/>
      <c r="J119" s="17"/>
      <c r="K119" s="17"/>
      <c r="L119" s="17" t="s">
        <v>4972</v>
      </c>
      <c r="M119" s="17" t="s">
        <v>4973</v>
      </c>
      <c r="N119" s="15" t="s">
        <v>91</v>
      </c>
      <c r="O119" s="17" t="s">
        <v>4974</v>
      </c>
      <c r="P119" s="15" t="n">
        <v>29</v>
      </c>
    </row>
    <row r="120" customFormat="false" ht="15" hidden="false" customHeight="false" outlineLevel="0" collapsed="false">
      <c r="A120" s="57" t="s">
        <v>4975</v>
      </c>
      <c r="B120" s="58" t="s">
        <v>4332</v>
      </c>
      <c r="C120" s="58" t="s">
        <v>145</v>
      </c>
      <c r="D120" s="59" t="s">
        <v>4976</v>
      </c>
      <c r="E120" s="58" t="s">
        <v>234</v>
      </c>
      <c r="F120" s="60" t="s">
        <v>4977</v>
      </c>
      <c r="G120" s="58" t="s">
        <v>4978</v>
      </c>
      <c r="H120" s="58"/>
      <c r="I120" s="58" t="s">
        <v>4979</v>
      </c>
      <c r="J120" s="58"/>
      <c r="K120" s="58"/>
      <c r="L120" s="58" t="s">
        <v>4980</v>
      </c>
      <c r="M120" s="58"/>
      <c r="N120" s="61" t="s">
        <v>91</v>
      </c>
      <c r="O120" s="58" t="s">
        <v>4974</v>
      </c>
      <c r="P120" s="61" t="n">
        <v>48</v>
      </c>
    </row>
    <row r="121" customFormat="false" ht="15" hidden="false" customHeight="false" outlineLevel="0" collapsed="false">
      <c r="A121" s="22" t="s">
        <v>4981</v>
      </c>
      <c r="B121" s="17" t="s">
        <v>4332</v>
      </c>
      <c r="C121" s="17" t="s">
        <v>145</v>
      </c>
      <c r="D121" s="55" t="s">
        <v>4982</v>
      </c>
      <c r="E121" s="17" t="s">
        <v>234</v>
      </c>
      <c r="F121" s="56" t="s">
        <v>4983</v>
      </c>
      <c r="G121" s="17" t="s">
        <v>4984</v>
      </c>
      <c r="H121" s="17"/>
      <c r="I121" s="17" t="s">
        <v>4985</v>
      </c>
      <c r="J121" s="17"/>
      <c r="K121" s="17"/>
      <c r="L121" s="17" t="s">
        <v>4980</v>
      </c>
      <c r="M121" s="17"/>
      <c r="N121" s="15" t="s">
        <v>91</v>
      </c>
      <c r="O121" s="17" t="s">
        <v>4974</v>
      </c>
      <c r="P121" s="15" t="n">
        <v>60</v>
      </c>
    </row>
    <row r="122" customFormat="false" ht="22.35" hidden="false" customHeight="false" outlineLevel="0" collapsed="false">
      <c r="A122" s="57" t="s">
        <v>4986</v>
      </c>
      <c r="B122" s="58" t="s">
        <v>4332</v>
      </c>
      <c r="C122" s="58" t="s">
        <v>145</v>
      </c>
      <c r="D122" s="59" t="s">
        <v>4987</v>
      </c>
      <c r="E122" s="58" t="s">
        <v>234</v>
      </c>
      <c r="F122" s="60" t="s">
        <v>4988</v>
      </c>
      <c r="G122" s="58" t="s">
        <v>4989</v>
      </c>
      <c r="H122" s="58"/>
      <c r="I122" s="58" t="s">
        <v>4990</v>
      </c>
      <c r="J122" s="58"/>
      <c r="K122" s="58"/>
      <c r="L122" s="58" t="s">
        <v>4991</v>
      </c>
      <c r="M122" s="58"/>
      <c r="N122" s="61" t="s">
        <v>91</v>
      </c>
      <c r="O122" s="58" t="s">
        <v>4974</v>
      </c>
      <c r="P122" s="61" t="n">
        <v>132</v>
      </c>
    </row>
    <row r="123" customFormat="false" ht="32.8" hidden="false" customHeight="false" outlineLevel="0" collapsed="false">
      <c r="A123" s="22" t="s">
        <v>4992</v>
      </c>
      <c r="B123" s="17" t="s">
        <v>4332</v>
      </c>
      <c r="C123" s="17" t="s">
        <v>145</v>
      </c>
      <c r="D123" s="55" t="s">
        <v>4993</v>
      </c>
      <c r="E123" s="17" t="s">
        <v>234</v>
      </c>
      <c r="F123" s="56" t="s">
        <v>4994</v>
      </c>
      <c r="G123" s="17" t="s">
        <v>4995</v>
      </c>
      <c r="H123" s="17" t="s">
        <v>4996</v>
      </c>
      <c r="I123" s="17" t="s">
        <v>4997</v>
      </c>
      <c r="J123" s="17"/>
      <c r="K123" s="17"/>
      <c r="L123" s="17" t="s">
        <v>4998</v>
      </c>
      <c r="M123" s="17"/>
      <c r="N123" s="15" t="s">
        <v>91</v>
      </c>
      <c r="O123" s="17" t="s">
        <v>4974</v>
      </c>
      <c r="P123" s="15" t="n">
        <v>137</v>
      </c>
    </row>
    <row r="124" customFormat="false" ht="22.35" hidden="false" customHeight="false" outlineLevel="0" collapsed="false">
      <c r="A124" s="57" t="s">
        <v>4999</v>
      </c>
      <c r="B124" s="58" t="s">
        <v>4332</v>
      </c>
      <c r="C124" s="58" t="s">
        <v>145</v>
      </c>
      <c r="D124" s="59" t="s">
        <v>5000</v>
      </c>
      <c r="E124" s="58" t="s">
        <v>234</v>
      </c>
      <c r="F124" s="60" t="s">
        <v>5001</v>
      </c>
      <c r="G124" s="58" t="s">
        <v>5002</v>
      </c>
      <c r="H124" s="58"/>
      <c r="I124" s="58" t="s">
        <v>5003</v>
      </c>
      <c r="J124" s="58"/>
      <c r="K124" s="58"/>
      <c r="L124" s="58" t="s">
        <v>5004</v>
      </c>
      <c r="M124" s="58"/>
      <c r="N124" s="61" t="s">
        <v>91</v>
      </c>
      <c r="O124" s="58" t="s">
        <v>4974</v>
      </c>
      <c r="P124" s="61" t="n">
        <v>211</v>
      </c>
    </row>
    <row r="125" customFormat="false" ht="22.35" hidden="false" customHeight="false" outlineLevel="0" collapsed="false">
      <c r="A125" s="22" t="s">
        <v>5005</v>
      </c>
      <c r="B125" s="17" t="s">
        <v>4332</v>
      </c>
      <c r="C125" s="17" t="s">
        <v>145</v>
      </c>
      <c r="D125" s="55" t="s">
        <v>5006</v>
      </c>
      <c r="E125" s="17" t="s">
        <v>234</v>
      </c>
      <c r="F125" s="56" t="s">
        <v>5007</v>
      </c>
      <c r="G125" s="17" t="s">
        <v>5008</v>
      </c>
      <c r="H125" s="17" t="s">
        <v>5009</v>
      </c>
      <c r="I125" s="17" t="s">
        <v>3069</v>
      </c>
      <c r="J125" s="17"/>
      <c r="K125" s="17"/>
      <c r="L125" s="17" t="s">
        <v>5010</v>
      </c>
      <c r="M125" s="17"/>
      <c r="N125" s="15" t="s">
        <v>91</v>
      </c>
      <c r="O125" s="17" t="s">
        <v>4974</v>
      </c>
      <c r="P125" s="15" t="n">
        <v>214</v>
      </c>
    </row>
    <row r="126" customFormat="false" ht="43.25" hidden="false" customHeight="false" outlineLevel="0" collapsed="false">
      <c r="A126" s="57" t="s">
        <v>5011</v>
      </c>
      <c r="B126" s="58" t="s">
        <v>4332</v>
      </c>
      <c r="C126" s="58" t="s">
        <v>146</v>
      </c>
      <c r="D126" s="59" t="s">
        <v>5012</v>
      </c>
      <c r="E126" s="58" t="s">
        <v>235</v>
      </c>
      <c r="F126" s="60" t="s">
        <v>5013</v>
      </c>
      <c r="G126" s="58" t="s">
        <v>5014</v>
      </c>
      <c r="H126" s="58"/>
      <c r="I126" s="58"/>
      <c r="J126" s="58"/>
      <c r="K126" s="58"/>
      <c r="L126" s="58" t="s">
        <v>5015</v>
      </c>
      <c r="M126" s="58" t="s">
        <v>5016</v>
      </c>
      <c r="N126" s="61" t="s">
        <v>91</v>
      </c>
      <c r="O126" s="58" t="s">
        <v>5017</v>
      </c>
      <c r="P126" s="61" t="n">
        <v>37</v>
      </c>
    </row>
    <row r="127" customFormat="false" ht="22.35" hidden="false" customHeight="false" outlineLevel="0" collapsed="false">
      <c r="A127" s="22" t="s">
        <v>5018</v>
      </c>
      <c r="B127" s="17" t="s">
        <v>4332</v>
      </c>
      <c r="C127" s="17" t="s">
        <v>146</v>
      </c>
      <c r="D127" s="55" t="s">
        <v>5019</v>
      </c>
      <c r="E127" s="17" t="s">
        <v>221</v>
      </c>
      <c r="F127" s="56" t="s">
        <v>5020</v>
      </c>
      <c r="G127" s="17" t="s">
        <v>5021</v>
      </c>
      <c r="H127" s="17" t="s">
        <v>3168</v>
      </c>
      <c r="I127" s="17" t="s">
        <v>5022</v>
      </c>
      <c r="J127" s="17"/>
      <c r="K127" s="17"/>
      <c r="L127" s="17" t="s">
        <v>3237</v>
      </c>
      <c r="M127" s="17" t="s">
        <v>5023</v>
      </c>
      <c r="N127" s="15" t="s">
        <v>91</v>
      </c>
      <c r="O127" s="17" t="s">
        <v>5017</v>
      </c>
      <c r="P127" s="15" t="n">
        <v>50</v>
      </c>
    </row>
    <row r="128" customFormat="false" ht="15" hidden="false" customHeight="false" outlineLevel="0" collapsed="false">
      <c r="A128" s="57" t="s">
        <v>5024</v>
      </c>
      <c r="B128" s="58" t="s">
        <v>4332</v>
      </c>
      <c r="C128" s="58" t="s">
        <v>146</v>
      </c>
      <c r="D128" s="59" t="s">
        <v>5025</v>
      </c>
      <c r="E128" s="58" t="s">
        <v>221</v>
      </c>
      <c r="F128" s="60" t="s">
        <v>5026</v>
      </c>
      <c r="G128" s="58" t="s">
        <v>5027</v>
      </c>
      <c r="H128" s="58"/>
      <c r="I128" s="58"/>
      <c r="J128" s="58"/>
      <c r="K128" s="58"/>
      <c r="L128" s="58" t="s">
        <v>5028</v>
      </c>
      <c r="M128" s="58" t="s">
        <v>5029</v>
      </c>
      <c r="N128" s="61" t="s">
        <v>91</v>
      </c>
      <c r="O128" s="58" t="s">
        <v>5017</v>
      </c>
      <c r="P128" s="61" t="n">
        <v>51</v>
      </c>
    </row>
    <row r="129" customFormat="false" ht="15" hidden="false" customHeight="false" outlineLevel="0" collapsed="false">
      <c r="A129" s="22" t="s">
        <v>5030</v>
      </c>
      <c r="B129" s="17" t="s">
        <v>4332</v>
      </c>
      <c r="C129" s="17" t="s">
        <v>146</v>
      </c>
      <c r="D129" s="55" t="s">
        <v>5031</v>
      </c>
      <c r="E129" s="17" t="s">
        <v>221</v>
      </c>
      <c r="F129" s="56" t="s">
        <v>5032</v>
      </c>
      <c r="G129" s="17" t="s">
        <v>5033</v>
      </c>
      <c r="H129" s="17"/>
      <c r="I129" s="17" t="s">
        <v>5034</v>
      </c>
      <c r="J129" s="17"/>
      <c r="K129" s="17" t="s">
        <v>5034</v>
      </c>
      <c r="L129" s="17" t="s">
        <v>3394</v>
      </c>
      <c r="M129" s="17" t="s">
        <v>5035</v>
      </c>
      <c r="N129" s="15" t="s">
        <v>91</v>
      </c>
      <c r="O129" s="17" t="s">
        <v>5017</v>
      </c>
      <c r="P129" s="15" t="n">
        <v>57</v>
      </c>
    </row>
    <row r="130" customFormat="false" ht="15" hidden="false" customHeight="false" outlineLevel="0" collapsed="false">
      <c r="A130" s="57" t="s">
        <v>5036</v>
      </c>
      <c r="B130" s="58" t="s">
        <v>4332</v>
      </c>
      <c r="C130" s="58" t="s">
        <v>146</v>
      </c>
      <c r="D130" s="59" t="s">
        <v>5037</v>
      </c>
      <c r="E130" s="58" t="s">
        <v>221</v>
      </c>
      <c r="F130" s="60" t="s">
        <v>5038</v>
      </c>
      <c r="G130" s="58" t="s">
        <v>5039</v>
      </c>
      <c r="H130" s="58"/>
      <c r="I130" s="58" t="s">
        <v>485</v>
      </c>
      <c r="J130" s="58"/>
      <c r="K130" s="58" t="s">
        <v>485</v>
      </c>
      <c r="L130" s="58" t="s">
        <v>3394</v>
      </c>
      <c r="M130" s="58" t="s">
        <v>5040</v>
      </c>
      <c r="N130" s="61" t="s">
        <v>91</v>
      </c>
      <c r="O130" s="58" t="s">
        <v>5017</v>
      </c>
      <c r="P130" s="61" t="n">
        <v>58</v>
      </c>
    </row>
    <row r="131" customFormat="false" ht="15" hidden="false" customHeight="false" outlineLevel="0" collapsed="false">
      <c r="A131" s="22" t="s">
        <v>5041</v>
      </c>
      <c r="B131" s="17" t="s">
        <v>4332</v>
      </c>
      <c r="C131" s="17" t="s">
        <v>146</v>
      </c>
      <c r="D131" s="55" t="s">
        <v>5042</v>
      </c>
      <c r="E131" s="17" t="s">
        <v>221</v>
      </c>
      <c r="F131" s="56" t="s">
        <v>5043</v>
      </c>
      <c r="G131" s="17" t="s">
        <v>5044</v>
      </c>
      <c r="H131" s="17"/>
      <c r="I131" s="17" t="s">
        <v>485</v>
      </c>
      <c r="J131" s="17"/>
      <c r="K131" s="17" t="s">
        <v>485</v>
      </c>
      <c r="L131" s="17" t="s">
        <v>3394</v>
      </c>
      <c r="M131" s="17" t="s">
        <v>5045</v>
      </c>
      <c r="N131" s="15" t="s">
        <v>91</v>
      </c>
      <c r="O131" s="17" t="s">
        <v>5017</v>
      </c>
      <c r="P131" s="15" t="n">
        <v>59</v>
      </c>
    </row>
    <row r="132" customFormat="false" ht="15" hidden="false" customHeight="false" outlineLevel="0" collapsed="false">
      <c r="A132" s="57" t="s">
        <v>5046</v>
      </c>
      <c r="B132" s="58" t="s">
        <v>4332</v>
      </c>
      <c r="C132" s="58" t="s">
        <v>146</v>
      </c>
      <c r="D132" s="59" t="s">
        <v>5047</v>
      </c>
      <c r="E132" s="58" t="s">
        <v>221</v>
      </c>
      <c r="F132" s="60" t="s">
        <v>5048</v>
      </c>
      <c r="G132" s="58" t="s">
        <v>5049</v>
      </c>
      <c r="H132" s="58"/>
      <c r="I132" s="58" t="s">
        <v>5050</v>
      </c>
      <c r="J132" s="58"/>
      <c r="K132" s="58"/>
      <c r="L132" s="58" t="s">
        <v>5051</v>
      </c>
      <c r="M132" s="58" t="s">
        <v>5052</v>
      </c>
      <c r="N132" s="61" t="s">
        <v>91</v>
      </c>
      <c r="O132" s="58" t="s">
        <v>5017</v>
      </c>
      <c r="P132" s="61" t="n">
        <v>60</v>
      </c>
    </row>
    <row r="133" customFormat="false" ht="22.35" hidden="false" customHeight="false" outlineLevel="0" collapsed="false">
      <c r="A133" s="22" t="s">
        <v>5053</v>
      </c>
      <c r="B133" s="17" t="s">
        <v>4332</v>
      </c>
      <c r="C133" s="17" t="s">
        <v>146</v>
      </c>
      <c r="D133" s="55" t="s">
        <v>5054</v>
      </c>
      <c r="E133" s="17" t="s">
        <v>225</v>
      </c>
      <c r="F133" s="56" t="s">
        <v>5055</v>
      </c>
      <c r="G133" s="17" t="s">
        <v>5056</v>
      </c>
      <c r="H133" s="17" t="s">
        <v>5057</v>
      </c>
      <c r="I133" s="17" t="s">
        <v>5058</v>
      </c>
      <c r="J133" s="17"/>
      <c r="K133" s="17" t="s">
        <v>3390</v>
      </c>
      <c r="L133" s="17" t="s">
        <v>3386</v>
      </c>
      <c r="M133" s="17" t="s">
        <v>5059</v>
      </c>
      <c r="N133" s="15" t="s">
        <v>91</v>
      </c>
      <c r="O133" s="17" t="s">
        <v>5017</v>
      </c>
      <c r="P133" s="15" t="n">
        <v>64</v>
      </c>
    </row>
    <row r="134" customFormat="false" ht="22.35" hidden="false" customHeight="false" outlineLevel="0" collapsed="false">
      <c r="A134" s="57" t="s">
        <v>5060</v>
      </c>
      <c r="B134" s="58" t="s">
        <v>4332</v>
      </c>
      <c r="C134" s="58" t="s">
        <v>146</v>
      </c>
      <c r="D134" s="59" t="s">
        <v>5061</v>
      </c>
      <c r="E134" s="58" t="s">
        <v>227</v>
      </c>
      <c r="F134" s="60" t="s">
        <v>5062</v>
      </c>
      <c r="G134" s="58" t="s">
        <v>5063</v>
      </c>
      <c r="H134" s="58"/>
      <c r="I134" s="58" t="s">
        <v>5064</v>
      </c>
      <c r="J134" s="58"/>
      <c r="K134" s="58"/>
      <c r="L134" s="58" t="s">
        <v>5065</v>
      </c>
      <c r="M134" s="58"/>
      <c r="N134" s="61" t="s">
        <v>91</v>
      </c>
      <c r="O134" s="58" t="s">
        <v>5017</v>
      </c>
      <c r="P134" s="61" t="n">
        <v>67</v>
      </c>
    </row>
    <row r="135" customFormat="false" ht="15" hidden="false" customHeight="false" outlineLevel="0" collapsed="false">
      <c r="A135" s="22" t="s">
        <v>5066</v>
      </c>
      <c r="B135" s="17" t="s">
        <v>4332</v>
      </c>
      <c r="C135" s="17" t="s">
        <v>146</v>
      </c>
      <c r="D135" s="55" t="s">
        <v>5067</v>
      </c>
      <c r="E135" s="17" t="s">
        <v>227</v>
      </c>
      <c r="F135" s="56" t="s">
        <v>4561</v>
      </c>
      <c r="G135" s="17" t="s">
        <v>5068</v>
      </c>
      <c r="H135" s="17"/>
      <c r="I135" s="17" t="s">
        <v>3299</v>
      </c>
      <c r="J135" s="17"/>
      <c r="K135" s="17"/>
      <c r="L135" s="17" t="s">
        <v>5069</v>
      </c>
      <c r="M135" s="17"/>
      <c r="N135" s="15" t="s">
        <v>91</v>
      </c>
      <c r="O135" s="17" t="s">
        <v>5017</v>
      </c>
      <c r="P135" s="15" t="n">
        <v>68</v>
      </c>
    </row>
    <row r="136" customFormat="false" ht="15" hidden="false" customHeight="false" outlineLevel="0" collapsed="false">
      <c r="A136" s="57" t="s">
        <v>5070</v>
      </c>
      <c r="B136" s="58" t="s">
        <v>4332</v>
      </c>
      <c r="C136" s="58" t="s">
        <v>146</v>
      </c>
      <c r="D136" s="59" t="s">
        <v>5071</v>
      </c>
      <c r="E136" s="58" t="s">
        <v>227</v>
      </c>
      <c r="F136" s="60" t="s">
        <v>5072</v>
      </c>
      <c r="G136" s="58" t="s">
        <v>5073</v>
      </c>
      <c r="H136" s="58"/>
      <c r="I136" s="58" t="s">
        <v>3299</v>
      </c>
      <c r="J136" s="58"/>
      <c r="K136" s="58"/>
      <c r="L136" s="58" t="s">
        <v>5069</v>
      </c>
      <c r="M136" s="58"/>
      <c r="N136" s="61" t="s">
        <v>91</v>
      </c>
      <c r="O136" s="58" t="s">
        <v>5017</v>
      </c>
      <c r="P136" s="61" t="n">
        <v>69</v>
      </c>
    </row>
    <row r="137" customFormat="false" ht="32.8" hidden="false" customHeight="false" outlineLevel="0" collapsed="false">
      <c r="A137" s="22" t="s">
        <v>5074</v>
      </c>
      <c r="B137" s="17" t="s">
        <v>4332</v>
      </c>
      <c r="C137" s="17" t="s">
        <v>147</v>
      </c>
      <c r="D137" s="55" t="s">
        <v>5075</v>
      </c>
      <c r="E137" s="17" t="s">
        <v>224</v>
      </c>
      <c r="F137" s="56" t="s">
        <v>5076</v>
      </c>
      <c r="G137" s="17" t="s">
        <v>5077</v>
      </c>
      <c r="H137" s="17"/>
      <c r="I137" s="17"/>
      <c r="J137" s="17"/>
      <c r="K137" s="17" t="s">
        <v>2723</v>
      </c>
      <c r="L137" s="17" t="s">
        <v>5078</v>
      </c>
      <c r="M137" s="17"/>
      <c r="N137" s="15" t="s">
        <v>91</v>
      </c>
      <c r="O137" s="17" t="s">
        <v>5079</v>
      </c>
      <c r="P137" s="15" t="n">
        <v>60</v>
      </c>
    </row>
    <row r="138" customFormat="false" ht="32.8" hidden="false" customHeight="false" outlineLevel="0" collapsed="false">
      <c r="A138" s="57" t="s">
        <v>5080</v>
      </c>
      <c r="B138" s="58" t="s">
        <v>4332</v>
      </c>
      <c r="C138" s="58" t="s">
        <v>147</v>
      </c>
      <c r="D138" s="59" t="s">
        <v>5081</v>
      </c>
      <c r="E138" s="58" t="s">
        <v>235</v>
      </c>
      <c r="F138" s="60" t="s">
        <v>5082</v>
      </c>
      <c r="G138" s="58" t="s">
        <v>5083</v>
      </c>
      <c r="H138" s="58"/>
      <c r="I138" s="58"/>
      <c r="J138" s="58"/>
      <c r="K138" s="58"/>
      <c r="L138" s="58" t="s">
        <v>5084</v>
      </c>
      <c r="M138" s="58" t="s">
        <v>5085</v>
      </c>
      <c r="N138" s="61" t="s">
        <v>91</v>
      </c>
      <c r="O138" s="58" t="s">
        <v>5079</v>
      </c>
      <c r="P138" s="61" t="n">
        <v>88</v>
      </c>
    </row>
    <row r="139" customFormat="false" ht="15" hidden="false" customHeight="false" outlineLevel="0" collapsed="false">
      <c r="A139" s="22" t="s">
        <v>5086</v>
      </c>
      <c r="B139" s="17" t="s">
        <v>4332</v>
      </c>
      <c r="C139" s="17" t="s">
        <v>147</v>
      </c>
      <c r="D139" s="55" t="s">
        <v>5087</v>
      </c>
      <c r="E139" s="17" t="s">
        <v>221</v>
      </c>
      <c r="F139" s="56" t="s">
        <v>5088</v>
      </c>
      <c r="G139" s="17" t="s">
        <v>5089</v>
      </c>
      <c r="H139" s="17"/>
      <c r="I139" s="17" t="s">
        <v>5090</v>
      </c>
      <c r="J139" s="17"/>
      <c r="K139" s="17"/>
      <c r="L139" s="17" t="s">
        <v>3127</v>
      </c>
      <c r="M139" s="17" t="s">
        <v>5091</v>
      </c>
      <c r="N139" s="15" t="s">
        <v>91</v>
      </c>
      <c r="O139" s="17" t="s">
        <v>5079</v>
      </c>
      <c r="P139" s="15" t="n">
        <v>91</v>
      </c>
    </row>
    <row r="140" customFormat="false" ht="22.35" hidden="false" customHeight="false" outlineLevel="0" collapsed="false">
      <c r="A140" s="57" t="s">
        <v>5092</v>
      </c>
      <c r="B140" s="58" t="s">
        <v>4332</v>
      </c>
      <c r="C140" s="58" t="s">
        <v>147</v>
      </c>
      <c r="D140" s="59" t="s">
        <v>5093</v>
      </c>
      <c r="E140" s="58" t="s">
        <v>221</v>
      </c>
      <c r="F140" s="60" t="s">
        <v>5094</v>
      </c>
      <c r="G140" s="58" t="s">
        <v>5095</v>
      </c>
      <c r="H140" s="58" t="s">
        <v>563</v>
      </c>
      <c r="I140" s="58" t="s">
        <v>5096</v>
      </c>
      <c r="J140" s="58"/>
      <c r="K140" s="58"/>
      <c r="L140" s="58" t="s">
        <v>5097</v>
      </c>
      <c r="M140" s="58" t="s">
        <v>5098</v>
      </c>
      <c r="N140" s="61" t="s">
        <v>91</v>
      </c>
      <c r="O140" s="58" t="s">
        <v>5079</v>
      </c>
      <c r="P140" s="61" t="n">
        <v>92</v>
      </c>
    </row>
    <row r="141" customFormat="false" ht="15" hidden="false" customHeight="false" outlineLevel="0" collapsed="false">
      <c r="A141" s="22" t="s">
        <v>5099</v>
      </c>
      <c r="B141" s="17" t="s">
        <v>4332</v>
      </c>
      <c r="C141" s="17" t="s">
        <v>147</v>
      </c>
      <c r="D141" s="55" t="s">
        <v>5100</v>
      </c>
      <c r="E141" s="17" t="s">
        <v>221</v>
      </c>
      <c r="F141" s="56" t="s">
        <v>5101</v>
      </c>
      <c r="G141" s="17" t="s">
        <v>5102</v>
      </c>
      <c r="H141" s="17"/>
      <c r="I141" s="17" t="s">
        <v>3092</v>
      </c>
      <c r="J141" s="17"/>
      <c r="K141" s="17"/>
      <c r="L141" s="17"/>
      <c r="M141" s="17" t="s">
        <v>5103</v>
      </c>
      <c r="N141" s="15" t="s">
        <v>91</v>
      </c>
      <c r="O141" s="17" t="s">
        <v>5079</v>
      </c>
      <c r="P141" s="15" t="n">
        <v>93</v>
      </c>
    </row>
    <row r="142" customFormat="false" ht="22.35" hidden="false" customHeight="false" outlineLevel="0" collapsed="false">
      <c r="A142" s="57" t="s">
        <v>5104</v>
      </c>
      <c r="B142" s="58" t="s">
        <v>4332</v>
      </c>
      <c r="C142" s="58" t="s">
        <v>147</v>
      </c>
      <c r="D142" s="59" t="s">
        <v>5105</v>
      </c>
      <c r="E142" s="58" t="s">
        <v>221</v>
      </c>
      <c r="F142" s="60" t="s">
        <v>5106</v>
      </c>
      <c r="G142" s="58" t="s">
        <v>5107</v>
      </c>
      <c r="H142" s="58" t="s">
        <v>4442</v>
      </c>
      <c r="I142" s="58" t="s">
        <v>5108</v>
      </c>
      <c r="J142" s="58"/>
      <c r="K142" s="58"/>
      <c r="L142" s="58"/>
      <c r="M142" s="58" t="s">
        <v>5109</v>
      </c>
      <c r="N142" s="61" t="s">
        <v>91</v>
      </c>
      <c r="O142" s="58" t="s">
        <v>5079</v>
      </c>
      <c r="P142" s="61" t="n">
        <v>94</v>
      </c>
    </row>
    <row r="143" customFormat="false" ht="43.25" hidden="false" customHeight="false" outlineLevel="0" collapsed="false">
      <c r="A143" s="22" t="s">
        <v>5110</v>
      </c>
      <c r="B143" s="17" t="s">
        <v>4332</v>
      </c>
      <c r="C143" s="17" t="s">
        <v>148</v>
      </c>
      <c r="D143" s="55" t="s">
        <v>5111</v>
      </c>
      <c r="E143" s="17" t="s">
        <v>235</v>
      </c>
      <c r="F143" s="56" t="s">
        <v>5112</v>
      </c>
      <c r="G143" s="17" t="s">
        <v>5113</v>
      </c>
      <c r="H143" s="17"/>
      <c r="I143" s="17"/>
      <c r="J143" s="17"/>
      <c r="K143" s="17"/>
      <c r="L143" s="17" t="s">
        <v>5114</v>
      </c>
      <c r="M143" s="17" t="s">
        <v>5115</v>
      </c>
      <c r="N143" s="15" t="s">
        <v>91</v>
      </c>
      <c r="O143" s="17" t="s">
        <v>4718</v>
      </c>
      <c r="P143" s="15" t="n">
        <v>18</v>
      </c>
    </row>
    <row r="144" customFormat="false" ht="15" hidden="false" customHeight="false" outlineLevel="0" collapsed="false">
      <c r="A144" s="57" t="s">
        <v>5116</v>
      </c>
      <c r="B144" s="58" t="s">
        <v>4332</v>
      </c>
      <c r="C144" s="58" t="s">
        <v>148</v>
      </c>
      <c r="D144" s="59" t="s">
        <v>5117</v>
      </c>
      <c r="E144" s="58" t="s">
        <v>221</v>
      </c>
      <c r="F144" s="60" t="s">
        <v>5118</v>
      </c>
      <c r="G144" s="58" t="s">
        <v>5119</v>
      </c>
      <c r="H144" s="58"/>
      <c r="I144" s="58" t="s">
        <v>3069</v>
      </c>
      <c r="J144" s="58"/>
      <c r="K144" s="58"/>
      <c r="L144" s="58" t="s">
        <v>5120</v>
      </c>
      <c r="M144" s="58"/>
      <c r="N144" s="61" t="s">
        <v>91</v>
      </c>
      <c r="O144" s="58" t="s">
        <v>4718</v>
      </c>
      <c r="P144" s="61" t="n">
        <v>25</v>
      </c>
    </row>
    <row r="145" customFormat="false" ht="22.35" hidden="false" customHeight="false" outlineLevel="0" collapsed="false">
      <c r="A145" s="22" t="s">
        <v>5121</v>
      </c>
      <c r="B145" s="17" t="s">
        <v>4332</v>
      </c>
      <c r="C145" s="17" t="s">
        <v>148</v>
      </c>
      <c r="D145" s="55" t="s">
        <v>5122</v>
      </c>
      <c r="E145" s="17" t="s">
        <v>221</v>
      </c>
      <c r="F145" s="56" t="s">
        <v>5123</v>
      </c>
      <c r="G145" s="17" t="s">
        <v>5124</v>
      </c>
      <c r="H145" s="17"/>
      <c r="I145" s="17" t="s">
        <v>3235</v>
      </c>
      <c r="J145" s="17"/>
      <c r="K145" s="17"/>
      <c r="L145" s="17"/>
      <c r="M145" s="17" t="s">
        <v>5125</v>
      </c>
      <c r="N145" s="15" t="s">
        <v>91</v>
      </c>
      <c r="O145" s="17" t="s">
        <v>4718</v>
      </c>
      <c r="P145" s="15" t="n">
        <v>27</v>
      </c>
    </row>
    <row r="146" customFormat="false" ht="22.35" hidden="false" customHeight="false" outlineLevel="0" collapsed="false">
      <c r="A146" s="57" t="s">
        <v>5126</v>
      </c>
      <c r="B146" s="58" t="s">
        <v>4332</v>
      </c>
      <c r="C146" s="58" t="s">
        <v>148</v>
      </c>
      <c r="D146" s="59" t="s">
        <v>5127</v>
      </c>
      <c r="E146" s="58" t="s">
        <v>221</v>
      </c>
      <c r="F146" s="60" t="s">
        <v>4825</v>
      </c>
      <c r="G146" s="58" t="s">
        <v>5128</v>
      </c>
      <c r="H146" s="58" t="s">
        <v>5129</v>
      </c>
      <c r="I146" s="58"/>
      <c r="J146" s="58"/>
      <c r="K146" s="58"/>
      <c r="L146" s="58" t="s">
        <v>3803</v>
      </c>
      <c r="M146" s="58" t="s">
        <v>5130</v>
      </c>
      <c r="N146" s="61" t="s">
        <v>91</v>
      </c>
      <c r="O146" s="58" t="s">
        <v>4718</v>
      </c>
      <c r="P146" s="61" t="n">
        <v>29</v>
      </c>
    </row>
    <row r="147" customFormat="false" ht="32.8" hidden="false" customHeight="false" outlineLevel="0" collapsed="false">
      <c r="A147" s="22" t="s">
        <v>5131</v>
      </c>
      <c r="B147" s="17" t="s">
        <v>4332</v>
      </c>
      <c r="C147" s="17" t="s">
        <v>148</v>
      </c>
      <c r="D147" s="55" t="s">
        <v>5132</v>
      </c>
      <c r="E147" s="17" t="s">
        <v>225</v>
      </c>
      <c r="F147" s="56" t="s">
        <v>5133</v>
      </c>
      <c r="G147" s="17" t="s">
        <v>5134</v>
      </c>
      <c r="H147" s="17"/>
      <c r="I147" s="17" t="s">
        <v>4723</v>
      </c>
      <c r="J147" s="17"/>
      <c r="K147" s="17"/>
      <c r="L147" s="17" t="s">
        <v>4859</v>
      </c>
      <c r="M147" s="17" t="s">
        <v>5135</v>
      </c>
      <c r="N147" s="15" t="s">
        <v>91</v>
      </c>
      <c r="O147" s="17" t="s">
        <v>4718</v>
      </c>
      <c r="P147" s="15" t="n">
        <v>32</v>
      </c>
    </row>
    <row r="148" customFormat="false" ht="32.8" hidden="false" customHeight="false" outlineLevel="0" collapsed="false">
      <c r="A148" s="57" t="s">
        <v>5136</v>
      </c>
      <c r="B148" s="58" t="s">
        <v>4332</v>
      </c>
      <c r="C148" s="58" t="s">
        <v>148</v>
      </c>
      <c r="D148" s="59" t="s">
        <v>5137</v>
      </c>
      <c r="E148" s="58" t="s">
        <v>225</v>
      </c>
      <c r="F148" s="60" t="s">
        <v>5138</v>
      </c>
      <c r="G148" s="58" t="s">
        <v>5139</v>
      </c>
      <c r="H148" s="58"/>
      <c r="I148" s="58" t="s">
        <v>4730</v>
      </c>
      <c r="J148" s="58"/>
      <c r="K148" s="58"/>
      <c r="L148" s="58" t="s">
        <v>5140</v>
      </c>
      <c r="M148" s="58" t="s">
        <v>5135</v>
      </c>
      <c r="N148" s="61" t="s">
        <v>91</v>
      </c>
      <c r="O148" s="58" t="s">
        <v>4718</v>
      </c>
      <c r="P148" s="61" t="n">
        <v>33</v>
      </c>
    </row>
    <row r="149" customFormat="false" ht="32.8" hidden="false" customHeight="false" outlineLevel="0" collapsed="false">
      <c r="A149" s="22" t="s">
        <v>5141</v>
      </c>
      <c r="B149" s="17" t="s">
        <v>4332</v>
      </c>
      <c r="C149" s="17" t="s">
        <v>148</v>
      </c>
      <c r="D149" s="55" t="s">
        <v>5142</v>
      </c>
      <c r="E149" s="17" t="s">
        <v>225</v>
      </c>
      <c r="F149" s="56" t="s">
        <v>5143</v>
      </c>
      <c r="G149" s="17" t="s">
        <v>5144</v>
      </c>
      <c r="H149" s="17" t="s">
        <v>5145</v>
      </c>
      <c r="I149" s="17" t="s">
        <v>4730</v>
      </c>
      <c r="J149" s="17"/>
      <c r="K149" s="17"/>
      <c r="L149" s="17" t="s">
        <v>5146</v>
      </c>
      <c r="M149" s="17" t="s">
        <v>5135</v>
      </c>
      <c r="N149" s="15" t="s">
        <v>91</v>
      </c>
      <c r="O149" s="17" t="s">
        <v>4718</v>
      </c>
      <c r="P149" s="15" t="n">
        <v>34</v>
      </c>
    </row>
    <row r="150" customFormat="false" ht="32.8" hidden="false" customHeight="false" outlineLevel="0" collapsed="false">
      <c r="A150" s="57" t="s">
        <v>5147</v>
      </c>
      <c r="B150" s="58" t="s">
        <v>4332</v>
      </c>
      <c r="C150" s="58" t="s">
        <v>148</v>
      </c>
      <c r="D150" s="59" t="s">
        <v>5148</v>
      </c>
      <c r="E150" s="58" t="s">
        <v>225</v>
      </c>
      <c r="F150" s="60" t="s">
        <v>5149</v>
      </c>
      <c r="G150" s="58" t="s">
        <v>5150</v>
      </c>
      <c r="H150" s="58" t="s">
        <v>3187</v>
      </c>
      <c r="I150" s="58"/>
      <c r="J150" s="58"/>
      <c r="K150" s="58"/>
      <c r="L150" s="58" t="s">
        <v>5151</v>
      </c>
      <c r="M150" s="58" t="s">
        <v>5135</v>
      </c>
      <c r="N150" s="61" t="s">
        <v>91</v>
      </c>
      <c r="O150" s="58" t="s">
        <v>4718</v>
      </c>
      <c r="P150" s="61" t="n">
        <v>35</v>
      </c>
    </row>
    <row r="151" customFormat="false" ht="32.8" hidden="false" customHeight="false" outlineLevel="0" collapsed="false">
      <c r="A151" s="22" t="s">
        <v>5152</v>
      </c>
      <c r="B151" s="17" t="s">
        <v>4332</v>
      </c>
      <c r="C151" s="17" t="s">
        <v>148</v>
      </c>
      <c r="D151" s="55" t="s">
        <v>5153</v>
      </c>
      <c r="E151" s="17" t="s">
        <v>225</v>
      </c>
      <c r="F151" s="56" t="s">
        <v>5154</v>
      </c>
      <c r="G151" s="17" t="s">
        <v>5155</v>
      </c>
      <c r="H151" s="17" t="s">
        <v>4930</v>
      </c>
      <c r="I151" s="17"/>
      <c r="J151" s="17"/>
      <c r="K151" s="17"/>
      <c r="L151" s="17" t="s">
        <v>5156</v>
      </c>
      <c r="M151" s="17" t="s">
        <v>5135</v>
      </c>
      <c r="N151" s="15" t="s">
        <v>91</v>
      </c>
      <c r="O151" s="17" t="s">
        <v>4718</v>
      </c>
      <c r="P151" s="15" t="n">
        <v>36</v>
      </c>
    </row>
    <row r="152" customFormat="false" ht="32.8" hidden="false" customHeight="false" outlineLevel="0" collapsed="false">
      <c r="A152" s="57" t="s">
        <v>5157</v>
      </c>
      <c r="B152" s="58" t="s">
        <v>4332</v>
      </c>
      <c r="C152" s="58" t="s">
        <v>148</v>
      </c>
      <c r="D152" s="59" t="s">
        <v>5158</v>
      </c>
      <c r="E152" s="58" t="s">
        <v>225</v>
      </c>
      <c r="F152" s="60" t="s">
        <v>5159</v>
      </c>
      <c r="G152" s="58" t="s">
        <v>5160</v>
      </c>
      <c r="H152" s="58" t="s">
        <v>5161</v>
      </c>
      <c r="I152" s="58"/>
      <c r="J152" s="58"/>
      <c r="K152" s="58"/>
      <c r="L152" s="58" t="s">
        <v>5162</v>
      </c>
      <c r="M152" s="58" t="s">
        <v>5135</v>
      </c>
      <c r="N152" s="61" t="s">
        <v>91</v>
      </c>
      <c r="O152" s="58" t="s">
        <v>4718</v>
      </c>
      <c r="P152" s="61" t="n">
        <v>39</v>
      </c>
    </row>
    <row r="153" customFormat="false" ht="32.8" hidden="false" customHeight="false" outlineLevel="0" collapsed="false">
      <c r="A153" s="22" t="s">
        <v>5163</v>
      </c>
      <c r="B153" s="17" t="s">
        <v>4332</v>
      </c>
      <c r="C153" s="17" t="s">
        <v>148</v>
      </c>
      <c r="D153" s="55" t="s">
        <v>5164</v>
      </c>
      <c r="E153" s="17" t="s">
        <v>227</v>
      </c>
      <c r="F153" s="56" t="s">
        <v>5165</v>
      </c>
      <c r="G153" s="17" t="s">
        <v>5166</v>
      </c>
      <c r="H153" s="17"/>
      <c r="I153" s="17" t="s">
        <v>5167</v>
      </c>
      <c r="J153" s="17"/>
      <c r="K153" s="17"/>
      <c r="L153" s="17" t="s">
        <v>5168</v>
      </c>
      <c r="M153" s="17" t="s">
        <v>5169</v>
      </c>
      <c r="N153" s="15" t="s">
        <v>91</v>
      </c>
      <c r="O153" s="17" t="s">
        <v>4718</v>
      </c>
      <c r="P153" s="15" t="n">
        <v>42</v>
      </c>
    </row>
    <row r="154" customFormat="false" ht="15" hidden="false" customHeight="false" outlineLevel="0" collapsed="false">
      <c r="A154" s="57" t="s">
        <v>5170</v>
      </c>
      <c r="B154" s="58" t="s">
        <v>4332</v>
      </c>
      <c r="C154" s="58" t="s">
        <v>148</v>
      </c>
      <c r="D154" s="59" t="s">
        <v>5171</v>
      </c>
      <c r="E154" s="58" t="s">
        <v>227</v>
      </c>
      <c r="F154" s="60" t="s">
        <v>5172</v>
      </c>
      <c r="G154" s="58" t="s">
        <v>5173</v>
      </c>
      <c r="H154" s="58"/>
      <c r="I154" s="58" t="s">
        <v>5174</v>
      </c>
      <c r="J154" s="58"/>
      <c r="K154" s="58"/>
      <c r="L154" s="58" t="s">
        <v>5175</v>
      </c>
      <c r="M154" s="58"/>
      <c r="N154" s="61" t="s">
        <v>91</v>
      </c>
      <c r="O154" s="58" t="s">
        <v>4718</v>
      </c>
      <c r="P154" s="61" t="n">
        <v>43</v>
      </c>
    </row>
    <row r="155" customFormat="false" ht="15" hidden="false" customHeight="false" outlineLevel="0" collapsed="false">
      <c r="A155" s="22" t="s">
        <v>5176</v>
      </c>
      <c r="B155" s="17" t="s">
        <v>4332</v>
      </c>
      <c r="C155" s="17" t="s">
        <v>148</v>
      </c>
      <c r="D155" s="55" t="s">
        <v>5177</v>
      </c>
      <c r="E155" s="17" t="s">
        <v>227</v>
      </c>
      <c r="F155" s="56" t="s">
        <v>5178</v>
      </c>
      <c r="G155" s="17" t="s">
        <v>5179</v>
      </c>
      <c r="H155" s="17"/>
      <c r="I155" s="17" t="s">
        <v>5180</v>
      </c>
      <c r="J155" s="17"/>
      <c r="K155" s="17"/>
      <c r="L155" s="17" t="s">
        <v>3702</v>
      </c>
      <c r="M155" s="17"/>
      <c r="N155" s="15" t="s">
        <v>91</v>
      </c>
      <c r="O155" s="17" t="s">
        <v>4718</v>
      </c>
      <c r="P155" s="15" t="n">
        <v>44</v>
      </c>
    </row>
    <row r="156" customFormat="false" ht="15" hidden="false" customHeight="false" outlineLevel="0" collapsed="false">
      <c r="A156" s="57" t="s">
        <v>5181</v>
      </c>
      <c r="B156" s="58" t="s">
        <v>4332</v>
      </c>
      <c r="C156" s="58" t="s">
        <v>148</v>
      </c>
      <c r="D156" s="59" t="s">
        <v>5182</v>
      </c>
      <c r="E156" s="58" t="s">
        <v>227</v>
      </c>
      <c r="F156" s="60" t="s">
        <v>5183</v>
      </c>
      <c r="G156" s="58" t="s">
        <v>5184</v>
      </c>
      <c r="H156" s="58"/>
      <c r="I156" s="58" t="s">
        <v>5174</v>
      </c>
      <c r="J156" s="58"/>
      <c r="K156" s="58"/>
      <c r="L156" s="58" t="s">
        <v>3709</v>
      </c>
      <c r="M156" s="58"/>
      <c r="N156" s="61" t="s">
        <v>91</v>
      </c>
      <c r="O156" s="58" t="s">
        <v>4718</v>
      </c>
      <c r="P156" s="61" t="n">
        <v>45</v>
      </c>
    </row>
    <row r="157" customFormat="false" ht="22.35" hidden="false" customHeight="false" outlineLevel="0" collapsed="false">
      <c r="A157" s="22" t="s">
        <v>5185</v>
      </c>
      <c r="B157" s="17" t="s">
        <v>4332</v>
      </c>
      <c r="C157" s="17" t="s">
        <v>148</v>
      </c>
      <c r="D157" s="55" t="s">
        <v>4853</v>
      </c>
      <c r="E157" s="17" t="s">
        <v>227</v>
      </c>
      <c r="F157" s="56" t="s">
        <v>5186</v>
      </c>
      <c r="G157" s="17" t="s">
        <v>5187</v>
      </c>
      <c r="H157" s="17"/>
      <c r="I157" s="17" t="s">
        <v>5188</v>
      </c>
      <c r="J157" s="17"/>
      <c r="K157" s="17"/>
      <c r="L157" s="17" t="s">
        <v>5189</v>
      </c>
      <c r="M157" s="17" t="s">
        <v>5190</v>
      </c>
      <c r="N157" s="15" t="s">
        <v>91</v>
      </c>
      <c r="O157" s="17" t="s">
        <v>4718</v>
      </c>
      <c r="P157" s="15" t="n">
        <v>47</v>
      </c>
    </row>
    <row r="158" customFormat="false" ht="22.35" hidden="false" customHeight="false" outlineLevel="0" collapsed="false">
      <c r="A158" s="57" t="s">
        <v>5191</v>
      </c>
      <c r="B158" s="58" t="s">
        <v>4332</v>
      </c>
      <c r="C158" s="58" t="s">
        <v>148</v>
      </c>
      <c r="D158" s="59" t="s">
        <v>5192</v>
      </c>
      <c r="E158" s="58" t="s">
        <v>221</v>
      </c>
      <c r="F158" s="60" t="s">
        <v>5193</v>
      </c>
      <c r="G158" s="58" t="s">
        <v>5194</v>
      </c>
      <c r="H158" s="58" t="s">
        <v>5195</v>
      </c>
      <c r="I158" s="58" t="s">
        <v>3235</v>
      </c>
      <c r="J158" s="58"/>
      <c r="K158" s="58"/>
      <c r="L158" s="58" t="s">
        <v>5196</v>
      </c>
      <c r="M158" s="58" t="s">
        <v>5197</v>
      </c>
      <c r="N158" s="61" t="s">
        <v>91</v>
      </c>
      <c r="O158" s="58" t="s">
        <v>4718</v>
      </c>
      <c r="P158" s="61" t="n">
        <v>62</v>
      </c>
    </row>
    <row r="159" customFormat="false" ht="22.35" hidden="false" customHeight="false" outlineLevel="0" collapsed="false">
      <c r="A159" s="22" t="s">
        <v>5198</v>
      </c>
      <c r="B159" s="17" t="s">
        <v>4332</v>
      </c>
      <c r="C159" s="17" t="s">
        <v>148</v>
      </c>
      <c r="D159" s="55" t="s">
        <v>5199</v>
      </c>
      <c r="E159" s="17" t="s">
        <v>221</v>
      </c>
      <c r="F159" s="56" t="s">
        <v>5200</v>
      </c>
      <c r="G159" s="17" t="s">
        <v>5201</v>
      </c>
      <c r="H159" s="17" t="s">
        <v>4844</v>
      </c>
      <c r="I159" s="17" t="s">
        <v>5202</v>
      </c>
      <c r="J159" s="17"/>
      <c r="K159" s="17"/>
      <c r="L159" s="17" t="s">
        <v>5203</v>
      </c>
      <c r="M159" s="17" t="s">
        <v>5204</v>
      </c>
      <c r="N159" s="15" t="s">
        <v>91</v>
      </c>
      <c r="O159" s="17" t="s">
        <v>4718</v>
      </c>
      <c r="P159" s="15" t="n">
        <v>63</v>
      </c>
    </row>
    <row r="160" customFormat="false" ht="43.25" hidden="false" customHeight="false" outlineLevel="0" collapsed="false">
      <c r="A160" s="57" t="s">
        <v>5205</v>
      </c>
      <c r="B160" s="58" t="s">
        <v>4332</v>
      </c>
      <c r="C160" s="58" t="s">
        <v>148</v>
      </c>
      <c r="D160" s="59" t="s">
        <v>5206</v>
      </c>
      <c r="E160" s="58" t="s">
        <v>221</v>
      </c>
      <c r="F160" s="60" t="s">
        <v>5207</v>
      </c>
      <c r="G160" s="58" t="s">
        <v>5208</v>
      </c>
      <c r="H160" s="58" t="s">
        <v>5209</v>
      </c>
      <c r="I160" s="58" t="s">
        <v>4931</v>
      </c>
      <c r="J160" s="58" t="s">
        <v>5210</v>
      </c>
      <c r="K160" s="58" t="s">
        <v>5211</v>
      </c>
      <c r="L160" s="58" t="s">
        <v>5203</v>
      </c>
      <c r="M160" s="58" t="s">
        <v>5212</v>
      </c>
      <c r="N160" s="61" t="s">
        <v>91</v>
      </c>
      <c r="O160" s="58" t="s">
        <v>4718</v>
      </c>
      <c r="P160" s="61" t="n">
        <v>65</v>
      </c>
    </row>
    <row r="161" customFormat="false" ht="53.7" hidden="false" customHeight="false" outlineLevel="0" collapsed="false">
      <c r="A161" s="22" t="s">
        <v>5213</v>
      </c>
      <c r="B161" s="17" t="s">
        <v>4332</v>
      </c>
      <c r="C161" s="17" t="s">
        <v>149</v>
      </c>
      <c r="D161" s="55" t="s">
        <v>5214</v>
      </c>
      <c r="E161" s="17" t="s">
        <v>235</v>
      </c>
      <c r="F161" s="56" t="s">
        <v>5215</v>
      </c>
      <c r="G161" s="17" t="s">
        <v>5216</v>
      </c>
      <c r="H161" s="17"/>
      <c r="I161" s="17"/>
      <c r="J161" s="17"/>
      <c r="K161" s="17"/>
      <c r="L161" s="17" t="s">
        <v>5217</v>
      </c>
      <c r="M161" s="17" t="s">
        <v>5218</v>
      </c>
      <c r="N161" s="15" t="s">
        <v>91</v>
      </c>
      <c r="O161" s="17" t="s">
        <v>1064</v>
      </c>
      <c r="P161" s="15" t="n">
        <v>72</v>
      </c>
    </row>
    <row r="162" customFormat="false" ht="22.35" hidden="false" customHeight="false" outlineLevel="0" collapsed="false">
      <c r="A162" s="57" t="s">
        <v>5219</v>
      </c>
      <c r="B162" s="58" t="s">
        <v>4332</v>
      </c>
      <c r="C162" s="58" t="s">
        <v>149</v>
      </c>
      <c r="D162" s="59" t="s">
        <v>5220</v>
      </c>
      <c r="E162" s="58" t="s">
        <v>243</v>
      </c>
      <c r="F162" s="60" t="s">
        <v>5221</v>
      </c>
      <c r="G162" s="58" t="s">
        <v>5222</v>
      </c>
      <c r="H162" s="58"/>
      <c r="I162" s="58"/>
      <c r="J162" s="58"/>
      <c r="K162" s="58"/>
      <c r="L162" s="58" t="s">
        <v>5223</v>
      </c>
      <c r="M162" s="58" t="s">
        <v>5224</v>
      </c>
      <c r="N162" s="61" t="s">
        <v>91</v>
      </c>
      <c r="O162" s="58" t="s">
        <v>1064</v>
      </c>
      <c r="P162" s="61" t="n">
        <v>78</v>
      </c>
    </row>
    <row r="163" customFormat="false" ht="43.25" hidden="false" customHeight="false" outlineLevel="0" collapsed="false">
      <c r="A163" s="22" t="s">
        <v>5225</v>
      </c>
      <c r="B163" s="17" t="s">
        <v>4332</v>
      </c>
      <c r="C163" s="17" t="s">
        <v>149</v>
      </c>
      <c r="D163" s="55" t="s">
        <v>5226</v>
      </c>
      <c r="E163" s="17" t="s">
        <v>224</v>
      </c>
      <c r="F163" s="56" t="s">
        <v>2861</v>
      </c>
      <c r="G163" s="17" t="s">
        <v>5227</v>
      </c>
      <c r="H163" s="17"/>
      <c r="I163" s="17"/>
      <c r="J163" s="17"/>
      <c r="K163" s="17" t="s">
        <v>5228</v>
      </c>
      <c r="L163" s="17" t="s">
        <v>5229</v>
      </c>
      <c r="M163" s="17" t="s">
        <v>4337</v>
      </c>
      <c r="N163" s="15" t="s">
        <v>91</v>
      </c>
      <c r="O163" s="17" t="s">
        <v>1064</v>
      </c>
      <c r="P163" s="15" t="n">
        <v>81</v>
      </c>
    </row>
    <row r="164" customFormat="false" ht="22.35" hidden="false" customHeight="false" outlineLevel="0" collapsed="false">
      <c r="A164" s="57" t="s">
        <v>5230</v>
      </c>
      <c r="B164" s="58" t="s">
        <v>4332</v>
      </c>
      <c r="C164" s="58" t="s">
        <v>149</v>
      </c>
      <c r="D164" s="59" t="s">
        <v>5231</v>
      </c>
      <c r="E164" s="58" t="s">
        <v>221</v>
      </c>
      <c r="F164" s="60" t="s">
        <v>5232</v>
      </c>
      <c r="G164" s="58" t="s">
        <v>5233</v>
      </c>
      <c r="H164" s="58"/>
      <c r="I164" s="58" t="s">
        <v>3235</v>
      </c>
      <c r="J164" s="58"/>
      <c r="K164" s="58"/>
      <c r="L164" s="58"/>
      <c r="M164" s="58" t="s">
        <v>5234</v>
      </c>
      <c r="N164" s="61" t="s">
        <v>91</v>
      </c>
      <c r="O164" s="58" t="s">
        <v>1064</v>
      </c>
      <c r="P164" s="61" t="n">
        <v>99</v>
      </c>
    </row>
    <row r="165" customFormat="false" ht="22.35" hidden="false" customHeight="false" outlineLevel="0" collapsed="false">
      <c r="A165" s="22" t="s">
        <v>5235</v>
      </c>
      <c r="B165" s="17" t="s">
        <v>4332</v>
      </c>
      <c r="C165" s="17" t="s">
        <v>149</v>
      </c>
      <c r="D165" s="55" t="s">
        <v>5236</v>
      </c>
      <c r="E165" s="17" t="s">
        <v>221</v>
      </c>
      <c r="F165" s="56" t="s">
        <v>1059</v>
      </c>
      <c r="G165" s="17" t="s">
        <v>5237</v>
      </c>
      <c r="H165" s="17"/>
      <c r="I165" s="17" t="s">
        <v>4515</v>
      </c>
      <c r="J165" s="17" t="s">
        <v>1493</v>
      </c>
      <c r="K165" s="17"/>
      <c r="L165" s="17"/>
      <c r="M165" s="17"/>
      <c r="N165" s="15" t="s">
        <v>91</v>
      </c>
      <c r="O165" s="17" t="s">
        <v>1064</v>
      </c>
      <c r="P165" s="15" t="n">
        <v>103</v>
      </c>
    </row>
    <row r="166" customFormat="false" ht="22.35" hidden="false" customHeight="false" outlineLevel="0" collapsed="false">
      <c r="A166" s="57" t="s">
        <v>5238</v>
      </c>
      <c r="B166" s="58" t="s">
        <v>4332</v>
      </c>
      <c r="C166" s="58" t="s">
        <v>149</v>
      </c>
      <c r="D166" s="59" t="s">
        <v>5239</v>
      </c>
      <c r="E166" s="58" t="s">
        <v>221</v>
      </c>
      <c r="F166" s="60" t="s">
        <v>5240</v>
      </c>
      <c r="G166" s="58" t="s">
        <v>5241</v>
      </c>
      <c r="H166" s="58" t="s">
        <v>5242</v>
      </c>
      <c r="I166" s="58" t="s">
        <v>688</v>
      </c>
      <c r="J166" s="58" t="s">
        <v>5243</v>
      </c>
      <c r="K166" s="58"/>
      <c r="L166" s="58" t="s">
        <v>5244</v>
      </c>
      <c r="M166" s="58" t="s">
        <v>5245</v>
      </c>
      <c r="N166" s="61" t="s">
        <v>91</v>
      </c>
      <c r="O166" s="58" t="s">
        <v>1064</v>
      </c>
      <c r="P166" s="61" t="n">
        <v>107</v>
      </c>
    </row>
    <row r="167" customFormat="false" ht="22.35" hidden="false" customHeight="false" outlineLevel="0" collapsed="false">
      <c r="A167" s="22" t="s">
        <v>5246</v>
      </c>
      <c r="B167" s="17" t="s">
        <v>4332</v>
      </c>
      <c r="C167" s="17" t="s">
        <v>149</v>
      </c>
      <c r="D167" s="55" t="s">
        <v>2906</v>
      </c>
      <c r="E167" s="17" t="s">
        <v>221</v>
      </c>
      <c r="F167" s="56" t="s">
        <v>5247</v>
      </c>
      <c r="G167" s="17" t="s">
        <v>5248</v>
      </c>
      <c r="H167" s="17" t="s">
        <v>3187</v>
      </c>
      <c r="I167" s="17" t="s">
        <v>485</v>
      </c>
      <c r="J167" s="17" t="s">
        <v>5249</v>
      </c>
      <c r="K167" s="17" t="s">
        <v>485</v>
      </c>
      <c r="L167" s="17" t="s">
        <v>5250</v>
      </c>
      <c r="M167" s="17" t="s">
        <v>5251</v>
      </c>
      <c r="N167" s="15" t="s">
        <v>91</v>
      </c>
      <c r="O167" s="17" t="s">
        <v>1064</v>
      </c>
      <c r="P167" s="15" t="n">
        <v>110</v>
      </c>
    </row>
    <row r="168" customFormat="false" ht="22.35" hidden="false" customHeight="false" outlineLevel="0" collapsed="false">
      <c r="A168" s="57" t="s">
        <v>5252</v>
      </c>
      <c r="B168" s="58" t="s">
        <v>4332</v>
      </c>
      <c r="C168" s="58" t="s">
        <v>149</v>
      </c>
      <c r="D168" s="59" t="s">
        <v>5253</v>
      </c>
      <c r="E168" s="58" t="s">
        <v>221</v>
      </c>
      <c r="F168" s="60" t="s">
        <v>5254</v>
      </c>
      <c r="G168" s="58" t="s">
        <v>5255</v>
      </c>
      <c r="H168" s="58" t="s">
        <v>5256</v>
      </c>
      <c r="I168" s="58" t="s">
        <v>5257</v>
      </c>
      <c r="J168" s="58"/>
      <c r="K168" s="58"/>
      <c r="L168" s="58" t="s">
        <v>5258</v>
      </c>
      <c r="M168" s="58" t="s">
        <v>5259</v>
      </c>
      <c r="N168" s="61" t="s">
        <v>91</v>
      </c>
      <c r="O168" s="58" t="s">
        <v>1064</v>
      </c>
      <c r="P168" s="61" t="n">
        <v>115</v>
      </c>
    </row>
    <row r="169" customFormat="false" ht="32.8" hidden="false" customHeight="false" outlineLevel="0" collapsed="false">
      <c r="A169" s="22" t="s">
        <v>5260</v>
      </c>
      <c r="B169" s="17" t="s">
        <v>4332</v>
      </c>
      <c r="C169" s="17" t="s">
        <v>149</v>
      </c>
      <c r="D169" s="55" t="s">
        <v>5261</v>
      </c>
      <c r="E169" s="17" t="s">
        <v>221</v>
      </c>
      <c r="F169" s="56" t="s">
        <v>5262</v>
      </c>
      <c r="G169" s="17" t="s">
        <v>5263</v>
      </c>
      <c r="H169" s="17" t="s">
        <v>3187</v>
      </c>
      <c r="I169" s="17"/>
      <c r="J169" s="17"/>
      <c r="K169" s="17"/>
      <c r="L169" s="17" t="s">
        <v>5264</v>
      </c>
      <c r="M169" s="17" t="s">
        <v>5265</v>
      </c>
      <c r="N169" s="15" t="s">
        <v>91</v>
      </c>
      <c r="O169" s="17" t="s">
        <v>1064</v>
      </c>
      <c r="P169" s="15" t="n">
        <v>121</v>
      </c>
    </row>
    <row r="170" customFormat="false" ht="53.7" hidden="false" customHeight="false" outlineLevel="0" collapsed="false">
      <c r="A170" s="57" t="s">
        <v>5266</v>
      </c>
      <c r="B170" s="58" t="s">
        <v>4332</v>
      </c>
      <c r="C170" s="58" t="s">
        <v>149</v>
      </c>
      <c r="D170" s="59" t="s">
        <v>5267</v>
      </c>
      <c r="E170" s="58" t="s">
        <v>225</v>
      </c>
      <c r="F170" s="60" t="s">
        <v>5268</v>
      </c>
      <c r="G170" s="58" t="s">
        <v>5269</v>
      </c>
      <c r="H170" s="58" t="s">
        <v>3187</v>
      </c>
      <c r="I170" s="58" t="s">
        <v>5270</v>
      </c>
      <c r="J170" s="58"/>
      <c r="K170" s="58"/>
      <c r="L170" s="58" t="s">
        <v>5271</v>
      </c>
      <c r="M170" s="58" t="s">
        <v>5272</v>
      </c>
      <c r="N170" s="61" t="s">
        <v>91</v>
      </c>
      <c r="O170" s="58" t="s">
        <v>1064</v>
      </c>
      <c r="P170" s="61" t="n">
        <v>124</v>
      </c>
    </row>
    <row r="171" customFormat="false" ht="32.8" hidden="false" customHeight="false" outlineLevel="0" collapsed="false">
      <c r="A171" s="22" t="s">
        <v>5273</v>
      </c>
      <c r="B171" s="17" t="s">
        <v>4332</v>
      </c>
      <c r="C171" s="17" t="s">
        <v>149</v>
      </c>
      <c r="D171" s="55" t="s">
        <v>5274</v>
      </c>
      <c r="E171" s="17" t="s">
        <v>225</v>
      </c>
      <c r="F171" s="56" t="s">
        <v>4531</v>
      </c>
      <c r="G171" s="17" t="s">
        <v>5275</v>
      </c>
      <c r="H171" s="17"/>
      <c r="I171" s="17" t="s">
        <v>5276</v>
      </c>
      <c r="J171" s="17"/>
      <c r="K171" s="17"/>
      <c r="L171" s="17" t="s">
        <v>5277</v>
      </c>
      <c r="M171" s="17" t="s">
        <v>5278</v>
      </c>
      <c r="N171" s="15" t="s">
        <v>91</v>
      </c>
      <c r="O171" s="17" t="s">
        <v>1064</v>
      </c>
      <c r="P171" s="15" t="n">
        <v>125</v>
      </c>
    </row>
    <row r="172" customFormat="false" ht="22.35" hidden="false" customHeight="false" outlineLevel="0" collapsed="false">
      <c r="A172" s="57" t="s">
        <v>5279</v>
      </c>
      <c r="B172" s="58" t="s">
        <v>4332</v>
      </c>
      <c r="C172" s="58" t="s">
        <v>149</v>
      </c>
      <c r="D172" s="59" t="s">
        <v>5280</v>
      </c>
      <c r="E172" s="58" t="s">
        <v>225</v>
      </c>
      <c r="F172" s="60" t="s">
        <v>5281</v>
      </c>
      <c r="G172" s="58" t="s">
        <v>5282</v>
      </c>
      <c r="H172" s="58" t="s">
        <v>3187</v>
      </c>
      <c r="I172" s="58"/>
      <c r="J172" s="58"/>
      <c r="K172" s="58"/>
      <c r="L172" s="58"/>
      <c r="M172" s="58" t="s">
        <v>5283</v>
      </c>
      <c r="N172" s="61" t="s">
        <v>91</v>
      </c>
      <c r="O172" s="58" t="s">
        <v>1064</v>
      </c>
      <c r="P172" s="61" t="n">
        <v>127</v>
      </c>
    </row>
    <row r="173" customFormat="false" ht="32.8" hidden="false" customHeight="false" outlineLevel="0" collapsed="false">
      <c r="A173" s="22" t="s">
        <v>5284</v>
      </c>
      <c r="B173" s="17" t="s">
        <v>4332</v>
      </c>
      <c r="C173" s="17" t="s">
        <v>149</v>
      </c>
      <c r="D173" s="55" t="s">
        <v>5285</v>
      </c>
      <c r="E173" s="17" t="s">
        <v>227</v>
      </c>
      <c r="F173" s="56" t="s">
        <v>5286</v>
      </c>
      <c r="G173" s="17" t="s">
        <v>5287</v>
      </c>
      <c r="H173" s="17"/>
      <c r="I173" s="17"/>
      <c r="J173" s="17"/>
      <c r="K173" s="17"/>
      <c r="L173" s="17" t="s">
        <v>5288</v>
      </c>
      <c r="M173" s="17"/>
      <c r="N173" s="15" t="s">
        <v>91</v>
      </c>
      <c r="O173" s="17" t="s">
        <v>1064</v>
      </c>
      <c r="P173" s="15" t="n">
        <v>130</v>
      </c>
    </row>
    <row r="174" customFormat="false" ht="43.25" hidden="false" customHeight="false" outlineLevel="0" collapsed="false">
      <c r="A174" s="57" t="s">
        <v>5289</v>
      </c>
      <c r="B174" s="58" t="s">
        <v>4332</v>
      </c>
      <c r="C174" s="58" t="s">
        <v>149</v>
      </c>
      <c r="D174" s="59" t="s">
        <v>5290</v>
      </c>
      <c r="E174" s="58" t="s">
        <v>227</v>
      </c>
      <c r="F174" s="60" t="s">
        <v>4589</v>
      </c>
      <c r="G174" s="58" t="s">
        <v>5291</v>
      </c>
      <c r="H174" s="58"/>
      <c r="I174" s="58"/>
      <c r="J174" s="58"/>
      <c r="K174" s="58"/>
      <c r="L174" s="58" t="s">
        <v>5292</v>
      </c>
      <c r="M174" s="58"/>
      <c r="N174" s="61" t="s">
        <v>91</v>
      </c>
      <c r="O174" s="58" t="s">
        <v>1064</v>
      </c>
      <c r="P174" s="61" t="n">
        <v>131</v>
      </c>
    </row>
    <row r="175" customFormat="false" ht="32.8" hidden="false" customHeight="false" outlineLevel="0" collapsed="false">
      <c r="A175" s="22" t="s">
        <v>5293</v>
      </c>
      <c r="B175" s="17" t="s">
        <v>4332</v>
      </c>
      <c r="C175" s="17" t="s">
        <v>149</v>
      </c>
      <c r="D175" s="55" t="s">
        <v>5294</v>
      </c>
      <c r="E175" s="17" t="s">
        <v>227</v>
      </c>
      <c r="F175" s="56" t="s">
        <v>5295</v>
      </c>
      <c r="G175" s="17" t="s">
        <v>5296</v>
      </c>
      <c r="H175" s="17"/>
      <c r="I175" s="17" t="s">
        <v>5297</v>
      </c>
      <c r="J175" s="17"/>
      <c r="K175" s="17"/>
      <c r="L175" s="17" t="s">
        <v>5298</v>
      </c>
      <c r="M175" s="17"/>
      <c r="N175" s="15" t="s">
        <v>91</v>
      </c>
      <c r="O175" s="17" t="s">
        <v>1064</v>
      </c>
      <c r="P175" s="15" t="n">
        <v>132</v>
      </c>
    </row>
    <row r="176" customFormat="false" ht="22.35" hidden="false" customHeight="false" outlineLevel="0" collapsed="false">
      <c r="A176" s="57" t="s">
        <v>5299</v>
      </c>
      <c r="B176" s="58" t="s">
        <v>4332</v>
      </c>
      <c r="C176" s="58" t="s">
        <v>149</v>
      </c>
      <c r="D176" s="59" t="s">
        <v>5300</v>
      </c>
      <c r="E176" s="58" t="s">
        <v>227</v>
      </c>
      <c r="F176" s="60" t="s">
        <v>5301</v>
      </c>
      <c r="G176" s="58" t="s">
        <v>5302</v>
      </c>
      <c r="H176" s="58"/>
      <c r="I176" s="58" t="s">
        <v>4579</v>
      </c>
      <c r="J176" s="58"/>
      <c r="K176" s="58"/>
      <c r="L176" s="58" t="s">
        <v>5303</v>
      </c>
      <c r="M176" s="58"/>
      <c r="N176" s="61" t="s">
        <v>91</v>
      </c>
      <c r="O176" s="58" t="s">
        <v>1064</v>
      </c>
      <c r="P176" s="61" t="n">
        <v>133</v>
      </c>
    </row>
    <row r="177" customFormat="false" ht="32.8" hidden="false" customHeight="false" outlineLevel="0" collapsed="false">
      <c r="A177" s="22" t="s">
        <v>5304</v>
      </c>
      <c r="B177" s="17" t="s">
        <v>4332</v>
      </c>
      <c r="C177" s="17" t="s">
        <v>149</v>
      </c>
      <c r="D177" s="55" t="s">
        <v>3530</v>
      </c>
      <c r="E177" s="17" t="s">
        <v>227</v>
      </c>
      <c r="F177" s="56" t="s">
        <v>5305</v>
      </c>
      <c r="G177" s="17" t="s">
        <v>5306</v>
      </c>
      <c r="H177" s="17"/>
      <c r="I177" s="17" t="s">
        <v>5307</v>
      </c>
      <c r="J177" s="17"/>
      <c r="K177" s="17" t="s">
        <v>407</v>
      </c>
      <c r="L177" s="17" t="s">
        <v>3526</v>
      </c>
      <c r="M177" s="17"/>
      <c r="N177" s="15" t="s">
        <v>91</v>
      </c>
      <c r="O177" s="17" t="s">
        <v>1064</v>
      </c>
      <c r="P177" s="15" t="n">
        <v>134</v>
      </c>
    </row>
    <row r="178" customFormat="false" ht="22.35" hidden="false" customHeight="false" outlineLevel="0" collapsed="false">
      <c r="A178" s="57" t="s">
        <v>5308</v>
      </c>
      <c r="B178" s="58" t="s">
        <v>4332</v>
      </c>
      <c r="C178" s="58" t="s">
        <v>149</v>
      </c>
      <c r="D178" s="59" t="s">
        <v>5309</v>
      </c>
      <c r="E178" s="58" t="s">
        <v>227</v>
      </c>
      <c r="F178" s="60" t="s">
        <v>5310</v>
      </c>
      <c r="G178" s="58" t="s">
        <v>5311</v>
      </c>
      <c r="H178" s="58"/>
      <c r="I178" s="58" t="s">
        <v>5312</v>
      </c>
      <c r="J178" s="58"/>
      <c r="K178" s="58" t="s">
        <v>485</v>
      </c>
      <c r="L178" s="58" t="s">
        <v>5313</v>
      </c>
      <c r="M178" s="58" t="s">
        <v>5314</v>
      </c>
      <c r="N178" s="61" t="s">
        <v>91</v>
      </c>
      <c r="O178" s="58" t="s">
        <v>1064</v>
      </c>
      <c r="P178" s="61" t="n">
        <v>138</v>
      </c>
    </row>
    <row r="179" customFormat="false" ht="22.35" hidden="false" customHeight="false" outlineLevel="0" collapsed="false">
      <c r="A179" s="22" t="s">
        <v>5315</v>
      </c>
      <c r="B179" s="17" t="s">
        <v>4332</v>
      </c>
      <c r="C179" s="17" t="s">
        <v>149</v>
      </c>
      <c r="D179" s="55" t="s">
        <v>5316</v>
      </c>
      <c r="E179" s="17" t="s">
        <v>227</v>
      </c>
      <c r="F179" s="56" t="s">
        <v>5317</v>
      </c>
      <c r="G179" s="17" t="s">
        <v>5318</v>
      </c>
      <c r="H179" s="17"/>
      <c r="I179" s="17" t="s">
        <v>5319</v>
      </c>
      <c r="J179" s="17"/>
      <c r="K179" s="17"/>
      <c r="L179" s="17" t="s">
        <v>5313</v>
      </c>
      <c r="M179" s="17"/>
      <c r="N179" s="15" t="s">
        <v>91</v>
      </c>
      <c r="O179" s="17" t="s">
        <v>1064</v>
      </c>
      <c r="P179" s="15" t="n">
        <v>140</v>
      </c>
    </row>
    <row r="180" customFormat="false" ht="22.35" hidden="false" customHeight="false" outlineLevel="0" collapsed="false">
      <c r="A180" s="57" t="s">
        <v>5320</v>
      </c>
      <c r="B180" s="58" t="s">
        <v>4332</v>
      </c>
      <c r="C180" s="58" t="s">
        <v>149</v>
      </c>
      <c r="D180" s="59" t="s">
        <v>5321</v>
      </c>
      <c r="E180" s="58" t="s">
        <v>227</v>
      </c>
      <c r="F180" s="60" t="s">
        <v>5322</v>
      </c>
      <c r="G180" s="58" t="s">
        <v>5323</v>
      </c>
      <c r="H180" s="58"/>
      <c r="I180" s="58"/>
      <c r="J180" s="58"/>
      <c r="K180" s="58"/>
      <c r="L180" s="58" t="s">
        <v>5313</v>
      </c>
      <c r="M180" s="58"/>
      <c r="N180" s="61" t="s">
        <v>91</v>
      </c>
      <c r="O180" s="58" t="s">
        <v>1064</v>
      </c>
      <c r="P180" s="61" t="n">
        <v>142</v>
      </c>
    </row>
    <row r="181" customFormat="false" ht="22.35" hidden="false" customHeight="false" outlineLevel="0" collapsed="false">
      <c r="A181" s="22" t="s">
        <v>5324</v>
      </c>
      <c r="B181" s="17" t="s">
        <v>4332</v>
      </c>
      <c r="C181" s="17" t="s">
        <v>150</v>
      </c>
      <c r="D181" s="55" t="s">
        <v>5325</v>
      </c>
      <c r="E181" s="17" t="s">
        <v>224</v>
      </c>
      <c r="F181" s="56" t="s">
        <v>5326</v>
      </c>
      <c r="G181" s="17" t="s">
        <v>5327</v>
      </c>
      <c r="H181" s="17"/>
      <c r="I181" s="17"/>
      <c r="J181" s="17"/>
      <c r="K181" s="17"/>
      <c r="L181" s="17" t="s">
        <v>5328</v>
      </c>
      <c r="M181" s="17"/>
      <c r="N181" s="15" t="s">
        <v>91</v>
      </c>
      <c r="O181" s="17" t="s">
        <v>5329</v>
      </c>
      <c r="P181" s="15" t="n">
        <v>45</v>
      </c>
    </row>
    <row r="182" customFormat="false" ht="32.8" hidden="false" customHeight="false" outlineLevel="0" collapsed="false">
      <c r="A182" s="57" t="s">
        <v>5330</v>
      </c>
      <c r="B182" s="58" t="s">
        <v>4332</v>
      </c>
      <c r="C182" s="58" t="s">
        <v>150</v>
      </c>
      <c r="D182" s="59" t="s">
        <v>5331</v>
      </c>
      <c r="E182" s="58" t="s">
        <v>234</v>
      </c>
      <c r="F182" s="60" t="s">
        <v>5332</v>
      </c>
      <c r="G182" s="58" t="s">
        <v>5333</v>
      </c>
      <c r="H182" s="58" t="s">
        <v>5334</v>
      </c>
      <c r="I182" s="58" t="s">
        <v>5335</v>
      </c>
      <c r="J182" s="58"/>
      <c r="K182" s="58"/>
      <c r="L182" s="58" t="s">
        <v>3160</v>
      </c>
      <c r="M182" s="58" t="s">
        <v>5336</v>
      </c>
      <c r="N182" s="61" t="s">
        <v>91</v>
      </c>
      <c r="O182" s="58" t="s">
        <v>5329</v>
      </c>
      <c r="P182" s="61" t="n">
        <v>59</v>
      </c>
    </row>
    <row r="183" customFormat="false" ht="15" hidden="false" customHeight="false" outlineLevel="0" collapsed="false">
      <c r="A183" s="22" t="s">
        <v>5337</v>
      </c>
      <c r="B183" s="17" t="s">
        <v>4332</v>
      </c>
      <c r="C183" s="17" t="s">
        <v>150</v>
      </c>
      <c r="D183" s="55" t="s">
        <v>5338</v>
      </c>
      <c r="E183" s="17" t="s">
        <v>234</v>
      </c>
      <c r="F183" s="56" t="s">
        <v>5339</v>
      </c>
      <c r="G183" s="17" t="s">
        <v>5340</v>
      </c>
      <c r="H183" s="17" t="s">
        <v>918</v>
      </c>
      <c r="I183" s="17" t="s">
        <v>3069</v>
      </c>
      <c r="J183" s="17"/>
      <c r="K183" s="17"/>
      <c r="L183" s="17" t="s">
        <v>3160</v>
      </c>
      <c r="M183" s="17" t="s">
        <v>5341</v>
      </c>
      <c r="N183" s="15" t="s">
        <v>91</v>
      </c>
      <c r="O183" s="17" t="s">
        <v>5329</v>
      </c>
      <c r="P183" s="15" t="n">
        <v>65</v>
      </c>
    </row>
    <row r="184" customFormat="false" ht="32.8" hidden="false" customHeight="false" outlineLevel="0" collapsed="false">
      <c r="A184" s="57" t="s">
        <v>5342</v>
      </c>
      <c r="B184" s="58" t="s">
        <v>4332</v>
      </c>
      <c r="C184" s="58" t="s">
        <v>151</v>
      </c>
      <c r="D184" s="59" t="s">
        <v>5343</v>
      </c>
      <c r="E184" s="58" t="s">
        <v>235</v>
      </c>
      <c r="F184" s="60" t="s">
        <v>5344</v>
      </c>
      <c r="G184" s="58" t="s">
        <v>5345</v>
      </c>
      <c r="H184" s="58"/>
      <c r="I184" s="58"/>
      <c r="J184" s="58"/>
      <c r="K184" s="58"/>
      <c r="L184" s="58" t="s">
        <v>3798</v>
      </c>
      <c r="M184" s="58" t="s">
        <v>5346</v>
      </c>
      <c r="N184" s="61" t="s">
        <v>91</v>
      </c>
      <c r="O184" s="58" t="s">
        <v>5347</v>
      </c>
      <c r="P184" s="61" t="n">
        <v>15</v>
      </c>
    </row>
    <row r="185" customFormat="false" ht="22.35" hidden="false" customHeight="false" outlineLevel="0" collapsed="false">
      <c r="A185" s="22" t="s">
        <v>5348</v>
      </c>
      <c r="B185" s="17" t="s">
        <v>4332</v>
      </c>
      <c r="C185" s="17" t="s">
        <v>151</v>
      </c>
      <c r="D185" s="55" t="s">
        <v>5349</v>
      </c>
      <c r="E185" s="17" t="s">
        <v>221</v>
      </c>
      <c r="F185" s="56" t="s">
        <v>5350</v>
      </c>
      <c r="G185" s="17" t="s">
        <v>5351</v>
      </c>
      <c r="H185" s="17"/>
      <c r="I185" s="17" t="s">
        <v>3235</v>
      </c>
      <c r="J185" s="17"/>
      <c r="K185" s="17"/>
      <c r="L185" s="17"/>
      <c r="M185" s="17"/>
      <c r="N185" s="15" t="s">
        <v>91</v>
      </c>
      <c r="O185" s="17" t="s">
        <v>5347</v>
      </c>
      <c r="P185" s="15" t="n">
        <v>22</v>
      </c>
    </row>
    <row r="186" customFormat="false" ht="22.35" hidden="false" customHeight="false" outlineLevel="0" collapsed="false">
      <c r="A186" s="57" t="s">
        <v>5352</v>
      </c>
      <c r="B186" s="58" t="s">
        <v>4332</v>
      </c>
      <c r="C186" s="58" t="s">
        <v>151</v>
      </c>
      <c r="D186" s="59" t="s">
        <v>5353</v>
      </c>
      <c r="E186" s="58" t="s">
        <v>225</v>
      </c>
      <c r="F186" s="60" t="s">
        <v>5354</v>
      </c>
      <c r="G186" s="58" t="s">
        <v>5355</v>
      </c>
      <c r="H186" s="58" t="s">
        <v>5356</v>
      </c>
      <c r="I186" s="58" t="s">
        <v>5357</v>
      </c>
      <c r="J186" s="58"/>
      <c r="K186" s="58"/>
      <c r="L186" s="58" t="s">
        <v>5358</v>
      </c>
      <c r="M186" s="58" t="s">
        <v>5359</v>
      </c>
      <c r="N186" s="61" t="s">
        <v>91</v>
      </c>
      <c r="O186" s="58" t="s">
        <v>5347</v>
      </c>
      <c r="P186" s="61" t="n">
        <v>25</v>
      </c>
    </row>
    <row r="187" customFormat="false" ht="22.35" hidden="false" customHeight="false" outlineLevel="0" collapsed="false">
      <c r="A187" s="22" t="s">
        <v>5360</v>
      </c>
      <c r="B187" s="17" t="s">
        <v>4332</v>
      </c>
      <c r="C187" s="17" t="s">
        <v>151</v>
      </c>
      <c r="D187" s="55" t="s">
        <v>5361</v>
      </c>
      <c r="E187" s="17" t="s">
        <v>225</v>
      </c>
      <c r="F187" s="56" t="s">
        <v>5362</v>
      </c>
      <c r="G187" s="17" t="s">
        <v>5363</v>
      </c>
      <c r="H187" s="17"/>
      <c r="I187" s="17" t="s">
        <v>5364</v>
      </c>
      <c r="J187" s="17"/>
      <c r="K187" s="17"/>
      <c r="L187" s="17" t="s">
        <v>5365</v>
      </c>
      <c r="M187" s="17" t="s">
        <v>5366</v>
      </c>
      <c r="N187" s="15" t="s">
        <v>91</v>
      </c>
      <c r="O187" s="17" t="s">
        <v>5347</v>
      </c>
      <c r="P187" s="15" t="n">
        <v>26</v>
      </c>
    </row>
    <row r="188" customFormat="false" ht="32.8" hidden="false" customHeight="false" outlineLevel="0" collapsed="false">
      <c r="A188" s="57" t="s">
        <v>5367</v>
      </c>
      <c r="B188" s="58" t="s">
        <v>4332</v>
      </c>
      <c r="C188" s="58" t="s">
        <v>151</v>
      </c>
      <c r="D188" s="59" t="s">
        <v>5368</v>
      </c>
      <c r="E188" s="58" t="s">
        <v>225</v>
      </c>
      <c r="F188" s="60" t="s">
        <v>5369</v>
      </c>
      <c r="G188" s="58" t="s">
        <v>5370</v>
      </c>
      <c r="H188" s="58" t="s">
        <v>4844</v>
      </c>
      <c r="I188" s="58" t="s">
        <v>5371</v>
      </c>
      <c r="J188" s="58"/>
      <c r="K188" s="58" t="s">
        <v>1046</v>
      </c>
      <c r="L188" s="58" t="s">
        <v>5372</v>
      </c>
      <c r="M188" s="58" t="s">
        <v>5373</v>
      </c>
      <c r="N188" s="61" t="s">
        <v>91</v>
      </c>
      <c r="O188" s="58" t="s">
        <v>5347</v>
      </c>
      <c r="P188" s="61" t="n">
        <v>27</v>
      </c>
    </row>
    <row r="189" customFormat="false" ht="15" hidden="false" customHeight="false" outlineLevel="0" collapsed="false">
      <c r="A189" s="22" t="s">
        <v>5374</v>
      </c>
      <c r="B189" s="17" t="s">
        <v>4332</v>
      </c>
      <c r="C189" s="17" t="s">
        <v>151</v>
      </c>
      <c r="D189" s="55" t="s">
        <v>5375</v>
      </c>
      <c r="E189" s="17" t="s">
        <v>227</v>
      </c>
      <c r="F189" s="56" t="s">
        <v>5376</v>
      </c>
      <c r="G189" s="17" t="s">
        <v>5377</v>
      </c>
      <c r="H189" s="17"/>
      <c r="I189" s="17" t="s">
        <v>3168</v>
      </c>
      <c r="J189" s="17"/>
      <c r="K189" s="17"/>
      <c r="L189" s="17" t="s">
        <v>5378</v>
      </c>
      <c r="M189" s="17"/>
      <c r="N189" s="15" t="s">
        <v>91</v>
      </c>
      <c r="O189" s="17" t="s">
        <v>5347</v>
      </c>
      <c r="P189" s="15" t="n">
        <v>30</v>
      </c>
    </row>
    <row r="190" customFormat="false" ht="22.35" hidden="false" customHeight="false" outlineLevel="0" collapsed="false">
      <c r="A190" s="57" t="s">
        <v>5379</v>
      </c>
      <c r="B190" s="58" t="s">
        <v>4332</v>
      </c>
      <c r="C190" s="58" t="s">
        <v>151</v>
      </c>
      <c r="D190" s="59" t="s">
        <v>5380</v>
      </c>
      <c r="E190" s="58" t="s">
        <v>227</v>
      </c>
      <c r="F190" s="60" t="s">
        <v>5381</v>
      </c>
      <c r="G190" s="58" t="s">
        <v>5382</v>
      </c>
      <c r="H190" s="58"/>
      <c r="I190" s="58" t="s">
        <v>5383</v>
      </c>
      <c r="J190" s="58"/>
      <c r="K190" s="58"/>
      <c r="L190" s="58" t="s">
        <v>5378</v>
      </c>
      <c r="M190" s="58"/>
      <c r="N190" s="61" t="s">
        <v>91</v>
      </c>
      <c r="O190" s="58" t="s">
        <v>5347</v>
      </c>
      <c r="P190" s="61" t="n">
        <v>31</v>
      </c>
    </row>
    <row r="191" customFormat="false" ht="32.8" hidden="false" customHeight="false" outlineLevel="0" collapsed="false">
      <c r="A191" s="22" t="s">
        <v>5384</v>
      </c>
      <c r="B191" s="17" t="s">
        <v>4332</v>
      </c>
      <c r="C191" s="17" t="s">
        <v>151</v>
      </c>
      <c r="D191" s="55" t="s">
        <v>5385</v>
      </c>
      <c r="E191" s="17" t="s">
        <v>227</v>
      </c>
      <c r="F191" s="56" t="s">
        <v>5386</v>
      </c>
      <c r="G191" s="17" t="s">
        <v>5387</v>
      </c>
      <c r="H191" s="17"/>
      <c r="I191" s="17" t="s">
        <v>2030</v>
      </c>
      <c r="J191" s="17"/>
      <c r="K191" s="17"/>
      <c r="L191" s="17" t="s">
        <v>5388</v>
      </c>
      <c r="M191" s="17"/>
      <c r="N191" s="15" t="s">
        <v>91</v>
      </c>
      <c r="O191" s="17" t="s">
        <v>5347</v>
      </c>
      <c r="P191" s="15" t="n">
        <v>32</v>
      </c>
    </row>
    <row r="192" customFormat="false" ht="22.35" hidden="false" customHeight="false" outlineLevel="0" collapsed="false">
      <c r="A192" s="57" t="s">
        <v>5389</v>
      </c>
      <c r="B192" s="58" t="s">
        <v>4332</v>
      </c>
      <c r="C192" s="58" t="s">
        <v>151</v>
      </c>
      <c r="D192" s="59" t="s">
        <v>5390</v>
      </c>
      <c r="E192" s="58" t="s">
        <v>227</v>
      </c>
      <c r="F192" s="60" t="s">
        <v>5391</v>
      </c>
      <c r="G192" s="58" t="s">
        <v>5392</v>
      </c>
      <c r="H192" s="58"/>
      <c r="I192" s="58" t="s">
        <v>5174</v>
      </c>
      <c r="J192" s="58"/>
      <c r="K192" s="58"/>
      <c r="L192" s="58" t="s">
        <v>5393</v>
      </c>
      <c r="M192" s="58"/>
      <c r="N192" s="61" t="s">
        <v>91</v>
      </c>
      <c r="O192" s="58" t="s">
        <v>5347</v>
      </c>
      <c r="P192" s="61" t="n">
        <v>33</v>
      </c>
    </row>
    <row r="193" customFormat="false" ht="22.35" hidden="false" customHeight="false" outlineLevel="0" collapsed="false">
      <c r="A193" s="22" t="s">
        <v>5394</v>
      </c>
      <c r="B193" s="17" t="s">
        <v>4332</v>
      </c>
      <c r="C193" s="17" t="s">
        <v>152</v>
      </c>
      <c r="D193" s="55" t="s">
        <v>5395</v>
      </c>
      <c r="E193" s="17" t="s">
        <v>224</v>
      </c>
      <c r="F193" s="56" t="s">
        <v>5396</v>
      </c>
      <c r="G193" s="17" t="s">
        <v>5397</v>
      </c>
      <c r="H193" s="17"/>
      <c r="I193" s="17"/>
      <c r="J193" s="17"/>
      <c r="K193" s="17"/>
      <c r="L193" s="17" t="s">
        <v>5398</v>
      </c>
      <c r="M193" s="17"/>
      <c r="N193" s="15" t="s">
        <v>91</v>
      </c>
      <c r="O193" s="17" t="s">
        <v>2778</v>
      </c>
      <c r="P193" s="15" t="n">
        <v>27</v>
      </c>
    </row>
    <row r="194" customFormat="false" ht="22.35" hidden="false" customHeight="false" outlineLevel="0" collapsed="false">
      <c r="A194" s="57" t="s">
        <v>5399</v>
      </c>
      <c r="B194" s="58" t="s">
        <v>4332</v>
      </c>
      <c r="C194" s="58" t="s">
        <v>152</v>
      </c>
      <c r="D194" s="59" t="s">
        <v>5400</v>
      </c>
      <c r="E194" s="58" t="s">
        <v>224</v>
      </c>
      <c r="F194" s="60" t="s">
        <v>5401</v>
      </c>
      <c r="G194" s="58" t="s">
        <v>5402</v>
      </c>
      <c r="H194" s="58"/>
      <c r="I194" s="58"/>
      <c r="J194" s="58"/>
      <c r="K194" s="58" t="s">
        <v>5403</v>
      </c>
      <c r="L194" s="58" t="s">
        <v>5404</v>
      </c>
      <c r="M194" s="58"/>
      <c r="N194" s="61" t="s">
        <v>91</v>
      </c>
      <c r="O194" s="58" t="s">
        <v>2778</v>
      </c>
      <c r="P194" s="61" t="n">
        <v>38</v>
      </c>
    </row>
    <row r="195" customFormat="false" ht="32.8" hidden="false" customHeight="false" outlineLevel="0" collapsed="false">
      <c r="A195" s="22" t="s">
        <v>5405</v>
      </c>
      <c r="B195" s="17" t="s">
        <v>4332</v>
      </c>
      <c r="C195" s="17" t="s">
        <v>152</v>
      </c>
      <c r="D195" s="55" t="s">
        <v>5406</v>
      </c>
      <c r="E195" s="17" t="s">
        <v>235</v>
      </c>
      <c r="F195" s="56" t="s">
        <v>5407</v>
      </c>
      <c r="G195" s="17" t="s">
        <v>5408</v>
      </c>
      <c r="H195" s="17"/>
      <c r="I195" s="17"/>
      <c r="J195" s="17"/>
      <c r="K195" s="17"/>
      <c r="L195" s="17" t="s">
        <v>5409</v>
      </c>
      <c r="M195" s="17" t="s">
        <v>3587</v>
      </c>
      <c r="N195" s="15" t="s">
        <v>91</v>
      </c>
      <c r="O195" s="17" t="s">
        <v>2778</v>
      </c>
      <c r="P195" s="15" t="n">
        <v>51</v>
      </c>
    </row>
    <row r="196" customFormat="false" ht="22.35" hidden="false" customHeight="false" outlineLevel="0" collapsed="false">
      <c r="A196" s="57" t="s">
        <v>5410</v>
      </c>
      <c r="B196" s="58" t="s">
        <v>4332</v>
      </c>
      <c r="C196" s="58" t="s">
        <v>152</v>
      </c>
      <c r="D196" s="59" t="s">
        <v>5411</v>
      </c>
      <c r="E196" s="58" t="s">
        <v>221</v>
      </c>
      <c r="F196" s="60" t="s">
        <v>5412</v>
      </c>
      <c r="G196" s="58" t="s">
        <v>5413</v>
      </c>
      <c r="H196" s="58" t="s">
        <v>5414</v>
      </c>
      <c r="I196" s="58" t="s">
        <v>1046</v>
      </c>
      <c r="J196" s="58" t="s">
        <v>5415</v>
      </c>
      <c r="K196" s="58" t="s">
        <v>1046</v>
      </c>
      <c r="L196" s="58" t="s">
        <v>5416</v>
      </c>
      <c r="M196" s="58" t="s">
        <v>5417</v>
      </c>
      <c r="N196" s="61" t="s">
        <v>91</v>
      </c>
      <c r="O196" s="58" t="s">
        <v>2778</v>
      </c>
      <c r="P196" s="61" t="n">
        <v>71</v>
      </c>
    </row>
    <row r="197" customFormat="false" ht="32.8" hidden="false" customHeight="false" outlineLevel="0" collapsed="false">
      <c r="A197" s="22" t="s">
        <v>5418</v>
      </c>
      <c r="B197" s="17" t="s">
        <v>4332</v>
      </c>
      <c r="C197" s="17" t="s">
        <v>152</v>
      </c>
      <c r="D197" s="55" t="s">
        <v>5419</v>
      </c>
      <c r="E197" s="17" t="s">
        <v>221</v>
      </c>
      <c r="F197" s="56" t="s">
        <v>5420</v>
      </c>
      <c r="G197" s="17" t="s">
        <v>5421</v>
      </c>
      <c r="H197" s="17" t="s">
        <v>5422</v>
      </c>
      <c r="I197" s="17" t="s">
        <v>5423</v>
      </c>
      <c r="J197" s="17"/>
      <c r="K197" s="17" t="s">
        <v>652</v>
      </c>
      <c r="L197" s="17" t="s">
        <v>3764</v>
      </c>
      <c r="M197" s="17" t="s">
        <v>5424</v>
      </c>
      <c r="N197" s="15" t="s">
        <v>91</v>
      </c>
      <c r="O197" s="17" t="s">
        <v>2778</v>
      </c>
      <c r="P197" s="15" t="n">
        <v>74</v>
      </c>
    </row>
    <row r="198" customFormat="false" ht="15" hidden="false" customHeight="false" outlineLevel="0" collapsed="false">
      <c r="A198" s="57" t="s">
        <v>5425</v>
      </c>
      <c r="B198" s="58" t="s">
        <v>4332</v>
      </c>
      <c r="C198" s="58" t="s">
        <v>152</v>
      </c>
      <c r="D198" s="59" t="s">
        <v>5426</v>
      </c>
      <c r="E198" s="58" t="s">
        <v>221</v>
      </c>
      <c r="F198" s="60" t="s">
        <v>5427</v>
      </c>
      <c r="G198" s="58" t="s">
        <v>5428</v>
      </c>
      <c r="H198" s="58" t="s">
        <v>5429</v>
      </c>
      <c r="I198" s="58"/>
      <c r="J198" s="58"/>
      <c r="K198" s="58"/>
      <c r="L198" s="58" t="s">
        <v>3764</v>
      </c>
      <c r="M198" s="58"/>
      <c r="N198" s="61" t="s">
        <v>91</v>
      </c>
      <c r="O198" s="58" t="s">
        <v>2778</v>
      </c>
      <c r="P198" s="61" t="n">
        <v>78</v>
      </c>
    </row>
    <row r="199" customFormat="false" ht="15" hidden="false" customHeight="false" outlineLevel="0" collapsed="false">
      <c r="A199" s="22" t="s">
        <v>5430</v>
      </c>
      <c r="B199" s="17" t="s">
        <v>4332</v>
      </c>
      <c r="C199" s="17" t="s">
        <v>152</v>
      </c>
      <c r="D199" s="55" t="s">
        <v>5431</v>
      </c>
      <c r="E199" s="17" t="s">
        <v>221</v>
      </c>
      <c r="F199" s="56" t="s">
        <v>5432</v>
      </c>
      <c r="G199" s="17" t="s">
        <v>5433</v>
      </c>
      <c r="H199" s="17"/>
      <c r="I199" s="17"/>
      <c r="J199" s="17"/>
      <c r="K199" s="17"/>
      <c r="L199" s="17" t="s">
        <v>5434</v>
      </c>
      <c r="M199" s="17"/>
      <c r="N199" s="15" t="s">
        <v>91</v>
      </c>
      <c r="O199" s="17" t="s">
        <v>2778</v>
      </c>
      <c r="P199" s="15" t="n">
        <v>79</v>
      </c>
    </row>
    <row r="200" customFormat="false" ht="22.35" hidden="false" customHeight="false" outlineLevel="0" collapsed="false">
      <c r="A200" s="57" t="s">
        <v>5435</v>
      </c>
      <c r="B200" s="58" t="s">
        <v>4332</v>
      </c>
      <c r="C200" s="58" t="s">
        <v>152</v>
      </c>
      <c r="D200" s="59" t="s">
        <v>5436</v>
      </c>
      <c r="E200" s="58" t="s">
        <v>221</v>
      </c>
      <c r="F200" s="60" t="s">
        <v>5437</v>
      </c>
      <c r="G200" s="58" t="s">
        <v>5438</v>
      </c>
      <c r="H200" s="58" t="s">
        <v>5439</v>
      </c>
      <c r="I200" s="58" t="s">
        <v>5440</v>
      </c>
      <c r="J200" s="58"/>
      <c r="K200" s="58"/>
      <c r="L200" s="58" t="s">
        <v>5441</v>
      </c>
      <c r="M200" s="58" t="s">
        <v>5442</v>
      </c>
      <c r="N200" s="61" t="s">
        <v>91</v>
      </c>
      <c r="O200" s="58" t="s">
        <v>2778</v>
      </c>
      <c r="P200" s="61" t="n">
        <v>83</v>
      </c>
    </row>
    <row r="201" customFormat="false" ht="15" hidden="false" customHeight="false" outlineLevel="0" collapsed="false">
      <c r="A201" s="22" t="s">
        <v>5443</v>
      </c>
      <c r="B201" s="17" t="s">
        <v>4332</v>
      </c>
      <c r="C201" s="17" t="s">
        <v>152</v>
      </c>
      <c r="D201" s="55" t="s">
        <v>5444</v>
      </c>
      <c r="E201" s="17" t="s">
        <v>227</v>
      </c>
      <c r="F201" s="56" t="s">
        <v>5445</v>
      </c>
      <c r="G201" s="17" t="s">
        <v>5446</v>
      </c>
      <c r="H201" s="17"/>
      <c r="I201" s="17" t="s">
        <v>5447</v>
      </c>
      <c r="J201" s="17"/>
      <c r="K201" s="17"/>
      <c r="L201" s="17" t="s">
        <v>5378</v>
      </c>
      <c r="M201" s="17" t="s">
        <v>5448</v>
      </c>
      <c r="N201" s="15" t="s">
        <v>91</v>
      </c>
      <c r="O201" s="17" t="s">
        <v>2778</v>
      </c>
      <c r="P201" s="15" t="n">
        <v>88</v>
      </c>
    </row>
    <row r="202" customFormat="false" ht="15" hidden="false" customHeight="false" outlineLevel="0" collapsed="false">
      <c r="A202" s="57" t="s">
        <v>5449</v>
      </c>
      <c r="B202" s="58" t="s">
        <v>4332</v>
      </c>
      <c r="C202" s="58" t="s">
        <v>152</v>
      </c>
      <c r="D202" s="59" t="s">
        <v>5450</v>
      </c>
      <c r="E202" s="58" t="s">
        <v>227</v>
      </c>
      <c r="F202" s="60" t="s">
        <v>5451</v>
      </c>
      <c r="G202" s="58" t="s">
        <v>5452</v>
      </c>
      <c r="H202" s="58"/>
      <c r="I202" s="58" t="s">
        <v>563</v>
      </c>
      <c r="J202" s="58"/>
      <c r="K202" s="58"/>
      <c r="L202" s="58" t="s">
        <v>4614</v>
      </c>
      <c r="M202" s="58"/>
      <c r="N202" s="61" t="s">
        <v>91</v>
      </c>
      <c r="O202" s="58" t="s">
        <v>2778</v>
      </c>
      <c r="P202" s="61" t="n">
        <v>89</v>
      </c>
    </row>
    <row r="203" customFormat="false" ht="22.35" hidden="false" customHeight="false" outlineLevel="0" collapsed="false">
      <c r="A203" s="22" t="s">
        <v>5453</v>
      </c>
      <c r="B203" s="17" t="s">
        <v>4332</v>
      </c>
      <c r="C203" s="17" t="s">
        <v>152</v>
      </c>
      <c r="D203" s="55" t="s">
        <v>5454</v>
      </c>
      <c r="E203" s="17" t="s">
        <v>227</v>
      </c>
      <c r="F203" s="56" t="s">
        <v>5455</v>
      </c>
      <c r="G203" s="17" t="s">
        <v>5456</v>
      </c>
      <c r="H203" s="17"/>
      <c r="I203" s="17" t="s">
        <v>5457</v>
      </c>
      <c r="J203" s="17"/>
      <c r="K203" s="17"/>
      <c r="L203" s="17" t="s">
        <v>5458</v>
      </c>
      <c r="M203" s="17"/>
      <c r="N203" s="15" t="s">
        <v>91</v>
      </c>
      <c r="O203" s="17" t="s">
        <v>2778</v>
      </c>
      <c r="P203" s="15" t="n">
        <v>91</v>
      </c>
    </row>
    <row r="204" customFormat="false" ht="15" hidden="false" customHeight="false" outlineLevel="0" collapsed="false">
      <c r="A204" s="57" t="s">
        <v>5459</v>
      </c>
      <c r="B204" s="58" t="s">
        <v>4332</v>
      </c>
      <c r="C204" s="58" t="s">
        <v>153</v>
      </c>
      <c r="D204" s="59" t="s">
        <v>5460</v>
      </c>
      <c r="E204" s="58" t="s">
        <v>224</v>
      </c>
      <c r="F204" s="60" t="s">
        <v>5461</v>
      </c>
      <c r="G204" s="58" t="s">
        <v>5462</v>
      </c>
      <c r="H204" s="58"/>
      <c r="I204" s="58"/>
      <c r="J204" s="58"/>
      <c r="K204" s="58" t="s">
        <v>1970</v>
      </c>
      <c r="L204" s="58" t="s">
        <v>5463</v>
      </c>
      <c r="M204" s="58"/>
      <c r="N204" s="61" t="s">
        <v>91</v>
      </c>
      <c r="O204" s="58" t="s">
        <v>2824</v>
      </c>
      <c r="P204" s="61" t="n">
        <v>99</v>
      </c>
    </row>
    <row r="205" customFormat="false" ht="22.35" hidden="false" customHeight="false" outlineLevel="0" collapsed="false">
      <c r="A205" s="22" t="s">
        <v>5464</v>
      </c>
      <c r="B205" s="17" t="s">
        <v>4332</v>
      </c>
      <c r="C205" s="17" t="s">
        <v>153</v>
      </c>
      <c r="D205" s="55" t="s">
        <v>5465</v>
      </c>
      <c r="E205" s="17" t="s">
        <v>243</v>
      </c>
      <c r="F205" s="56" t="s">
        <v>5466</v>
      </c>
      <c r="G205" s="17" t="s">
        <v>5467</v>
      </c>
      <c r="H205" s="17"/>
      <c r="I205" s="17"/>
      <c r="J205" s="17"/>
      <c r="K205" s="17"/>
      <c r="L205" s="17" t="s">
        <v>5468</v>
      </c>
      <c r="M205" s="17"/>
      <c r="N205" s="15" t="s">
        <v>91</v>
      </c>
      <c r="O205" s="17" t="s">
        <v>2824</v>
      </c>
      <c r="P205" s="15" t="n">
        <v>121</v>
      </c>
    </row>
    <row r="206" customFormat="false" ht="43.25" hidden="false" customHeight="false" outlineLevel="0" collapsed="false">
      <c r="A206" s="57" t="s">
        <v>5469</v>
      </c>
      <c r="B206" s="58" t="s">
        <v>4332</v>
      </c>
      <c r="C206" s="58" t="s">
        <v>153</v>
      </c>
      <c r="D206" s="59" t="s">
        <v>5470</v>
      </c>
      <c r="E206" s="58" t="s">
        <v>235</v>
      </c>
      <c r="F206" s="60" t="s">
        <v>5471</v>
      </c>
      <c r="G206" s="58" t="s">
        <v>5472</v>
      </c>
      <c r="H206" s="58"/>
      <c r="I206" s="58"/>
      <c r="J206" s="58"/>
      <c r="K206" s="58"/>
      <c r="L206" s="58" t="s">
        <v>5473</v>
      </c>
      <c r="M206" s="58" t="s">
        <v>5474</v>
      </c>
      <c r="N206" s="61" t="s">
        <v>91</v>
      </c>
      <c r="O206" s="58" t="s">
        <v>2824</v>
      </c>
      <c r="P206" s="61" t="n">
        <v>149</v>
      </c>
    </row>
    <row r="207" customFormat="false" ht="15" hidden="false" customHeight="false" outlineLevel="0" collapsed="false">
      <c r="A207" s="22" t="s">
        <v>5475</v>
      </c>
      <c r="B207" s="17" t="s">
        <v>4332</v>
      </c>
      <c r="C207" s="17" t="s">
        <v>153</v>
      </c>
      <c r="D207" s="55" t="s">
        <v>5476</v>
      </c>
      <c r="E207" s="17" t="s">
        <v>221</v>
      </c>
      <c r="F207" s="56" t="s">
        <v>5477</v>
      </c>
      <c r="G207" s="17" t="s">
        <v>5478</v>
      </c>
      <c r="H207" s="17" t="s">
        <v>5479</v>
      </c>
      <c r="I207" s="17"/>
      <c r="J207" s="17"/>
      <c r="K207" s="17" t="s">
        <v>656</v>
      </c>
      <c r="L207" s="17" t="s">
        <v>3599</v>
      </c>
      <c r="M207" s="17" t="s">
        <v>5480</v>
      </c>
      <c r="N207" s="15" t="s">
        <v>91</v>
      </c>
      <c r="O207" s="17" t="s">
        <v>2824</v>
      </c>
      <c r="P207" s="15" t="n">
        <v>158</v>
      </c>
    </row>
    <row r="208" customFormat="false" ht="15" hidden="false" customHeight="false" outlineLevel="0" collapsed="false">
      <c r="A208" s="57" t="s">
        <v>5481</v>
      </c>
      <c r="B208" s="58" t="s">
        <v>4332</v>
      </c>
      <c r="C208" s="58" t="s">
        <v>153</v>
      </c>
      <c r="D208" s="59" t="s">
        <v>5482</v>
      </c>
      <c r="E208" s="58" t="s">
        <v>221</v>
      </c>
      <c r="F208" s="60" t="s">
        <v>4531</v>
      </c>
      <c r="G208" s="58" t="s">
        <v>5483</v>
      </c>
      <c r="H208" s="58"/>
      <c r="I208" s="58"/>
      <c r="J208" s="58"/>
      <c r="K208" s="58"/>
      <c r="L208" s="58"/>
      <c r="M208" s="58" t="s">
        <v>5484</v>
      </c>
      <c r="N208" s="61" t="s">
        <v>91</v>
      </c>
      <c r="O208" s="58" t="s">
        <v>2824</v>
      </c>
      <c r="P208" s="61" t="n">
        <v>159</v>
      </c>
    </row>
    <row r="209" customFormat="false" ht="22.35" hidden="false" customHeight="false" outlineLevel="0" collapsed="false">
      <c r="A209" s="22" t="s">
        <v>5485</v>
      </c>
      <c r="B209" s="17" t="s">
        <v>4332</v>
      </c>
      <c r="C209" s="17" t="s">
        <v>153</v>
      </c>
      <c r="D209" s="55" t="s">
        <v>5486</v>
      </c>
      <c r="E209" s="17" t="s">
        <v>221</v>
      </c>
      <c r="F209" s="56" t="s">
        <v>5487</v>
      </c>
      <c r="G209" s="17" t="s">
        <v>5488</v>
      </c>
      <c r="H209" s="17" t="s">
        <v>5489</v>
      </c>
      <c r="I209" s="17"/>
      <c r="J209" s="17"/>
      <c r="K209" s="17"/>
      <c r="L209" s="17" t="s">
        <v>3764</v>
      </c>
      <c r="M209" s="17" t="s">
        <v>5490</v>
      </c>
      <c r="N209" s="15" t="s">
        <v>91</v>
      </c>
      <c r="O209" s="17" t="s">
        <v>2824</v>
      </c>
      <c r="P209" s="15" t="n">
        <v>163</v>
      </c>
    </row>
    <row r="210" customFormat="false" ht="15" hidden="false" customHeight="false" outlineLevel="0" collapsed="false">
      <c r="A210" s="57" t="s">
        <v>5491</v>
      </c>
      <c r="B210" s="58" t="s">
        <v>4332</v>
      </c>
      <c r="C210" s="58" t="s">
        <v>153</v>
      </c>
      <c r="D210" s="59" t="s">
        <v>5492</v>
      </c>
      <c r="E210" s="58" t="s">
        <v>221</v>
      </c>
      <c r="F210" s="60" t="s">
        <v>5493</v>
      </c>
      <c r="G210" s="58" t="s">
        <v>5494</v>
      </c>
      <c r="H210" s="58"/>
      <c r="I210" s="58" t="s">
        <v>5495</v>
      </c>
      <c r="J210" s="58"/>
      <c r="K210" s="58"/>
      <c r="L210" s="58" t="s">
        <v>4046</v>
      </c>
      <c r="M210" s="58" t="s">
        <v>3041</v>
      </c>
      <c r="N210" s="61" t="s">
        <v>91</v>
      </c>
      <c r="O210" s="58" t="s">
        <v>2824</v>
      </c>
      <c r="P210" s="61" t="n">
        <v>166</v>
      </c>
    </row>
    <row r="211" customFormat="false" ht="22.35" hidden="false" customHeight="false" outlineLevel="0" collapsed="false">
      <c r="A211" s="22" t="s">
        <v>5496</v>
      </c>
      <c r="B211" s="17" t="s">
        <v>4332</v>
      </c>
      <c r="C211" s="17" t="s">
        <v>153</v>
      </c>
      <c r="D211" s="55" t="s">
        <v>5497</v>
      </c>
      <c r="E211" s="17" t="s">
        <v>221</v>
      </c>
      <c r="F211" s="56" t="s">
        <v>5498</v>
      </c>
      <c r="G211" s="17" t="s">
        <v>5499</v>
      </c>
      <c r="H211" s="17"/>
      <c r="I211" s="17" t="s">
        <v>5500</v>
      </c>
      <c r="J211" s="17"/>
      <c r="K211" s="17"/>
      <c r="L211" s="17" t="s">
        <v>5501</v>
      </c>
      <c r="M211" s="17" t="s">
        <v>3041</v>
      </c>
      <c r="N211" s="15" t="s">
        <v>91</v>
      </c>
      <c r="O211" s="17" t="s">
        <v>2824</v>
      </c>
      <c r="P211" s="15" t="n">
        <v>168</v>
      </c>
    </row>
    <row r="212" customFormat="false" ht="22.35" hidden="false" customHeight="false" outlineLevel="0" collapsed="false">
      <c r="A212" s="57" t="s">
        <v>5502</v>
      </c>
      <c r="B212" s="58" t="s">
        <v>4332</v>
      </c>
      <c r="C212" s="58" t="s">
        <v>153</v>
      </c>
      <c r="D212" s="59" t="s">
        <v>5503</v>
      </c>
      <c r="E212" s="58" t="s">
        <v>221</v>
      </c>
      <c r="F212" s="60" t="s">
        <v>5504</v>
      </c>
      <c r="G212" s="58" t="s">
        <v>5505</v>
      </c>
      <c r="H212" s="58"/>
      <c r="I212" s="58" t="s">
        <v>5506</v>
      </c>
      <c r="J212" s="58"/>
      <c r="K212" s="58"/>
      <c r="L212" s="58" t="s">
        <v>4046</v>
      </c>
      <c r="M212" s="58" t="s">
        <v>3041</v>
      </c>
      <c r="N212" s="61" t="s">
        <v>91</v>
      </c>
      <c r="O212" s="58" t="s">
        <v>2824</v>
      </c>
      <c r="P212" s="61" t="n">
        <v>169</v>
      </c>
    </row>
    <row r="213" customFormat="false" ht="22.35" hidden="false" customHeight="false" outlineLevel="0" collapsed="false">
      <c r="A213" s="22" t="s">
        <v>5507</v>
      </c>
      <c r="B213" s="17" t="s">
        <v>4332</v>
      </c>
      <c r="C213" s="17" t="s">
        <v>153</v>
      </c>
      <c r="D213" s="55" t="s">
        <v>5508</v>
      </c>
      <c r="E213" s="17" t="s">
        <v>221</v>
      </c>
      <c r="F213" s="56" t="s">
        <v>5509</v>
      </c>
      <c r="G213" s="17" t="s">
        <v>5510</v>
      </c>
      <c r="H213" s="17" t="s">
        <v>5511</v>
      </c>
      <c r="I213" s="17" t="s">
        <v>5512</v>
      </c>
      <c r="J213" s="17"/>
      <c r="K213" s="17"/>
      <c r="L213" s="17" t="s">
        <v>5513</v>
      </c>
      <c r="M213" s="17" t="s">
        <v>5514</v>
      </c>
      <c r="N213" s="15" t="s">
        <v>91</v>
      </c>
      <c r="O213" s="17" t="s">
        <v>2824</v>
      </c>
      <c r="P213" s="15" t="n">
        <v>174</v>
      </c>
    </row>
    <row r="214" customFormat="false" ht="22.35" hidden="false" customHeight="false" outlineLevel="0" collapsed="false">
      <c r="A214" s="57" t="s">
        <v>5515</v>
      </c>
      <c r="B214" s="58" t="s">
        <v>4332</v>
      </c>
      <c r="C214" s="58" t="s">
        <v>153</v>
      </c>
      <c r="D214" s="59" t="s">
        <v>5516</v>
      </c>
      <c r="E214" s="58" t="s">
        <v>221</v>
      </c>
      <c r="F214" s="60" t="s">
        <v>5517</v>
      </c>
      <c r="G214" s="58" t="s">
        <v>5518</v>
      </c>
      <c r="H214" s="58" t="s">
        <v>5519</v>
      </c>
      <c r="I214" s="58" t="s">
        <v>3069</v>
      </c>
      <c r="J214" s="58"/>
      <c r="K214" s="58"/>
      <c r="L214" s="58" t="s">
        <v>3764</v>
      </c>
      <c r="M214" s="58" t="s">
        <v>5520</v>
      </c>
      <c r="N214" s="61" t="s">
        <v>91</v>
      </c>
      <c r="O214" s="58" t="s">
        <v>2824</v>
      </c>
      <c r="P214" s="61" t="n">
        <v>177</v>
      </c>
    </row>
    <row r="215" customFormat="false" ht="15" hidden="false" customHeight="false" outlineLevel="0" collapsed="false">
      <c r="A215" s="22" t="s">
        <v>5521</v>
      </c>
      <c r="B215" s="17" t="s">
        <v>4332</v>
      </c>
      <c r="C215" s="17" t="s">
        <v>153</v>
      </c>
      <c r="D215" s="55" t="s">
        <v>4049</v>
      </c>
      <c r="E215" s="17" t="s">
        <v>227</v>
      </c>
      <c r="F215" s="56" t="s">
        <v>5522</v>
      </c>
      <c r="G215" s="17" t="s">
        <v>5523</v>
      </c>
      <c r="H215" s="17"/>
      <c r="I215" s="17"/>
      <c r="J215" s="17"/>
      <c r="K215" s="17"/>
      <c r="L215" s="17" t="s">
        <v>5524</v>
      </c>
      <c r="M215" s="17"/>
      <c r="N215" s="15" t="s">
        <v>91</v>
      </c>
      <c r="O215" s="17" t="s">
        <v>2824</v>
      </c>
      <c r="P215" s="15" t="n">
        <v>189</v>
      </c>
    </row>
    <row r="216" customFormat="false" ht="22.35" hidden="false" customHeight="false" outlineLevel="0" collapsed="false">
      <c r="A216" s="57" t="s">
        <v>5525</v>
      </c>
      <c r="B216" s="58" t="s">
        <v>4332</v>
      </c>
      <c r="C216" s="58" t="s">
        <v>153</v>
      </c>
      <c r="D216" s="59" t="s">
        <v>5526</v>
      </c>
      <c r="E216" s="58" t="s">
        <v>227</v>
      </c>
      <c r="F216" s="60" t="s">
        <v>5527</v>
      </c>
      <c r="G216" s="58" t="s">
        <v>5528</v>
      </c>
      <c r="H216" s="58"/>
      <c r="I216" s="58" t="s">
        <v>5529</v>
      </c>
      <c r="J216" s="58"/>
      <c r="K216" s="58" t="s">
        <v>722</v>
      </c>
      <c r="L216" s="58" t="s">
        <v>5530</v>
      </c>
      <c r="M216" s="58" t="s">
        <v>5531</v>
      </c>
      <c r="N216" s="61" t="s">
        <v>91</v>
      </c>
      <c r="O216" s="58" t="s">
        <v>2824</v>
      </c>
      <c r="P216" s="61" t="n">
        <v>191</v>
      </c>
    </row>
    <row r="217" customFormat="false" ht="74.6" hidden="false" customHeight="false" outlineLevel="0" collapsed="false">
      <c r="A217" s="22" t="s">
        <v>5532</v>
      </c>
      <c r="B217" s="17" t="s">
        <v>4332</v>
      </c>
      <c r="C217" s="17" t="s">
        <v>154</v>
      </c>
      <c r="D217" s="55" t="s">
        <v>5533</v>
      </c>
      <c r="E217" s="17" t="s">
        <v>235</v>
      </c>
      <c r="F217" s="56" t="s">
        <v>5534</v>
      </c>
      <c r="G217" s="17" t="s">
        <v>5535</v>
      </c>
      <c r="H217" s="17"/>
      <c r="I217" s="17"/>
      <c r="J217" s="17"/>
      <c r="K217" s="17"/>
      <c r="L217" s="17" t="s">
        <v>5217</v>
      </c>
      <c r="M217" s="17" t="s">
        <v>5536</v>
      </c>
      <c r="N217" s="15" t="s">
        <v>91</v>
      </c>
      <c r="O217" s="17" t="s">
        <v>5537</v>
      </c>
      <c r="P217" s="15" t="n">
        <v>47</v>
      </c>
    </row>
    <row r="218" customFormat="false" ht="22.35" hidden="false" customHeight="false" outlineLevel="0" collapsed="false">
      <c r="A218" s="57" t="s">
        <v>5538</v>
      </c>
      <c r="B218" s="58" t="s">
        <v>4332</v>
      </c>
      <c r="C218" s="58" t="s">
        <v>154</v>
      </c>
      <c r="D218" s="59" t="s">
        <v>5539</v>
      </c>
      <c r="E218" s="58" t="s">
        <v>221</v>
      </c>
      <c r="F218" s="60" t="s">
        <v>5540</v>
      </c>
      <c r="G218" s="58" t="s">
        <v>5541</v>
      </c>
      <c r="H218" s="58" t="s">
        <v>5542</v>
      </c>
      <c r="I218" s="58" t="s">
        <v>5022</v>
      </c>
      <c r="J218" s="58"/>
      <c r="K218" s="58"/>
      <c r="L218" s="58" t="s">
        <v>5543</v>
      </c>
      <c r="M218" s="58" t="s">
        <v>5544</v>
      </c>
      <c r="N218" s="61" t="s">
        <v>91</v>
      </c>
      <c r="O218" s="58" t="s">
        <v>5537</v>
      </c>
      <c r="P218" s="61" t="n">
        <v>59</v>
      </c>
    </row>
    <row r="219" customFormat="false" ht="15" hidden="false" customHeight="false" outlineLevel="0" collapsed="false">
      <c r="A219" s="22" t="s">
        <v>5545</v>
      </c>
      <c r="B219" s="17" t="s">
        <v>4332</v>
      </c>
      <c r="C219" s="17" t="s">
        <v>154</v>
      </c>
      <c r="D219" s="55" t="s">
        <v>5546</v>
      </c>
      <c r="E219" s="17" t="s">
        <v>221</v>
      </c>
      <c r="F219" s="56" t="s">
        <v>5547</v>
      </c>
      <c r="G219" s="17" t="s">
        <v>5548</v>
      </c>
      <c r="H219" s="17"/>
      <c r="I219" s="17" t="s">
        <v>5549</v>
      </c>
      <c r="J219" s="17"/>
      <c r="K219" s="17"/>
      <c r="L219" s="17" t="s">
        <v>5550</v>
      </c>
      <c r="M219" s="17" t="s">
        <v>5551</v>
      </c>
      <c r="N219" s="15" t="s">
        <v>91</v>
      </c>
      <c r="O219" s="17" t="s">
        <v>5537</v>
      </c>
      <c r="P219" s="15" t="n">
        <v>69</v>
      </c>
    </row>
    <row r="220" customFormat="false" ht="32.8" hidden="false" customHeight="false" outlineLevel="0" collapsed="false">
      <c r="A220" s="57" t="s">
        <v>5552</v>
      </c>
      <c r="B220" s="58" t="s">
        <v>4332</v>
      </c>
      <c r="C220" s="58" t="s">
        <v>154</v>
      </c>
      <c r="D220" s="59" t="s">
        <v>5553</v>
      </c>
      <c r="E220" s="58" t="s">
        <v>221</v>
      </c>
      <c r="F220" s="60" t="s">
        <v>5554</v>
      </c>
      <c r="G220" s="58" t="s">
        <v>5555</v>
      </c>
      <c r="H220" s="58" t="s">
        <v>5556</v>
      </c>
      <c r="I220" s="58" t="s">
        <v>5557</v>
      </c>
      <c r="J220" s="58"/>
      <c r="K220" s="58"/>
      <c r="L220" s="58" t="s">
        <v>5558</v>
      </c>
      <c r="M220" s="58" t="s">
        <v>5559</v>
      </c>
      <c r="N220" s="61" t="s">
        <v>91</v>
      </c>
      <c r="O220" s="58" t="s">
        <v>5537</v>
      </c>
      <c r="P220" s="61" t="n">
        <v>75</v>
      </c>
    </row>
    <row r="221" customFormat="false" ht="22.35" hidden="false" customHeight="false" outlineLevel="0" collapsed="false">
      <c r="A221" s="22" t="s">
        <v>5560</v>
      </c>
      <c r="B221" s="17" t="s">
        <v>4332</v>
      </c>
      <c r="C221" s="17" t="s">
        <v>154</v>
      </c>
      <c r="D221" s="55" t="s">
        <v>5561</v>
      </c>
      <c r="E221" s="17" t="s">
        <v>221</v>
      </c>
      <c r="F221" s="56" t="s">
        <v>5562</v>
      </c>
      <c r="G221" s="17" t="s">
        <v>5563</v>
      </c>
      <c r="H221" s="17" t="s">
        <v>5564</v>
      </c>
      <c r="I221" s="17" t="s">
        <v>5565</v>
      </c>
      <c r="J221" s="17"/>
      <c r="K221" s="17"/>
      <c r="L221" s="17" t="s">
        <v>5566</v>
      </c>
      <c r="M221" s="17" t="s">
        <v>5567</v>
      </c>
      <c r="N221" s="15" t="s">
        <v>91</v>
      </c>
      <c r="O221" s="17" t="s">
        <v>5537</v>
      </c>
      <c r="P221" s="15" t="n">
        <v>80</v>
      </c>
    </row>
    <row r="222" customFormat="false" ht="32.8" hidden="false" customHeight="false" outlineLevel="0" collapsed="false">
      <c r="A222" s="57" t="s">
        <v>5568</v>
      </c>
      <c r="B222" s="58" t="s">
        <v>4332</v>
      </c>
      <c r="C222" s="58" t="s">
        <v>154</v>
      </c>
      <c r="D222" s="59" t="s">
        <v>5569</v>
      </c>
      <c r="E222" s="58" t="s">
        <v>221</v>
      </c>
      <c r="F222" s="60" t="s">
        <v>5570</v>
      </c>
      <c r="G222" s="58" t="s">
        <v>5571</v>
      </c>
      <c r="H222" s="58" t="s">
        <v>5572</v>
      </c>
      <c r="I222" s="58" t="s">
        <v>5573</v>
      </c>
      <c r="J222" s="58"/>
      <c r="K222" s="58" t="s">
        <v>439</v>
      </c>
      <c r="L222" s="58" t="s">
        <v>5574</v>
      </c>
      <c r="M222" s="58" t="s">
        <v>5575</v>
      </c>
      <c r="N222" s="61" t="s">
        <v>91</v>
      </c>
      <c r="O222" s="58" t="s">
        <v>5537</v>
      </c>
      <c r="P222" s="61" t="n">
        <v>86</v>
      </c>
    </row>
    <row r="223" customFormat="false" ht="22.35" hidden="false" customHeight="false" outlineLevel="0" collapsed="false">
      <c r="A223" s="22" t="s">
        <v>5576</v>
      </c>
      <c r="B223" s="17" t="s">
        <v>4332</v>
      </c>
      <c r="C223" s="17" t="s">
        <v>154</v>
      </c>
      <c r="D223" s="55" t="s">
        <v>5577</v>
      </c>
      <c r="E223" s="17" t="s">
        <v>221</v>
      </c>
      <c r="F223" s="56" t="s">
        <v>5578</v>
      </c>
      <c r="G223" s="17" t="s">
        <v>5579</v>
      </c>
      <c r="H223" s="17" t="s">
        <v>5564</v>
      </c>
      <c r="I223" s="17" t="s">
        <v>5580</v>
      </c>
      <c r="J223" s="17"/>
      <c r="K223" s="17"/>
      <c r="L223" s="17" t="s">
        <v>5581</v>
      </c>
      <c r="M223" s="17" t="s">
        <v>5582</v>
      </c>
      <c r="N223" s="15" t="s">
        <v>91</v>
      </c>
      <c r="O223" s="17" t="s">
        <v>5537</v>
      </c>
      <c r="P223" s="15" t="n">
        <v>93</v>
      </c>
    </row>
    <row r="224" customFormat="false" ht="22.35" hidden="false" customHeight="false" outlineLevel="0" collapsed="false">
      <c r="A224" s="57" t="s">
        <v>5583</v>
      </c>
      <c r="B224" s="58" t="s">
        <v>4332</v>
      </c>
      <c r="C224" s="58" t="s">
        <v>154</v>
      </c>
      <c r="D224" s="59" t="s">
        <v>5584</v>
      </c>
      <c r="E224" s="58" t="s">
        <v>221</v>
      </c>
      <c r="F224" s="60" t="s">
        <v>5585</v>
      </c>
      <c r="G224" s="58" t="s">
        <v>5586</v>
      </c>
      <c r="H224" s="58"/>
      <c r="I224" s="58" t="s">
        <v>3235</v>
      </c>
      <c r="J224" s="58"/>
      <c r="K224" s="58"/>
      <c r="L224" s="58"/>
      <c r="M224" s="58" t="s">
        <v>5587</v>
      </c>
      <c r="N224" s="61" t="s">
        <v>91</v>
      </c>
      <c r="O224" s="58" t="s">
        <v>5537</v>
      </c>
      <c r="P224" s="61" t="n">
        <v>102</v>
      </c>
    </row>
    <row r="225" customFormat="false" ht="22.35" hidden="false" customHeight="false" outlineLevel="0" collapsed="false">
      <c r="A225" s="22" t="s">
        <v>5588</v>
      </c>
      <c r="B225" s="17" t="s">
        <v>4332</v>
      </c>
      <c r="C225" s="17" t="s">
        <v>154</v>
      </c>
      <c r="D225" s="55" t="s">
        <v>5589</v>
      </c>
      <c r="E225" s="17" t="s">
        <v>221</v>
      </c>
      <c r="F225" s="56" t="s">
        <v>5590</v>
      </c>
      <c r="G225" s="17" t="s">
        <v>5591</v>
      </c>
      <c r="H225" s="17"/>
      <c r="I225" s="17"/>
      <c r="J225" s="17"/>
      <c r="K225" s="17"/>
      <c r="L225" s="17" t="s">
        <v>5592</v>
      </c>
      <c r="M225" s="17" t="s">
        <v>5593</v>
      </c>
      <c r="N225" s="15" t="s">
        <v>91</v>
      </c>
      <c r="O225" s="17" t="s">
        <v>5537</v>
      </c>
      <c r="P225" s="15" t="n">
        <v>106</v>
      </c>
    </row>
    <row r="226" customFormat="false" ht="22.35" hidden="false" customHeight="false" outlineLevel="0" collapsed="false">
      <c r="A226" s="57" t="s">
        <v>5594</v>
      </c>
      <c r="B226" s="58" t="s">
        <v>4332</v>
      </c>
      <c r="C226" s="58" t="s">
        <v>154</v>
      </c>
      <c r="D226" s="59" t="s">
        <v>5595</v>
      </c>
      <c r="E226" s="58" t="s">
        <v>221</v>
      </c>
      <c r="F226" s="60" t="s">
        <v>5596</v>
      </c>
      <c r="G226" s="58" t="s">
        <v>5597</v>
      </c>
      <c r="H226" s="58" t="s">
        <v>5598</v>
      </c>
      <c r="I226" s="58" t="s">
        <v>5599</v>
      </c>
      <c r="J226" s="58"/>
      <c r="K226" s="58"/>
      <c r="L226" s="58" t="s">
        <v>5600</v>
      </c>
      <c r="M226" s="58" t="s">
        <v>5601</v>
      </c>
      <c r="N226" s="61" t="s">
        <v>91</v>
      </c>
      <c r="O226" s="58" t="s">
        <v>5537</v>
      </c>
      <c r="P226" s="61" t="n">
        <v>112</v>
      </c>
    </row>
    <row r="227" customFormat="false" ht="22.35" hidden="false" customHeight="false" outlineLevel="0" collapsed="false">
      <c r="A227" s="22" t="s">
        <v>5602</v>
      </c>
      <c r="B227" s="17" t="s">
        <v>4332</v>
      </c>
      <c r="C227" s="17" t="s">
        <v>154</v>
      </c>
      <c r="D227" s="55" t="s">
        <v>5603</v>
      </c>
      <c r="E227" s="17" t="s">
        <v>221</v>
      </c>
      <c r="F227" s="56" t="s">
        <v>5604</v>
      </c>
      <c r="G227" s="17" t="s">
        <v>5605</v>
      </c>
      <c r="H227" s="17" t="s">
        <v>5606</v>
      </c>
      <c r="I227" s="17" t="s">
        <v>5607</v>
      </c>
      <c r="J227" s="17"/>
      <c r="K227" s="17"/>
      <c r="L227" s="17" t="s">
        <v>5608</v>
      </c>
      <c r="M227" s="17" t="s">
        <v>5609</v>
      </c>
      <c r="N227" s="15" t="s">
        <v>91</v>
      </c>
      <c r="O227" s="17" t="s">
        <v>5537</v>
      </c>
      <c r="P227" s="15" t="n">
        <v>115</v>
      </c>
    </row>
    <row r="228" customFormat="false" ht="22.35" hidden="false" customHeight="false" outlineLevel="0" collapsed="false">
      <c r="A228" s="57" t="s">
        <v>5610</v>
      </c>
      <c r="B228" s="58" t="s">
        <v>4332</v>
      </c>
      <c r="C228" s="58" t="s">
        <v>154</v>
      </c>
      <c r="D228" s="59" t="s">
        <v>5611</v>
      </c>
      <c r="E228" s="58" t="s">
        <v>221</v>
      </c>
      <c r="F228" s="60" t="s">
        <v>5612</v>
      </c>
      <c r="G228" s="58" t="s">
        <v>5613</v>
      </c>
      <c r="H228" s="58" t="s">
        <v>5614</v>
      </c>
      <c r="I228" s="58" t="s">
        <v>3235</v>
      </c>
      <c r="J228" s="58"/>
      <c r="K228" s="58"/>
      <c r="L228" s="58" t="s">
        <v>5615</v>
      </c>
      <c r="M228" s="58" t="s">
        <v>5616</v>
      </c>
      <c r="N228" s="61" t="s">
        <v>91</v>
      </c>
      <c r="O228" s="58" t="s">
        <v>5537</v>
      </c>
      <c r="P228" s="61" t="n">
        <v>116</v>
      </c>
    </row>
    <row r="229" customFormat="false" ht="22.35" hidden="false" customHeight="false" outlineLevel="0" collapsed="false">
      <c r="A229" s="22" t="s">
        <v>5617</v>
      </c>
      <c r="B229" s="17" t="s">
        <v>4332</v>
      </c>
      <c r="C229" s="17" t="s">
        <v>154</v>
      </c>
      <c r="D229" s="55" t="s">
        <v>5618</v>
      </c>
      <c r="E229" s="17" t="s">
        <v>243</v>
      </c>
      <c r="F229" s="56" t="s">
        <v>5619</v>
      </c>
      <c r="G229" s="17" t="s">
        <v>5620</v>
      </c>
      <c r="H229" s="17"/>
      <c r="I229" s="17"/>
      <c r="J229" s="17"/>
      <c r="K229" s="17"/>
      <c r="L229" s="17" t="s">
        <v>5621</v>
      </c>
      <c r="M229" s="17"/>
      <c r="N229" s="15" t="s">
        <v>91</v>
      </c>
      <c r="O229" s="17" t="s">
        <v>5537</v>
      </c>
      <c r="P229" s="15" t="n">
        <v>125</v>
      </c>
    </row>
    <row r="230" customFormat="false" ht="32.8" hidden="false" customHeight="false" outlineLevel="0" collapsed="false">
      <c r="A230" s="57" t="s">
        <v>5622</v>
      </c>
      <c r="B230" s="58" t="s">
        <v>4332</v>
      </c>
      <c r="C230" s="58" t="s">
        <v>154</v>
      </c>
      <c r="D230" s="59" t="s">
        <v>5623</v>
      </c>
      <c r="E230" s="58" t="s">
        <v>225</v>
      </c>
      <c r="F230" s="60" t="s">
        <v>5624</v>
      </c>
      <c r="G230" s="58" t="s">
        <v>5625</v>
      </c>
      <c r="H230" s="58" t="s">
        <v>5626</v>
      </c>
      <c r="I230" s="58" t="s">
        <v>5627</v>
      </c>
      <c r="J230" s="58" t="s">
        <v>5628</v>
      </c>
      <c r="K230" s="58" t="s">
        <v>439</v>
      </c>
      <c r="L230" s="58" t="s">
        <v>5629</v>
      </c>
      <c r="M230" s="58" t="s">
        <v>5630</v>
      </c>
      <c r="N230" s="61" t="s">
        <v>91</v>
      </c>
      <c r="O230" s="58" t="s">
        <v>5537</v>
      </c>
      <c r="P230" s="61" t="n">
        <v>131</v>
      </c>
    </row>
    <row r="231" customFormat="false" ht="22.35" hidden="false" customHeight="false" outlineLevel="0" collapsed="false">
      <c r="A231" s="22" t="s">
        <v>5631</v>
      </c>
      <c r="B231" s="17" t="s">
        <v>4332</v>
      </c>
      <c r="C231" s="17" t="s">
        <v>154</v>
      </c>
      <c r="D231" s="55" t="s">
        <v>5632</v>
      </c>
      <c r="E231" s="17" t="s">
        <v>225</v>
      </c>
      <c r="F231" s="56" t="s">
        <v>5633</v>
      </c>
      <c r="G231" s="17" t="s">
        <v>5634</v>
      </c>
      <c r="H231" s="17" t="s">
        <v>5635</v>
      </c>
      <c r="I231" s="17" t="s">
        <v>3235</v>
      </c>
      <c r="J231" s="17"/>
      <c r="K231" s="17" t="s">
        <v>5636</v>
      </c>
      <c r="L231" s="17" t="s">
        <v>5637</v>
      </c>
      <c r="M231" s="17" t="s">
        <v>5638</v>
      </c>
      <c r="N231" s="15" t="s">
        <v>91</v>
      </c>
      <c r="O231" s="17" t="s">
        <v>5537</v>
      </c>
      <c r="P231" s="15" t="n">
        <v>132</v>
      </c>
    </row>
    <row r="232" customFormat="false" ht="32.8" hidden="false" customHeight="false" outlineLevel="0" collapsed="false">
      <c r="A232" s="57" t="s">
        <v>5639</v>
      </c>
      <c r="B232" s="58" t="s">
        <v>4332</v>
      </c>
      <c r="C232" s="58" t="s">
        <v>154</v>
      </c>
      <c r="D232" s="59" t="s">
        <v>5640</v>
      </c>
      <c r="E232" s="58" t="s">
        <v>225</v>
      </c>
      <c r="F232" s="60" t="s">
        <v>5641</v>
      </c>
      <c r="G232" s="58" t="s">
        <v>5642</v>
      </c>
      <c r="H232" s="58" t="s">
        <v>5643</v>
      </c>
      <c r="I232" s="58" t="s">
        <v>3235</v>
      </c>
      <c r="J232" s="58"/>
      <c r="K232" s="58"/>
      <c r="L232" s="58" t="s">
        <v>5644</v>
      </c>
      <c r="M232" s="58" t="s">
        <v>5645</v>
      </c>
      <c r="N232" s="61" t="s">
        <v>91</v>
      </c>
      <c r="O232" s="58" t="s">
        <v>5537</v>
      </c>
      <c r="P232" s="61" t="n">
        <v>133</v>
      </c>
    </row>
    <row r="233" customFormat="false" ht="22.35" hidden="false" customHeight="false" outlineLevel="0" collapsed="false">
      <c r="A233" s="22" t="s">
        <v>5646</v>
      </c>
      <c r="B233" s="17" t="s">
        <v>4332</v>
      </c>
      <c r="C233" s="17" t="s">
        <v>154</v>
      </c>
      <c r="D233" s="55" t="s">
        <v>5647</v>
      </c>
      <c r="E233" s="17" t="s">
        <v>225</v>
      </c>
      <c r="F233" s="56" t="s">
        <v>5648</v>
      </c>
      <c r="G233" s="17" t="s">
        <v>5649</v>
      </c>
      <c r="H233" s="17" t="s">
        <v>5643</v>
      </c>
      <c r="I233" s="17" t="s">
        <v>3235</v>
      </c>
      <c r="J233" s="17"/>
      <c r="K233" s="17"/>
      <c r="L233" s="17" t="s">
        <v>5650</v>
      </c>
      <c r="M233" s="17" t="s">
        <v>5651</v>
      </c>
      <c r="N233" s="15" t="s">
        <v>91</v>
      </c>
      <c r="O233" s="17" t="s">
        <v>5537</v>
      </c>
      <c r="P233" s="15" t="n">
        <v>134</v>
      </c>
    </row>
    <row r="234" customFormat="false" ht="15" hidden="false" customHeight="false" outlineLevel="0" collapsed="false">
      <c r="A234" s="57" t="s">
        <v>5652</v>
      </c>
      <c r="B234" s="58" t="s">
        <v>4332</v>
      </c>
      <c r="C234" s="58" t="s">
        <v>154</v>
      </c>
      <c r="D234" s="59" t="s">
        <v>5653</v>
      </c>
      <c r="E234" s="58" t="s">
        <v>225</v>
      </c>
      <c r="F234" s="60" t="s">
        <v>5654</v>
      </c>
      <c r="G234" s="58" t="s">
        <v>5655</v>
      </c>
      <c r="H234" s="58" t="s">
        <v>5656</v>
      </c>
      <c r="I234" s="58" t="s">
        <v>3235</v>
      </c>
      <c r="J234" s="58" t="s">
        <v>5657</v>
      </c>
      <c r="K234" s="58" t="s">
        <v>439</v>
      </c>
      <c r="L234" s="58" t="s">
        <v>5658</v>
      </c>
      <c r="M234" s="58" t="s">
        <v>5659</v>
      </c>
      <c r="N234" s="61" t="s">
        <v>91</v>
      </c>
      <c r="O234" s="58" t="s">
        <v>5537</v>
      </c>
      <c r="P234" s="61" t="n">
        <v>135</v>
      </c>
    </row>
    <row r="235" customFormat="false" ht="22.35" hidden="false" customHeight="false" outlineLevel="0" collapsed="false">
      <c r="A235" s="22" t="s">
        <v>5660</v>
      </c>
      <c r="B235" s="17" t="s">
        <v>4332</v>
      </c>
      <c r="C235" s="17" t="s">
        <v>154</v>
      </c>
      <c r="D235" s="55" t="s">
        <v>5661</v>
      </c>
      <c r="E235" s="17" t="s">
        <v>225</v>
      </c>
      <c r="F235" s="56" t="s">
        <v>5662</v>
      </c>
      <c r="G235" s="17" t="s">
        <v>5663</v>
      </c>
      <c r="H235" s="17" t="s">
        <v>5664</v>
      </c>
      <c r="I235" s="17" t="s">
        <v>3235</v>
      </c>
      <c r="J235" s="17"/>
      <c r="K235" s="17" t="s">
        <v>439</v>
      </c>
      <c r="L235" s="17" t="s">
        <v>5665</v>
      </c>
      <c r="M235" s="17" t="s">
        <v>5666</v>
      </c>
      <c r="N235" s="15" t="s">
        <v>91</v>
      </c>
      <c r="O235" s="17" t="s">
        <v>5537</v>
      </c>
      <c r="P235" s="15" t="n">
        <v>138</v>
      </c>
    </row>
    <row r="236" customFormat="false" ht="22.35" hidden="false" customHeight="false" outlineLevel="0" collapsed="false">
      <c r="A236" s="57" t="s">
        <v>5667</v>
      </c>
      <c r="B236" s="58" t="s">
        <v>4332</v>
      </c>
      <c r="C236" s="58" t="s">
        <v>154</v>
      </c>
      <c r="D236" s="59" t="s">
        <v>5668</v>
      </c>
      <c r="E236" s="58" t="s">
        <v>225</v>
      </c>
      <c r="F236" s="60" t="s">
        <v>5669</v>
      </c>
      <c r="G236" s="58" t="s">
        <v>5670</v>
      </c>
      <c r="H236" s="58" t="s">
        <v>5671</v>
      </c>
      <c r="I236" s="58" t="s">
        <v>3235</v>
      </c>
      <c r="J236" s="58"/>
      <c r="K236" s="58"/>
      <c r="L236" s="58" t="s">
        <v>5672</v>
      </c>
      <c r="M236" s="58" t="s">
        <v>5673</v>
      </c>
      <c r="N236" s="61" t="s">
        <v>91</v>
      </c>
      <c r="O236" s="58" t="s">
        <v>5537</v>
      </c>
      <c r="P236" s="61" t="n">
        <v>139</v>
      </c>
    </row>
    <row r="237" customFormat="false" ht="22.35" hidden="false" customHeight="false" outlineLevel="0" collapsed="false">
      <c r="A237" s="22" t="s">
        <v>5674</v>
      </c>
      <c r="B237" s="17" t="s">
        <v>4332</v>
      </c>
      <c r="C237" s="17" t="s">
        <v>154</v>
      </c>
      <c r="D237" s="55" t="s">
        <v>5675</v>
      </c>
      <c r="E237" s="17" t="s">
        <v>225</v>
      </c>
      <c r="F237" s="56" t="s">
        <v>5676</v>
      </c>
      <c r="G237" s="17" t="s">
        <v>5677</v>
      </c>
      <c r="H237" s="17" t="s">
        <v>5678</v>
      </c>
      <c r="I237" s="17" t="s">
        <v>3235</v>
      </c>
      <c r="J237" s="17" t="s">
        <v>5679</v>
      </c>
      <c r="K237" s="17" t="s">
        <v>492</v>
      </c>
      <c r="L237" s="17" t="s">
        <v>5680</v>
      </c>
      <c r="M237" s="17" t="s">
        <v>5681</v>
      </c>
      <c r="N237" s="15" t="s">
        <v>91</v>
      </c>
      <c r="O237" s="17" t="s">
        <v>5537</v>
      </c>
      <c r="P237" s="15" t="n">
        <v>140</v>
      </c>
    </row>
    <row r="238" customFormat="false" ht="22.35" hidden="false" customHeight="false" outlineLevel="0" collapsed="false">
      <c r="A238" s="57" t="s">
        <v>5682</v>
      </c>
      <c r="B238" s="58" t="s">
        <v>4332</v>
      </c>
      <c r="C238" s="58" t="s">
        <v>154</v>
      </c>
      <c r="D238" s="59" t="s">
        <v>5683</v>
      </c>
      <c r="E238" s="58" t="s">
        <v>225</v>
      </c>
      <c r="F238" s="60" t="s">
        <v>5684</v>
      </c>
      <c r="G238" s="58" t="s">
        <v>5685</v>
      </c>
      <c r="H238" s="58" t="s">
        <v>5686</v>
      </c>
      <c r="I238" s="58" t="s">
        <v>3235</v>
      </c>
      <c r="J238" s="58" t="s">
        <v>5687</v>
      </c>
      <c r="K238" s="58"/>
      <c r="L238" s="58" t="s">
        <v>5688</v>
      </c>
      <c r="M238" s="58" t="s">
        <v>5689</v>
      </c>
      <c r="N238" s="61" t="s">
        <v>91</v>
      </c>
      <c r="O238" s="58" t="s">
        <v>5537</v>
      </c>
      <c r="P238" s="61" t="n">
        <v>141</v>
      </c>
    </row>
    <row r="239" customFormat="false" ht="22.35" hidden="false" customHeight="false" outlineLevel="0" collapsed="false">
      <c r="A239" s="22" t="s">
        <v>5690</v>
      </c>
      <c r="B239" s="17" t="s">
        <v>4332</v>
      </c>
      <c r="C239" s="17" t="s">
        <v>154</v>
      </c>
      <c r="D239" s="55" t="s">
        <v>5691</v>
      </c>
      <c r="E239" s="17" t="s">
        <v>225</v>
      </c>
      <c r="F239" s="56" t="s">
        <v>5692</v>
      </c>
      <c r="G239" s="17" t="s">
        <v>5693</v>
      </c>
      <c r="H239" s="17" t="s">
        <v>5694</v>
      </c>
      <c r="I239" s="17" t="s">
        <v>3235</v>
      </c>
      <c r="J239" s="17" t="s">
        <v>5695</v>
      </c>
      <c r="K239" s="17" t="s">
        <v>517</v>
      </c>
      <c r="L239" s="17" t="s">
        <v>5696</v>
      </c>
      <c r="M239" s="17" t="s">
        <v>5697</v>
      </c>
      <c r="N239" s="15" t="s">
        <v>91</v>
      </c>
      <c r="O239" s="17" t="s">
        <v>5537</v>
      </c>
      <c r="P239" s="15" t="n">
        <v>142</v>
      </c>
    </row>
    <row r="240" customFormat="false" ht="22.35" hidden="false" customHeight="false" outlineLevel="0" collapsed="false">
      <c r="A240" s="57" t="s">
        <v>5698</v>
      </c>
      <c r="B240" s="58" t="s">
        <v>4332</v>
      </c>
      <c r="C240" s="58" t="s">
        <v>154</v>
      </c>
      <c r="D240" s="59" t="s">
        <v>5699</v>
      </c>
      <c r="E240" s="58" t="s">
        <v>225</v>
      </c>
      <c r="F240" s="60" t="s">
        <v>5700</v>
      </c>
      <c r="G240" s="58" t="s">
        <v>5701</v>
      </c>
      <c r="H240" s="58" t="s">
        <v>5702</v>
      </c>
      <c r="I240" s="58" t="s">
        <v>3235</v>
      </c>
      <c r="J240" s="58" t="s">
        <v>5703</v>
      </c>
      <c r="K240" s="58"/>
      <c r="L240" s="58" t="s">
        <v>5704</v>
      </c>
      <c r="M240" s="58" t="s">
        <v>5705</v>
      </c>
      <c r="N240" s="61" t="s">
        <v>91</v>
      </c>
      <c r="O240" s="58" t="s">
        <v>5537</v>
      </c>
      <c r="P240" s="61" t="n">
        <v>143</v>
      </c>
    </row>
    <row r="241" customFormat="false" ht="32.8" hidden="false" customHeight="false" outlineLevel="0" collapsed="false">
      <c r="A241" s="22" t="s">
        <v>5706</v>
      </c>
      <c r="B241" s="17" t="s">
        <v>4332</v>
      </c>
      <c r="C241" s="17" t="s">
        <v>154</v>
      </c>
      <c r="D241" s="55" t="s">
        <v>5707</v>
      </c>
      <c r="E241" s="17" t="s">
        <v>225</v>
      </c>
      <c r="F241" s="56" t="s">
        <v>5708</v>
      </c>
      <c r="G241" s="17" t="s">
        <v>5709</v>
      </c>
      <c r="H241" s="17" t="s">
        <v>631</v>
      </c>
      <c r="I241" s="17" t="s">
        <v>3235</v>
      </c>
      <c r="J241" s="17"/>
      <c r="K241" s="17"/>
      <c r="L241" s="17" t="s">
        <v>5710</v>
      </c>
      <c r="M241" s="17" t="s">
        <v>5711</v>
      </c>
      <c r="N241" s="15" t="s">
        <v>91</v>
      </c>
      <c r="O241" s="17" t="s">
        <v>5537</v>
      </c>
      <c r="P241" s="15" t="n">
        <v>144</v>
      </c>
    </row>
    <row r="242" customFormat="false" ht="32.8" hidden="false" customHeight="false" outlineLevel="0" collapsed="false">
      <c r="A242" s="57" t="s">
        <v>5712</v>
      </c>
      <c r="B242" s="58" t="s">
        <v>4332</v>
      </c>
      <c r="C242" s="58" t="s">
        <v>154</v>
      </c>
      <c r="D242" s="59" t="s">
        <v>5713</v>
      </c>
      <c r="E242" s="58" t="s">
        <v>225</v>
      </c>
      <c r="F242" s="60" t="s">
        <v>5714</v>
      </c>
      <c r="G242" s="58" t="s">
        <v>5715</v>
      </c>
      <c r="H242" s="58" t="s">
        <v>5716</v>
      </c>
      <c r="I242" s="58" t="s">
        <v>5717</v>
      </c>
      <c r="J242" s="58"/>
      <c r="K242" s="58"/>
      <c r="L242" s="58" t="s">
        <v>5718</v>
      </c>
      <c r="M242" s="58" t="s">
        <v>5719</v>
      </c>
      <c r="N242" s="61" t="s">
        <v>91</v>
      </c>
      <c r="O242" s="58" t="s">
        <v>5537</v>
      </c>
      <c r="P242" s="61" t="n">
        <v>145</v>
      </c>
    </row>
    <row r="243" customFormat="false" ht="22.35" hidden="false" customHeight="false" outlineLevel="0" collapsed="false">
      <c r="A243" s="22" t="s">
        <v>5720</v>
      </c>
      <c r="B243" s="17" t="s">
        <v>4332</v>
      </c>
      <c r="C243" s="17" t="s">
        <v>154</v>
      </c>
      <c r="D243" s="55" t="s">
        <v>5721</v>
      </c>
      <c r="E243" s="17" t="s">
        <v>225</v>
      </c>
      <c r="F243" s="56" t="s">
        <v>5722</v>
      </c>
      <c r="G243" s="17" t="s">
        <v>5723</v>
      </c>
      <c r="H243" s="17"/>
      <c r="I243" s="17" t="s">
        <v>3235</v>
      </c>
      <c r="J243" s="17"/>
      <c r="K243" s="17"/>
      <c r="L243" s="17" t="s">
        <v>5724</v>
      </c>
      <c r="M243" s="17" t="s">
        <v>5725</v>
      </c>
      <c r="N243" s="15" t="s">
        <v>91</v>
      </c>
      <c r="O243" s="17" t="s">
        <v>5537</v>
      </c>
      <c r="P243" s="15" t="n">
        <v>146</v>
      </c>
    </row>
    <row r="244" customFormat="false" ht="22.35" hidden="false" customHeight="false" outlineLevel="0" collapsed="false">
      <c r="A244" s="57" t="s">
        <v>5726</v>
      </c>
      <c r="B244" s="58" t="s">
        <v>4332</v>
      </c>
      <c r="C244" s="58" t="s">
        <v>154</v>
      </c>
      <c r="D244" s="59" t="s">
        <v>5727</v>
      </c>
      <c r="E244" s="58" t="s">
        <v>225</v>
      </c>
      <c r="F244" s="60" t="s">
        <v>5728</v>
      </c>
      <c r="G244" s="58" t="s">
        <v>5729</v>
      </c>
      <c r="H244" s="58"/>
      <c r="I244" s="58" t="s">
        <v>3235</v>
      </c>
      <c r="J244" s="58"/>
      <c r="K244" s="58"/>
      <c r="L244" s="58" t="s">
        <v>5730</v>
      </c>
      <c r="M244" s="58" t="s">
        <v>5731</v>
      </c>
      <c r="N244" s="61" t="s">
        <v>91</v>
      </c>
      <c r="O244" s="58" t="s">
        <v>5537</v>
      </c>
      <c r="P244" s="61" t="n">
        <v>147</v>
      </c>
    </row>
    <row r="245" customFormat="false" ht="22.35" hidden="false" customHeight="false" outlineLevel="0" collapsed="false">
      <c r="A245" s="22" t="s">
        <v>5732</v>
      </c>
      <c r="B245" s="17" t="s">
        <v>4332</v>
      </c>
      <c r="C245" s="17" t="s">
        <v>154</v>
      </c>
      <c r="D245" s="55" t="s">
        <v>5733</v>
      </c>
      <c r="E245" s="17" t="s">
        <v>225</v>
      </c>
      <c r="F245" s="56" t="s">
        <v>5734</v>
      </c>
      <c r="G245" s="17" t="s">
        <v>5735</v>
      </c>
      <c r="H245" s="17"/>
      <c r="I245" s="17" t="s">
        <v>3235</v>
      </c>
      <c r="J245" s="17"/>
      <c r="K245" s="17"/>
      <c r="L245" s="17" t="s">
        <v>5736</v>
      </c>
      <c r="M245" s="17" t="s">
        <v>5737</v>
      </c>
      <c r="N245" s="15" t="s">
        <v>91</v>
      </c>
      <c r="O245" s="17" t="s">
        <v>5537</v>
      </c>
      <c r="P245" s="15" t="n">
        <v>148</v>
      </c>
    </row>
    <row r="246" customFormat="false" ht="22.35" hidden="false" customHeight="false" outlineLevel="0" collapsed="false">
      <c r="A246" s="57" t="s">
        <v>5738</v>
      </c>
      <c r="B246" s="58" t="s">
        <v>4332</v>
      </c>
      <c r="C246" s="58" t="s">
        <v>154</v>
      </c>
      <c r="D246" s="59" t="s">
        <v>5739</v>
      </c>
      <c r="E246" s="58" t="s">
        <v>225</v>
      </c>
      <c r="F246" s="60" t="s">
        <v>5740</v>
      </c>
      <c r="G246" s="58" t="s">
        <v>5741</v>
      </c>
      <c r="H246" s="58"/>
      <c r="I246" s="58" t="s">
        <v>3235</v>
      </c>
      <c r="J246" s="58"/>
      <c r="K246" s="58"/>
      <c r="L246" s="58" t="s">
        <v>5742</v>
      </c>
      <c r="M246" s="58" t="s">
        <v>5743</v>
      </c>
      <c r="N246" s="61" t="s">
        <v>91</v>
      </c>
      <c r="O246" s="58" t="s">
        <v>5537</v>
      </c>
      <c r="P246" s="61" t="n">
        <v>149</v>
      </c>
    </row>
    <row r="247" customFormat="false" ht="22.35" hidden="false" customHeight="false" outlineLevel="0" collapsed="false">
      <c r="A247" s="22" t="s">
        <v>5744</v>
      </c>
      <c r="B247" s="17" t="s">
        <v>4332</v>
      </c>
      <c r="C247" s="17" t="s">
        <v>154</v>
      </c>
      <c r="D247" s="55" t="s">
        <v>5745</v>
      </c>
      <c r="E247" s="17" t="s">
        <v>225</v>
      </c>
      <c r="F247" s="56" t="s">
        <v>5746</v>
      </c>
      <c r="G247" s="17" t="s">
        <v>5747</v>
      </c>
      <c r="H247" s="17"/>
      <c r="I247" s="17" t="s">
        <v>3235</v>
      </c>
      <c r="J247" s="17"/>
      <c r="K247" s="17"/>
      <c r="L247" s="17" t="s">
        <v>5748</v>
      </c>
      <c r="M247" s="17" t="s">
        <v>5749</v>
      </c>
      <c r="N247" s="15" t="s">
        <v>91</v>
      </c>
      <c r="O247" s="17" t="s">
        <v>5537</v>
      </c>
      <c r="P247" s="15" t="n">
        <v>150</v>
      </c>
    </row>
    <row r="248" customFormat="false" ht="32.8" hidden="false" customHeight="false" outlineLevel="0" collapsed="false">
      <c r="A248" s="57" t="s">
        <v>5750</v>
      </c>
      <c r="B248" s="58" t="s">
        <v>4332</v>
      </c>
      <c r="C248" s="58" t="s">
        <v>154</v>
      </c>
      <c r="D248" s="59" t="s">
        <v>5751</v>
      </c>
      <c r="E248" s="58" t="s">
        <v>225</v>
      </c>
      <c r="F248" s="60" t="s">
        <v>5752</v>
      </c>
      <c r="G248" s="58" t="s">
        <v>5753</v>
      </c>
      <c r="H248" s="58"/>
      <c r="I248" s="58" t="s">
        <v>3235</v>
      </c>
      <c r="J248" s="58"/>
      <c r="K248" s="58"/>
      <c r="L248" s="58" t="s">
        <v>5754</v>
      </c>
      <c r="M248" s="58" t="s">
        <v>5755</v>
      </c>
      <c r="N248" s="61" t="s">
        <v>91</v>
      </c>
      <c r="O248" s="58" t="s">
        <v>5537</v>
      </c>
      <c r="P248" s="61" t="n">
        <v>155</v>
      </c>
    </row>
    <row r="249" customFormat="false" ht="22.35" hidden="false" customHeight="false" outlineLevel="0" collapsed="false">
      <c r="A249" s="22" t="s">
        <v>5756</v>
      </c>
      <c r="B249" s="17" t="s">
        <v>4332</v>
      </c>
      <c r="C249" s="17" t="s">
        <v>154</v>
      </c>
      <c r="D249" s="55" t="s">
        <v>5757</v>
      </c>
      <c r="E249" s="17" t="s">
        <v>225</v>
      </c>
      <c r="F249" s="56" t="s">
        <v>5758</v>
      </c>
      <c r="G249" s="17" t="s">
        <v>5759</v>
      </c>
      <c r="H249" s="17" t="s">
        <v>5760</v>
      </c>
      <c r="I249" s="17" t="s">
        <v>5607</v>
      </c>
      <c r="J249" s="17"/>
      <c r="K249" s="17"/>
      <c r="L249" s="17" t="s">
        <v>5761</v>
      </c>
      <c r="M249" s="17" t="s">
        <v>5762</v>
      </c>
      <c r="N249" s="15" t="s">
        <v>91</v>
      </c>
      <c r="O249" s="17" t="s">
        <v>5537</v>
      </c>
      <c r="P249" s="15" t="n">
        <v>161</v>
      </c>
    </row>
    <row r="250" customFormat="false" ht="22.35" hidden="false" customHeight="false" outlineLevel="0" collapsed="false">
      <c r="A250" s="57" t="s">
        <v>5763</v>
      </c>
      <c r="B250" s="58" t="s">
        <v>4332</v>
      </c>
      <c r="C250" s="58" t="s">
        <v>154</v>
      </c>
      <c r="D250" s="59" t="s">
        <v>5764</v>
      </c>
      <c r="E250" s="58" t="s">
        <v>221</v>
      </c>
      <c r="F250" s="60" t="s">
        <v>5765</v>
      </c>
      <c r="G250" s="58" t="s">
        <v>5766</v>
      </c>
      <c r="H250" s="58" t="s">
        <v>5564</v>
      </c>
      <c r="I250" s="58" t="s">
        <v>5767</v>
      </c>
      <c r="J250" s="58"/>
      <c r="K250" s="58"/>
      <c r="L250" s="58" t="s">
        <v>5768</v>
      </c>
      <c r="M250" s="58" t="s">
        <v>5769</v>
      </c>
      <c r="N250" s="61" t="s">
        <v>91</v>
      </c>
      <c r="O250" s="58" t="s">
        <v>5537</v>
      </c>
      <c r="P250" s="61" t="n">
        <v>170</v>
      </c>
    </row>
    <row r="251" customFormat="false" ht="22.35" hidden="false" customHeight="false" outlineLevel="0" collapsed="false">
      <c r="A251" s="22" t="s">
        <v>5770</v>
      </c>
      <c r="B251" s="17" t="s">
        <v>4332</v>
      </c>
      <c r="C251" s="17" t="s">
        <v>154</v>
      </c>
      <c r="D251" s="55" t="s">
        <v>3448</v>
      </c>
      <c r="E251" s="17" t="s">
        <v>227</v>
      </c>
      <c r="F251" s="56" t="s">
        <v>5771</v>
      </c>
      <c r="G251" s="17" t="s">
        <v>5772</v>
      </c>
      <c r="H251" s="17"/>
      <c r="I251" s="17" t="s">
        <v>5773</v>
      </c>
      <c r="J251" s="17"/>
      <c r="K251" s="17"/>
      <c r="L251" s="17" t="s">
        <v>3441</v>
      </c>
      <c r="M251" s="17"/>
      <c r="N251" s="15" t="s">
        <v>91</v>
      </c>
      <c r="O251" s="17" t="s">
        <v>5537</v>
      </c>
      <c r="P251" s="15" t="n">
        <v>173</v>
      </c>
    </row>
    <row r="252" customFormat="false" ht="22.35" hidden="false" customHeight="false" outlineLevel="0" collapsed="false">
      <c r="A252" s="57" t="s">
        <v>5774</v>
      </c>
      <c r="B252" s="58" t="s">
        <v>4332</v>
      </c>
      <c r="C252" s="58" t="s">
        <v>154</v>
      </c>
      <c r="D252" s="59" t="s">
        <v>3462</v>
      </c>
      <c r="E252" s="58" t="s">
        <v>227</v>
      </c>
      <c r="F252" s="60" t="s">
        <v>5775</v>
      </c>
      <c r="G252" s="58" t="s">
        <v>5776</v>
      </c>
      <c r="H252" s="58"/>
      <c r="I252" s="58" t="s">
        <v>3461</v>
      </c>
      <c r="J252" s="58"/>
      <c r="K252" s="58"/>
      <c r="L252" s="58" t="s">
        <v>3458</v>
      </c>
      <c r="M252" s="58"/>
      <c r="N252" s="61" t="s">
        <v>91</v>
      </c>
      <c r="O252" s="58" t="s">
        <v>5537</v>
      </c>
      <c r="P252" s="61" t="n">
        <v>174</v>
      </c>
    </row>
    <row r="253" customFormat="false" ht="22.35" hidden="false" customHeight="false" outlineLevel="0" collapsed="false">
      <c r="A253" s="22" t="s">
        <v>5777</v>
      </c>
      <c r="B253" s="17" t="s">
        <v>4332</v>
      </c>
      <c r="C253" s="17" t="s">
        <v>154</v>
      </c>
      <c r="D253" s="55" t="s">
        <v>3455</v>
      </c>
      <c r="E253" s="17" t="s">
        <v>227</v>
      </c>
      <c r="F253" s="56" t="s">
        <v>5778</v>
      </c>
      <c r="G253" s="17" t="s">
        <v>5779</v>
      </c>
      <c r="H253" s="17"/>
      <c r="I253" s="17" t="s">
        <v>5780</v>
      </c>
      <c r="J253" s="17"/>
      <c r="K253" s="17"/>
      <c r="L253" s="17" t="s">
        <v>3451</v>
      </c>
      <c r="M253" s="17"/>
      <c r="N253" s="15" t="s">
        <v>91</v>
      </c>
      <c r="O253" s="17" t="s">
        <v>5537</v>
      </c>
      <c r="P253" s="15" t="n">
        <v>175</v>
      </c>
    </row>
    <row r="254" customFormat="false" ht="22.35" hidden="false" customHeight="false" outlineLevel="0" collapsed="false">
      <c r="A254" s="57" t="s">
        <v>5781</v>
      </c>
      <c r="B254" s="58" t="s">
        <v>4332</v>
      </c>
      <c r="C254" s="58" t="s">
        <v>154</v>
      </c>
      <c r="D254" s="59" t="s">
        <v>3475</v>
      </c>
      <c r="E254" s="58" t="s">
        <v>227</v>
      </c>
      <c r="F254" s="60" t="s">
        <v>5782</v>
      </c>
      <c r="G254" s="58" t="s">
        <v>5783</v>
      </c>
      <c r="H254" s="58"/>
      <c r="I254" s="58" t="s">
        <v>3454</v>
      </c>
      <c r="J254" s="58"/>
      <c r="K254" s="58"/>
      <c r="L254" s="58" t="s">
        <v>3472</v>
      </c>
      <c r="M254" s="58"/>
      <c r="N254" s="61" t="s">
        <v>91</v>
      </c>
      <c r="O254" s="58" t="s">
        <v>5537</v>
      </c>
      <c r="P254" s="61" t="n">
        <v>177</v>
      </c>
    </row>
    <row r="255" customFormat="false" ht="32.8" hidden="false" customHeight="false" outlineLevel="0" collapsed="false">
      <c r="A255" s="22" t="s">
        <v>5784</v>
      </c>
      <c r="B255" s="17" t="s">
        <v>4332</v>
      </c>
      <c r="C255" s="17" t="s">
        <v>154</v>
      </c>
      <c r="D255" s="55" t="s">
        <v>3482</v>
      </c>
      <c r="E255" s="17" t="s">
        <v>227</v>
      </c>
      <c r="F255" s="56" t="s">
        <v>5785</v>
      </c>
      <c r="G255" s="17" t="s">
        <v>5786</v>
      </c>
      <c r="H255" s="17"/>
      <c r="I255" s="17" t="s">
        <v>5787</v>
      </c>
      <c r="J255" s="17"/>
      <c r="K255" s="17"/>
      <c r="L255" s="17" t="s">
        <v>3478</v>
      </c>
      <c r="M255" s="17"/>
      <c r="N255" s="15" t="s">
        <v>91</v>
      </c>
      <c r="O255" s="17" t="s">
        <v>5537</v>
      </c>
      <c r="P255" s="15" t="n">
        <v>179</v>
      </c>
    </row>
    <row r="256" customFormat="false" ht="22.35" hidden="false" customHeight="false" outlineLevel="0" collapsed="false">
      <c r="A256" s="57" t="s">
        <v>5788</v>
      </c>
      <c r="B256" s="58" t="s">
        <v>4332</v>
      </c>
      <c r="C256" s="58" t="s">
        <v>154</v>
      </c>
      <c r="D256" s="59" t="s">
        <v>3488</v>
      </c>
      <c r="E256" s="58" t="s">
        <v>227</v>
      </c>
      <c r="F256" s="60" t="s">
        <v>5789</v>
      </c>
      <c r="G256" s="58" t="s">
        <v>5790</v>
      </c>
      <c r="H256" s="58"/>
      <c r="I256" s="58" t="s">
        <v>3454</v>
      </c>
      <c r="J256" s="58"/>
      <c r="K256" s="58"/>
      <c r="L256" s="58" t="s">
        <v>3485</v>
      </c>
      <c r="M256" s="58"/>
      <c r="N256" s="61" t="s">
        <v>91</v>
      </c>
      <c r="O256" s="58" t="s">
        <v>5537</v>
      </c>
      <c r="P256" s="61" t="n">
        <v>181</v>
      </c>
    </row>
    <row r="257" customFormat="false" ht="15" hidden="false" customHeight="false" outlineLevel="0" collapsed="false">
      <c r="A257" s="22" t="s">
        <v>5791</v>
      </c>
      <c r="B257" s="17" t="s">
        <v>4332</v>
      </c>
      <c r="C257" s="17" t="s">
        <v>154</v>
      </c>
      <c r="D257" s="55" t="s">
        <v>3469</v>
      </c>
      <c r="E257" s="17" t="s">
        <v>227</v>
      </c>
      <c r="F257" s="56" t="s">
        <v>5792</v>
      </c>
      <c r="G257" s="17" t="s">
        <v>5793</v>
      </c>
      <c r="H257" s="17"/>
      <c r="I257" s="17" t="s">
        <v>3468</v>
      </c>
      <c r="J257" s="17"/>
      <c r="K257" s="17"/>
      <c r="L257" s="17" t="s">
        <v>3465</v>
      </c>
      <c r="M257" s="17"/>
      <c r="N257" s="15" t="s">
        <v>91</v>
      </c>
      <c r="O257" s="17" t="s">
        <v>5537</v>
      </c>
      <c r="P257" s="15" t="n">
        <v>183</v>
      </c>
    </row>
    <row r="258" customFormat="false" ht="15" hidden="false" customHeight="false" outlineLevel="0" collapsed="false">
      <c r="A258" s="57" t="s">
        <v>5794</v>
      </c>
      <c r="B258" s="58" t="s">
        <v>4332</v>
      </c>
      <c r="C258" s="58" t="s">
        <v>154</v>
      </c>
      <c r="D258" s="59" t="s">
        <v>3438</v>
      </c>
      <c r="E258" s="58" t="s">
        <v>227</v>
      </c>
      <c r="F258" s="60" t="s">
        <v>5795</v>
      </c>
      <c r="G258" s="58" t="s">
        <v>5796</v>
      </c>
      <c r="H258" s="58"/>
      <c r="I258" s="58" t="s">
        <v>3437</v>
      </c>
      <c r="J258" s="58"/>
      <c r="K258" s="58"/>
      <c r="L258" s="58" t="s">
        <v>3434</v>
      </c>
      <c r="M258" s="58"/>
      <c r="N258" s="61" t="s">
        <v>91</v>
      </c>
      <c r="O258" s="58" t="s">
        <v>5537</v>
      </c>
      <c r="P258" s="61" t="n">
        <v>186</v>
      </c>
    </row>
    <row r="259" customFormat="false" ht="15" hidden="false" customHeight="false" outlineLevel="0" collapsed="false">
      <c r="A259" s="22" t="s">
        <v>5797</v>
      </c>
      <c r="B259" s="17" t="s">
        <v>4332</v>
      </c>
      <c r="C259" s="17" t="s">
        <v>154</v>
      </c>
      <c r="D259" s="55" t="s">
        <v>5798</v>
      </c>
      <c r="E259" s="17" t="s">
        <v>227</v>
      </c>
      <c r="F259" s="56" t="s">
        <v>5799</v>
      </c>
      <c r="G259" s="17" t="s">
        <v>5800</v>
      </c>
      <c r="H259" s="17"/>
      <c r="I259" s="17" t="s">
        <v>5801</v>
      </c>
      <c r="J259" s="17"/>
      <c r="K259" s="17"/>
      <c r="L259" s="17" t="s">
        <v>5802</v>
      </c>
      <c r="M259" s="17"/>
      <c r="N259" s="15" t="s">
        <v>91</v>
      </c>
      <c r="O259" s="17" t="s">
        <v>5537</v>
      </c>
      <c r="P259" s="15" t="n">
        <v>187</v>
      </c>
    </row>
    <row r="260" customFormat="false" ht="15" hidden="false" customHeight="false" outlineLevel="0" collapsed="false">
      <c r="A260" s="57" t="s">
        <v>5803</v>
      </c>
      <c r="B260" s="58" t="s">
        <v>4332</v>
      </c>
      <c r="C260" s="58" t="s">
        <v>154</v>
      </c>
      <c r="D260" s="59" t="s">
        <v>5804</v>
      </c>
      <c r="E260" s="58" t="s">
        <v>227</v>
      </c>
      <c r="F260" s="60" t="s">
        <v>4561</v>
      </c>
      <c r="G260" s="58" t="s">
        <v>5805</v>
      </c>
      <c r="H260" s="58"/>
      <c r="I260" s="58" t="s">
        <v>3299</v>
      </c>
      <c r="J260" s="58"/>
      <c r="K260" s="58"/>
      <c r="L260" s="58" t="s">
        <v>5069</v>
      </c>
      <c r="M260" s="58"/>
      <c r="N260" s="61" t="s">
        <v>91</v>
      </c>
      <c r="O260" s="58" t="s">
        <v>5537</v>
      </c>
      <c r="P260" s="61" t="n">
        <v>188</v>
      </c>
    </row>
    <row r="261" customFormat="false" ht="15" hidden="false" customHeight="false" outlineLevel="0" collapsed="false">
      <c r="A261" s="22" t="s">
        <v>5806</v>
      </c>
      <c r="B261" s="17" t="s">
        <v>4332</v>
      </c>
      <c r="C261" s="17" t="s">
        <v>154</v>
      </c>
      <c r="D261" s="55" t="s">
        <v>5807</v>
      </c>
      <c r="E261" s="17" t="s">
        <v>227</v>
      </c>
      <c r="F261" s="56" t="s">
        <v>5072</v>
      </c>
      <c r="G261" s="17" t="s">
        <v>5808</v>
      </c>
      <c r="H261" s="17"/>
      <c r="I261" s="17" t="s">
        <v>3299</v>
      </c>
      <c r="J261" s="17"/>
      <c r="K261" s="17"/>
      <c r="L261" s="17" t="s">
        <v>5069</v>
      </c>
      <c r="M261" s="17"/>
      <c r="N261" s="15" t="s">
        <v>91</v>
      </c>
      <c r="O261" s="17" t="s">
        <v>5537</v>
      </c>
      <c r="P261" s="15" t="n">
        <v>189</v>
      </c>
    </row>
    <row r="262" customFormat="false" ht="22.35" hidden="false" customHeight="false" outlineLevel="0" collapsed="false">
      <c r="A262" s="57" t="s">
        <v>5809</v>
      </c>
      <c r="B262" s="58" t="s">
        <v>4332</v>
      </c>
      <c r="C262" s="58" t="s">
        <v>154</v>
      </c>
      <c r="D262" s="59" t="s">
        <v>5810</v>
      </c>
      <c r="E262" s="58" t="s">
        <v>227</v>
      </c>
      <c r="F262" s="60" t="s">
        <v>5811</v>
      </c>
      <c r="G262" s="58" t="s">
        <v>5812</v>
      </c>
      <c r="H262" s="58"/>
      <c r="I262" s="58" t="s">
        <v>5813</v>
      </c>
      <c r="J262" s="58"/>
      <c r="K262" s="58"/>
      <c r="L262" s="58" t="s">
        <v>5065</v>
      </c>
      <c r="M262" s="58"/>
      <c r="N262" s="61" t="s">
        <v>91</v>
      </c>
      <c r="O262" s="58" t="s">
        <v>5537</v>
      </c>
      <c r="P262" s="61" t="n">
        <v>191</v>
      </c>
    </row>
    <row r="263" customFormat="false" ht="22.35" hidden="false" customHeight="false" outlineLevel="0" collapsed="false">
      <c r="A263" s="22" t="s">
        <v>5814</v>
      </c>
      <c r="B263" s="17" t="s">
        <v>4332</v>
      </c>
      <c r="C263" s="17" t="s">
        <v>154</v>
      </c>
      <c r="D263" s="55" t="s">
        <v>5815</v>
      </c>
      <c r="E263" s="17" t="s">
        <v>227</v>
      </c>
      <c r="F263" s="56" t="s">
        <v>5816</v>
      </c>
      <c r="G263" s="17" t="s">
        <v>5817</v>
      </c>
      <c r="H263" s="17"/>
      <c r="I263" s="17" t="s">
        <v>5818</v>
      </c>
      <c r="J263" s="17"/>
      <c r="K263" s="17"/>
      <c r="L263" s="17" t="s">
        <v>5819</v>
      </c>
      <c r="M263" s="17"/>
      <c r="N263" s="15" t="s">
        <v>91</v>
      </c>
      <c r="O263" s="17" t="s">
        <v>5537</v>
      </c>
      <c r="P263" s="15" t="n">
        <v>195</v>
      </c>
    </row>
    <row r="264" customFormat="false" ht="32.8" hidden="false" customHeight="false" outlineLevel="0" collapsed="false">
      <c r="A264" s="57" t="s">
        <v>5820</v>
      </c>
      <c r="B264" s="58" t="s">
        <v>4332</v>
      </c>
      <c r="C264" s="58" t="s">
        <v>154</v>
      </c>
      <c r="D264" s="59" t="s">
        <v>5821</v>
      </c>
      <c r="E264" s="58" t="s">
        <v>221</v>
      </c>
      <c r="F264" s="60" t="s">
        <v>5822</v>
      </c>
      <c r="G264" s="58" t="s">
        <v>5823</v>
      </c>
      <c r="H264" s="58" t="s">
        <v>5824</v>
      </c>
      <c r="I264" s="58" t="s">
        <v>5825</v>
      </c>
      <c r="J264" s="58"/>
      <c r="K264" s="58"/>
      <c r="L264" s="58" t="s">
        <v>5826</v>
      </c>
      <c r="M264" s="58" t="s">
        <v>5827</v>
      </c>
      <c r="N264" s="61" t="s">
        <v>91</v>
      </c>
      <c r="O264" s="58" t="s">
        <v>5537</v>
      </c>
      <c r="P264" s="61" t="n">
        <v>198</v>
      </c>
    </row>
    <row r="265" customFormat="false" ht="53.7" hidden="false" customHeight="false" outlineLevel="0" collapsed="false">
      <c r="A265" s="22" t="s">
        <v>5828</v>
      </c>
      <c r="B265" s="17" t="s">
        <v>4332</v>
      </c>
      <c r="C265" s="17" t="s">
        <v>155</v>
      </c>
      <c r="D265" s="55" t="s">
        <v>5829</v>
      </c>
      <c r="E265" s="17" t="s">
        <v>235</v>
      </c>
      <c r="F265" s="56" t="s">
        <v>5830</v>
      </c>
      <c r="G265" s="17" t="s">
        <v>5831</v>
      </c>
      <c r="H265" s="17"/>
      <c r="I265" s="17"/>
      <c r="J265" s="17"/>
      <c r="K265" s="17"/>
      <c r="L265" s="17" t="s">
        <v>5832</v>
      </c>
      <c r="M265" s="17" t="s">
        <v>5833</v>
      </c>
      <c r="N265" s="15" t="s">
        <v>91</v>
      </c>
      <c r="O265" s="17" t="s">
        <v>5834</v>
      </c>
      <c r="P265" s="15" t="n">
        <v>66</v>
      </c>
    </row>
    <row r="266" customFormat="false" ht="22.35" hidden="false" customHeight="false" outlineLevel="0" collapsed="false">
      <c r="A266" s="57" t="s">
        <v>5835</v>
      </c>
      <c r="B266" s="58" t="s">
        <v>4332</v>
      </c>
      <c r="C266" s="58" t="s">
        <v>155</v>
      </c>
      <c r="D266" s="59" t="s">
        <v>5836</v>
      </c>
      <c r="E266" s="58" t="s">
        <v>221</v>
      </c>
      <c r="F266" s="60" t="s">
        <v>5837</v>
      </c>
      <c r="G266" s="58" t="s">
        <v>5838</v>
      </c>
      <c r="H266" s="58" t="s">
        <v>3118</v>
      </c>
      <c r="I266" s="58"/>
      <c r="J266" s="58"/>
      <c r="K266" s="58"/>
      <c r="L266" s="58" t="s">
        <v>3803</v>
      </c>
      <c r="M266" s="58" t="s">
        <v>5839</v>
      </c>
      <c r="N266" s="61" t="s">
        <v>91</v>
      </c>
      <c r="O266" s="58" t="s">
        <v>5834</v>
      </c>
      <c r="P266" s="61" t="n">
        <v>70</v>
      </c>
    </row>
    <row r="267" customFormat="false" ht="22.35" hidden="false" customHeight="false" outlineLevel="0" collapsed="false">
      <c r="A267" s="22" t="s">
        <v>5840</v>
      </c>
      <c r="B267" s="17" t="s">
        <v>4332</v>
      </c>
      <c r="C267" s="17" t="s">
        <v>155</v>
      </c>
      <c r="D267" s="55" t="s">
        <v>5841</v>
      </c>
      <c r="E267" s="17" t="s">
        <v>243</v>
      </c>
      <c r="F267" s="56" t="s">
        <v>5842</v>
      </c>
      <c r="G267" s="17" t="s">
        <v>5843</v>
      </c>
      <c r="H267" s="17"/>
      <c r="I267" s="17"/>
      <c r="J267" s="17"/>
      <c r="K267" s="17"/>
      <c r="L267" s="17" t="s">
        <v>5844</v>
      </c>
      <c r="M267" s="17"/>
      <c r="N267" s="15" t="s">
        <v>91</v>
      </c>
      <c r="O267" s="17" t="s">
        <v>5834</v>
      </c>
      <c r="P267" s="15" t="n">
        <v>92</v>
      </c>
    </row>
    <row r="268" customFormat="false" ht="32.8" hidden="false" customHeight="false" outlineLevel="0" collapsed="false">
      <c r="A268" s="57" t="s">
        <v>5845</v>
      </c>
      <c r="B268" s="58" t="s">
        <v>4332</v>
      </c>
      <c r="C268" s="58" t="s">
        <v>155</v>
      </c>
      <c r="D268" s="59" t="s">
        <v>5846</v>
      </c>
      <c r="E268" s="58" t="s">
        <v>221</v>
      </c>
      <c r="F268" s="60" t="s">
        <v>5847</v>
      </c>
      <c r="G268" s="58" t="s">
        <v>5848</v>
      </c>
      <c r="H268" s="58" t="s">
        <v>3168</v>
      </c>
      <c r="I268" s="58" t="s">
        <v>5849</v>
      </c>
      <c r="J268" s="58"/>
      <c r="K268" s="58" t="s">
        <v>4313</v>
      </c>
      <c r="L268" s="58" t="s">
        <v>5850</v>
      </c>
      <c r="M268" s="58" t="s">
        <v>5851</v>
      </c>
      <c r="N268" s="61" t="s">
        <v>91</v>
      </c>
      <c r="O268" s="58" t="s">
        <v>5834</v>
      </c>
      <c r="P268" s="61" t="n">
        <v>99</v>
      </c>
    </row>
    <row r="269" customFormat="false" ht="15" hidden="false" customHeight="false" outlineLevel="0" collapsed="false">
      <c r="A269" s="22" t="s">
        <v>5852</v>
      </c>
      <c r="B269" s="17" t="s">
        <v>4332</v>
      </c>
      <c r="C269" s="17" t="s">
        <v>155</v>
      </c>
      <c r="D269" s="55" t="s">
        <v>5853</v>
      </c>
      <c r="E269" s="17" t="s">
        <v>225</v>
      </c>
      <c r="F269" s="56" t="s">
        <v>4721</v>
      </c>
      <c r="G269" s="17" t="s">
        <v>5854</v>
      </c>
      <c r="H269" s="17"/>
      <c r="I269" s="17" t="s">
        <v>5855</v>
      </c>
      <c r="J269" s="17"/>
      <c r="K269" s="17" t="s">
        <v>656</v>
      </c>
      <c r="L269" s="17" t="s">
        <v>3728</v>
      </c>
      <c r="M269" s="17" t="s">
        <v>5856</v>
      </c>
      <c r="N269" s="15" t="s">
        <v>91</v>
      </c>
      <c r="O269" s="17" t="s">
        <v>5834</v>
      </c>
      <c r="P269" s="15" t="n">
        <v>103</v>
      </c>
    </row>
    <row r="270" customFormat="false" ht="15" hidden="false" customHeight="false" outlineLevel="0" collapsed="false">
      <c r="A270" s="57" t="s">
        <v>5857</v>
      </c>
      <c r="B270" s="58" t="s">
        <v>4332</v>
      </c>
      <c r="C270" s="58" t="s">
        <v>155</v>
      </c>
      <c r="D270" s="59" t="s">
        <v>5858</v>
      </c>
      <c r="E270" s="58" t="s">
        <v>225</v>
      </c>
      <c r="F270" s="60" t="s">
        <v>4728</v>
      </c>
      <c r="G270" s="58" t="s">
        <v>5859</v>
      </c>
      <c r="H270" s="58"/>
      <c r="I270" s="58" t="s">
        <v>4730</v>
      </c>
      <c r="J270" s="58"/>
      <c r="K270" s="58"/>
      <c r="L270" s="58" t="s">
        <v>125</v>
      </c>
      <c r="M270" s="58" t="s">
        <v>5860</v>
      </c>
      <c r="N270" s="61" t="s">
        <v>91</v>
      </c>
      <c r="O270" s="58" t="s">
        <v>5834</v>
      </c>
      <c r="P270" s="61" t="n">
        <v>104</v>
      </c>
    </row>
    <row r="271" customFormat="false" ht="32.8" hidden="false" customHeight="false" outlineLevel="0" collapsed="false">
      <c r="A271" s="22" t="s">
        <v>5861</v>
      </c>
      <c r="B271" s="17" t="s">
        <v>4332</v>
      </c>
      <c r="C271" s="17" t="s">
        <v>155</v>
      </c>
      <c r="D271" s="55" t="s">
        <v>5862</v>
      </c>
      <c r="E271" s="17" t="s">
        <v>225</v>
      </c>
      <c r="F271" s="56" t="s">
        <v>5863</v>
      </c>
      <c r="G271" s="17" t="s">
        <v>5864</v>
      </c>
      <c r="H271" s="17"/>
      <c r="I271" s="17" t="s">
        <v>5202</v>
      </c>
      <c r="J271" s="17"/>
      <c r="K271" s="17"/>
      <c r="L271" s="17" t="s">
        <v>5865</v>
      </c>
      <c r="M271" s="17" t="s">
        <v>5866</v>
      </c>
      <c r="N271" s="15" t="s">
        <v>91</v>
      </c>
      <c r="O271" s="17" t="s">
        <v>5834</v>
      </c>
      <c r="P271" s="15" t="n">
        <v>107</v>
      </c>
    </row>
    <row r="272" customFormat="false" ht="43.25" hidden="false" customHeight="false" outlineLevel="0" collapsed="false">
      <c r="A272" s="57" t="s">
        <v>5867</v>
      </c>
      <c r="B272" s="58" t="s">
        <v>4332</v>
      </c>
      <c r="C272" s="58" t="s">
        <v>156</v>
      </c>
      <c r="D272" s="59" t="s">
        <v>2191</v>
      </c>
      <c r="E272" s="58" t="s">
        <v>234</v>
      </c>
      <c r="F272" s="60" t="s">
        <v>2205</v>
      </c>
      <c r="G272" s="58" t="s">
        <v>5868</v>
      </c>
      <c r="H272" s="58" t="s">
        <v>5869</v>
      </c>
      <c r="I272" s="58" t="s">
        <v>5870</v>
      </c>
      <c r="J272" s="58"/>
      <c r="K272" s="58"/>
      <c r="L272" s="58" t="s">
        <v>5871</v>
      </c>
      <c r="M272" s="58"/>
      <c r="N272" s="61" t="s">
        <v>91</v>
      </c>
      <c r="O272" s="58" t="s">
        <v>2193</v>
      </c>
      <c r="P272" s="61" t="n">
        <v>93</v>
      </c>
    </row>
    <row r="273" customFormat="false" ht="32.8" hidden="false" customHeight="false" outlineLevel="0" collapsed="false">
      <c r="A273" s="22" t="s">
        <v>5872</v>
      </c>
      <c r="B273" s="17" t="s">
        <v>4332</v>
      </c>
      <c r="C273" s="17" t="s">
        <v>156</v>
      </c>
      <c r="D273" s="55" t="s">
        <v>5873</v>
      </c>
      <c r="E273" s="17" t="s">
        <v>234</v>
      </c>
      <c r="F273" s="56" t="s">
        <v>2233</v>
      </c>
      <c r="G273" s="17" t="s">
        <v>5874</v>
      </c>
      <c r="H273" s="17" t="s">
        <v>5875</v>
      </c>
      <c r="I273" s="17" t="s">
        <v>5876</v>
      </c>
      <c r="J273" s="17"/>
      <c r="K273" s="17"/>
      <c r="L273" s="17" t="s">
        <v>5877</v>
      </c>
      <c r="M273" s="17"/>
      <c r="N273" s="15" t="s">
        <v>91</v>
      </c>
      <c r="O273" s="17" t="s">
        <v>2193</v>
      </c>
      <c r="P273" s="15" t="n">
        <v>203</v>
      </c>
    </row>
    <row r="274" customFormat="false" ht="53.7" hidden="false" customHeight="false" outlineLevel="0" collapsed="false">
      <c r="A274" s="57" t="s">
        <v>5878</v>
      </c>
      <c r="B274" s="58" t="s">
        <v>4332</v>
      </c>
      <c r="C274" s="58" t="s">
        <v>157</v>
      </c>
      <c r="D274" s="59" t="s">
        <v>5879</v>
      </c>
      <c r="E274" s="58" t="s">
        <v>235</v>
      </c>
      <c r="F274" s="60" t="s">
        <v>5880</v>
      </c>
      <c r="G274" s="58" t="s">
        <v>5881</v>
      </c>
      <c r="H274" s="58"/>
      <c r="I274" s="58"/>
      <c r="J274" s="58"/>
      <c r="K274" s="58"/>
      <c r="L274" s="58" t="s">
        <v>5882</v>
      </c>
      <c r="M274" s="58" t="s">
        <v>5883</v>
      </c>
      <c r="N274" s="61" t="s">
        <v>91</v>
      </c>
      <c r="O274" s="58" t="s">
        <v>4718</v>
      </c>
      <c r="P274" s="61" t="n">
        <v>92</v>
      </c>
    </row>
    <row r="275" customFormat="false" ht="22.35" hidden="false" customHeight="false" outlineLevel="0" collapsed="false">
      <c r="A275" s="22" t="s">
        <v>5884</v>
      </c>
      <c r="B275" s="17" t="s">
        <v>4332</v>
      </c>
      <c r="C275" s="17" t="s">
        <v>157</v>
      </c>
      <c r="D275" s="55" t="s">
        <v>5885</v>
      </c>
      <c r="E275" s="17" t="s">
        <v>225</v>
      </c>
      <c r="F275" s="56" t="s">
        <v>4721</v>
      </c>
      <c r="G275" s="17" t="s">
        <v>5886</v>
      </c>
      <c r="H275" s="17"/>
      <c r="I275" s="17" t="s">
        <v>4730</v>
      </c>
      <c r="J275" s="17"/>
      <c r="K275" s="17"/>
      <c r="L275" s="17" t="s">
        <v>3728</v>
      </c>
      <c r="M275" s="17" t="s">
        <v>5887</v>
      </c>
      <c r="N275" s="15" t="s">
        <v>91</v>
      </c>
      <c r="O275" s="17" t="s">
        <v>4718</v>
      </c>
      <c r="P275" s="15" t="n">
        <v>101</v>
      </c>
    </row>
    <row r="276" customFormat="false" ht="15" hidden="false" customHeight="false" outlineLevel="0" collapsed="false">
      <c r="A276" s="57" t="s">
        <v>5888</v>
      </c>
      <c r="B276" s="58" t="s">
        <v>4332</v>
      </c>
      <c r="C276" s="58" t="s">
        <v>157</v>
      </c>
      <c r="D276" s="59" t="s">
        <v>5889</v>
      </c>
      <c r="E276" s="58" t="s">
        <v>225</v>
      </c>
      <c r="F276" s="60" t="s">
        <v>4728</v>
      </c>
      <c r="G276" s="58" t="s">
        <v>5890</v>
      </c>
      <c r="H276" s="58"/>
      <c r="I276" s="58" t="s">
        <v>4730</v>
      </c>
      <c r="J276" s="58"/>
      <c r="K276" s="58"/>
      <c r="L276" s="58" t="s">
        <v>125</v>
      </c>
      <c r="M276" s="58" t="s">
        <v>5891</v>
      </c>
      <c r="N276" s="61" t="s">
        <v>91</v>
      </c>
      <c r="O276" s="58" t="s">
        <v>4718</v>
      </c>
      <c r="P276" s="61" t="n">
        <v>102</v>
      </c>
    </row>
    <row r="277" customFormat="false" ht="22.35" hidden="false" customHeight="false" outlineLevel="0" collapsed="false">
      <c r="A277" s="22" t="s">
        <v>5892</v>
      </c>
      <c r="B277" s="17" t="s">
        <v>4332</v>
      </c>
      <c r="C277" s="17" t="s">
        <v>157</v>
      </c>
      <c r="D277" s="55" t="s">
        <v>5893</v>
      </c>
      <c r="E277" s="17" t="s">
        <v>225</v>
      </c>
      <c r="F277" s="56" t="s">
        <v>4735</v>
      </c>
      <c r="G277" s="17" t="s">
        <v>5894</v>
      </c>
      <c r="H277" s="17" t="s">
        <v>3187</v>
      </c>
      <c r="I277" s="17"/>
      <c r="J277" s="17"/>
      <c r="K277" s="17"/>
      <c r="L277" s="17" t="s">
        <v>125</v>
      </c>
      <c r="M277" s="17" t="s">
        <v>5895</v>
      </c>
      <c r="N277" s="15" t="s">
        <v>91</v>
      </c>
      <c r="O277" s="17" t="s">
        <v>4718</v>
      </c>
      <c r="P277" s="15" t="n">
        <v>103</v>
      </c>
    </row>
    <row r="278" customFormat="false" ht="22.35" hidden="false" customHeight="false" outlineLevel="0" collapsed="false">
      <c r="A278" s="57" t="s">
        <v>5896</v>
      </c>
      <c r="B278" s="58" t="s">
        <v>4332</v>
      </c>
      <c r="C278" s="58" t="s">
        <v>157</v>
      </c>
      <c r="D278" s="59" t="s">
        <v>5897</v>
      </c>
      <c r="E278" s="58" t="s">
        <v>225</v>
      </c>
      <c r="F278" s="60" t="s">
        <v>5898</v>
      </c>
      <c r="G278" s="58" t="s">
        <v>5899</v>
      </c>
      <c r="H278" s="58" t="s">
        <v>5161</v>
      </c>
      <c r="I278" s="58" t="s">
        <v>5900</v>
      </c>
      <c r="J278" s="58"/>
      <c r="K278" s="58"/>
      <c r="L278" s="58" t="s">
        <v>5901</v>
      </c>
      <c r="M278" s="58" t="s">
        <v>5902</v>
      </c>
      <c r="N278" s="61" t="s">
        <v>91</v>
      </c>
      <c r="O278" s="58" t="s">
        <v>4718</v>
      </c>
      <c r="P278" s="61" t="n">
        <v>104</v>
      </c>
    </row>
    <row r="279" customFormat="false" ht="15" hidden="false" customHeight="false" outlineLevel="0" collapsed="false">
      <c r="A279" s="22" t="s">
        <v>5903</v>
      </c>
      <c r="B279" s="17" t="s">
        <v>4332</v>
      </c>
      <c r="C279" s="17" t="s">
        <v>157</v>
      </c>
      <c r="D279" s="55" t="s">
        <v>2269</v>
      </c>
      <c r="E279" s="17" t="s">
        <v>225</v>
      </c>
      <c r="F279" s="56" t="s">
        <v>4936</v>
      </c>
      <c r="G279" s="17" t="s">
        <v>5904</v>
      </c>
      <c r="H279" s="17"/>
      <c r="I279" s="17" t="s">
        <v>5202</v>
      </c>
      <c r="J279" s="17"/>
      <c r="K279" s="17"/>
      <c r="L279" s="17" t="s">
        <v>4939</v>
      </c>
      <c r="M279" s="17" t="s">
        <v>5905</v>
      </c>
      <c r="N279" s="15" t="s">
        <v>91</v>
      </c>
      <c r="O279" s="17" t="s">
        <v>4718</v>
      </c>
      <c r="P279" s="15" t="n">
        <v>107</v>
      </c>
    </row>
    <row r="280" customFormat="false" ht="32.8" hidden="false" customHeight="false" outlineLevel="0" collapsed="false">
      <c r="A280" s="57" t="s">
        <v>5906</v>
      </c>
      <c r="B280" s="58" t="s">
        <v>4332</v>
      </c>
      <c r="C280" s="58" t="s">
        <v>158</v>
      </c>
      <c r="D280" s="59" t="s">
        <v>5907</v>
      </c>
      <c r="E280" s="58" t="s">
        <v>235</v>
      </c>
      <c r="F280" s="60" t="s">
        <v>5908</v>
      </c>
      <c r="G280" s="58" t="s">
        <v>5909</v>
      </c>
      <c r="H280" s="58"/>
      <c r="I280" s="58"/>
      <c r="J280" s="58"/>
      <c r="K280" s="58"/>
      <c r="L280" s="58" t="s">
        <v>5910</v>
      </c>
      <c r="M280" s="58" t="s">
        <v>5911</v>
      </c>
      <c r="N280" s="61" t="s">
        <v>91</v>
      </c>
      <c r="O280" s="58" t="s">
        <v>5912</v>
      </c>
      <c r="P280" s="61" t="n">
        <v>17</v>
      </c>
    </row>
    <row r="281" customFormat="false" ht="22.35" hidden="false" customHeight="false" outlineLevel="0" collapsed="false">
      <c r="A281" s="22" t="s">
        <v>5913</v>
      </c>
      <c r="B281" s="17" t="s">
        <v>4332</v>
      </c>
      <c r="C281" s="17" t="s">
        <v>158</v>
      </c>
      <c r="D281" s="55" t="s">
        <v>5914</v>
      </c>
      <c r="E281" s="17" t="s">
        <v>234</v>
      </c>
      <c r="F281" s="56" t="s">
        <v>5915</v>
      </c>
      <c r="G281" s="17" t="s">
        <v>5916</v>
      </c>
      <c r="H281" s="17"/>
      <c r="I281" s="17" t="s">
        <v>5917</v>
      </c>
      <c r="J281" s="17"/>
      <c r="K281" s="17"/>
      <c r="L281" s="17" t="s">
        <v>5918</v>
      </c>
      <c r="M281" s="17" t="s">
        <v>5919</v>
      </c>
      <c r="N281" s="15" t="s">
        <v>91</v>
      </c>
      <c r="O281" s="17" t="s">
        <v>5912</v>
      </c>
      <c r="P281" s="15" t="n">
        <v>43</v>
      </c>
    </row>
    <row r="282" customFormat="false" ht="43.25" hidden="false" customHeight="false" outlineLevel="0" collapsed="false">
      <c r="A282" s="57" t="s">
        <v>5920</v>
      </c>
      <c r="B282" s="58" t="s">
        <v>4332</v>
      </c>
      <c r="C282" s="58" t="s">
        <v>158</v>
      </c>
      <c r="D282" s="59" t="s">
        <v>5921</v>
      </c>
      <c r="E282" s="58" t="s">
        <v>234</v>
      </c>
      <c r="F282" s="60" t="s">
        <v>5922</v>
      </c>
      <c r="G282" s="58" t="s">
        <v>5923</v>
      </c>
      <c r="H282" s="58" t="s">
        <v>5924</v>
      </c>
      <c r="I282" s="58" t="s">
        <v>5925</v>
      </c>
      <c r="J282" s="58"/>
      <c r="K282" s="58"/>
      <c r="L282" s="58" t="s">
        <v>5926</v>
      </c>
      <c r="M282" s="58" t="s">
        <v>5927</v>
      </c>
      <c r="N282" s="61" t="s">
        <v>91</v>
      </c>
      <c r="O282" s="58" t="s">
        <v>5912</v>
      </c>
      <c r="P282" s="61" t="n">
        <v>63</v>
      </c>
    </row>
    <row r="283" customFormat="false" ht="32.8" hidden="false" customHeight="false" outlineLevel="0" collapsed="false">
      <c r="A283" s="22" t="s">
        <v>5928</v>
      </c>
      <c r="B283" s="17" t="s">
        <v>4332</v>
      </c>
      <c r="C283" s="17" t="s">
        <v>158</v>
      </c>
      <c r="D283" s="55" t="s">
        <v>5929</v>
      </c>
      <c r="E283" s="17" t="s">
        <v>234</v>
      </c>
      <c r="F283" s="56" t="s">
        <v>5930</v>
      </c>
      <c r="G283" s="17" t="s">
        <v>5931</v>
      </c>
      <c r="H283" s="17" t="s">
        <v>5932</v>
      </c>
      <c r="I283" s="17" t="s">
        <v>5933</v>
      </c>
      <c r="J283" s="17"/>
      <c r="K283" s="17"/>
      <c r="L283" s="17" t="s">
        <v>5926</v>
      </c>
      <c r="M283" s="17" t="s">
        <v>5934</v>
      </c>
      <c r="N283" s="15" t="s">
        <v>91</v>
      </c>
      <c r="O283" s="17" t="s">
        <v>5912</v>
      </c>
      <c r="P283" s="15" t="n">
        <v>79</v>
      </c>
    </row>
    <row r="284" customFormat="false" ht="22.35" hidden="false" customHeight="false" outlineLevel="0" collapsed="false">
      <c r="A284" s="57" t="s">
        <v>5935</v>
      </c>
      <c r="B284" s="58" t="s">
        <v>4332</v>
      </c>
      <c r="C284" s="58" t="s">
        <v>158</v>
      </c>
      <c r="D284" s="59" t="s">
        <v>5936</v>
      </c>
      <c r="E284" s="58" t="s">
        <v>234</v>
      </c>
      <c r="F284" s="60" t="s">
        <v>5937</v>
      </c>
      <c r="G284" s="58" t="s">
        <v>5938</v>
      </c>
      <c r="H284" s="58" t="s">
        <v>3921</v>
      </c>
      <c r="I284" s="58" t="s">
        <v>5939</v>
      </c>
      <c r="J284" s="58"/>
      <c r="K284" s="58"/>
      <c r="L284" s="58" t="s">
        <v>5940</v>
      </c>
      <c r="M284" s="58" t="s">
        <v>5941</v>
      </c>
      <c r="N284" s="61" t="s">
        <v>91</v>
      </c>
      <c r="O284" s="58" t="s">
        <v>5912</v>
      </c>
      <c r="P284" s="61" t="n">
        <v>94</v>
      </c>
    </row>
    <row r="285" customFormat="false" ht="15" hidden="false" customHeight="false" outlineLevel="0" collapsed="false">
      <c r="A285" s="22" t="s">
        <v>5942</v>
      </c>
      <c r="B285" s="17" t="s">
        <v>4332</v>
      </c>
      <c r="C285" s="17" t="s">
        <v>158</v>
      </c>
      <c r="D285" s="55" t="s">
        <v>5943</v>
      </c>
      <c r="E285" s="17" t="s">
        <v>234</v>
      </c>
      <c r="F285" s="56" t="s">
        <v>5944</v>
      </c>
      <c r="G285" s="17" t="s">
        <v>5945</v>
      </c>
      <c r="H285" s="17"/>
      <c r="I285" s="17" t="s">
        <v>5946</v>
      </c>
      <c r="J285" s="17"/>
      <c r="K285" s="17"/>
      <c r="L285" s="17" t="s">
        <v>5947</v>
      </c>
      <c r="M285" s="17" t="s">
        <v>5948</v>
      </c>
      <c r="N285" s="15" t="s">
        <v>91</v>
      </c>
      <c r="O285" s="17" t="s">
        <v>5912</v>
      </c>
      <c r="P285" s="15" t="n">
        <v>114</v>
      </c>
    </row>
    <row r="286" customFormat="false" ht="43.25" hidden="false" customHeight="false" outlineLevel="0" collapsed="false">
      <c r="A286" s="57" t="s">
        <v>5949</v>
      </c>
      <c r="B286" s="58" t="s">
        <v>4332</v>
      </c>
      <c r="C286" s="58" t="s">
        <v>158</v>
      </c>
      <c r="D286" s="59" t="s">
        <v>5950</v>
      </c>
      <c r="E286" s="58" t="s">
        <v>234</v>
      </c>
      <c r="F286" s="60" t="s">
        <v>5951</v>
      </c>
      <c r="G286" s="58" t="s">
        <v>5952</v>
      </c>
      <c r="H286" s="58" t="s">
        <v>5953</v>
      </c>
      <c r="I286" s="58" t="s">
        <v>5954</v>
      </c>
      <c r="J286" s="58"/>
      <c r="K286" s="58"/>
      <c r="L286" s="58" t="s">
        <v>5947</v>
      </c>
      <c r="M286" s="58" t="s">
        <v>5955</v>
      </c>
      <c r="N286" s="61" t="s">
        <v>91</v>
      </c>
      <c r="O286" s="58" t="s">
        <v>5912</v>
      </c>
      <c r="P286" s="61" t="n">
        <v>126</v>
      </c>
    </row>
    <row r="287" customFormat="false" ht="22.35" hidden="false" customHeight="false" outlineLevel="0" collapsed="false">
      <c r="A287" s="22" t="s">
        <v>5956</v>
      </c>
      <c r="B287" s="17" t="s">
        <v>4332</v>
      </c>
      <c r="C287" s="17" t="s">
        <v>159</v>
      </c>
      <c r="D287" s="55" t="s">
        <v>4085</v>
      </c>
      <c r="E287" s="17" t="s">
        <v>243</v>
      </c>
      <c r="F287" s="56" t="s">
        <v>5957</v>
      </c>
      <c r="G287" s="17" t="s">
        <v>5958</v>
      </c>
      <c r="H287" s="17"/>
      <c r="I287" s="17"/>
      <c r="J287" s="17"/>
      <c r="K287" s="17"/>
      <c r="L287" s="17" t="s">
        <v>5959</v>
      </c>
      <c r="M287" s="17"/>
      <c r="N287" s="15" t="s">
        <v>91</v>
      </c>
      <c r="O287" s="17" t="s">
        <v>1121</v>
      </c>
      <c r="P287" s="15" t="n">
        <v>24</v>
      </c>
    </row>
    <row r="288" customFormat="false" ht="22.35" hidden="false" customHeight="false" outlineLevel="0" collapsed="false">
      <c r="A288" s="57" t="s">
        <v>5960</v>
      </c>
      <c r="B288" s="58" t="s">
        <v>4332</v>
      </c>
      <c r="C288" s="58" t="s">
        <v>159</v>
      </c>
      <c r="D288" s="59" t="s">
        <v>5961</v>
      </c>
      <c r="E288" s="58" t="s">
        <v>243</v>
      </c>
      <c r="F288" s="60" t="s">
        <v>5962</v>
      </c>
      <c r="G288" s="58" t="s">
        <v>5963</v>
      </c>
      <c r="H288" s="58"/>
      <c r="I288" s="58"/>
      <c r="J288" s="58"/>
      <c r="K288" s="58"/>
      <c r="L288" s="58" t="s">
        <v>5964</v>
      </c>
      <c r="M288" s="58" t="s">
        <v>4337</v>
      </c>
      <c r="N288" s="61" t="s">
        <v>91</v>
      </c>
      <c r="O288" s="58" t="s">
        <v>1121</v>
      </c>
      <c r="P288" s="61" t="n">
        <v>25</v>
      </c>
    </row>
    <row r="289" customFormat="false" ht="32.8" hidden="false" customHeight="false" outlineLevel="0" collapsed="false">
      <c r="A289" s="22" t="s">
        <v>5965</v>
      </c>
      <c r="B289" s="17" t="s">
        <v>4332</v>
      </c>
      <c r="C289" s="17" t="s">
        <v>159</v>
      </c>
      <c r="D289" s="55" t="s">
        <v>5966</v>
      </c>
      <c r="E289" s="17" t="s">
        <v>243</v>
      </c>
      <c r="F289" s="56" t="s">
        <v>5967</v>
      </c>
      <c r="G289" s="17" t="s">
        <v>5968</v>
      </c>
      <c r="H289" s="17"/>
      <c r="I289" s="17"/>
      <c r="J289" s="17"/>
      <c r="K289" s="17"/>
      <c r="L289" s="17" t="s">
        <v>5969</v>
      </c>
      <c r="M289" s="17"/>
      <c r="N289" s="15" t="s">
        <v>91</v>
      </c>
      <c r="O289" s="17" t="s">
        <v>1121</v>
      </c>
      <c r="P289" s="15" t="n">
        <v>29</v>
      </c>
    </row>
    <row r="290" customFormat="false" ht="32.8" hidden="false" customHeight="false" outlineLevel="0" collapsed="false">
      <c r="A290" s="57" t="s">
        <v>5970</v>
      </c>
      <c r="B290" s="58" t="s">
        <v>4332</v>
      </c>
      <c r="C290" s="58" t="s">
        <v>159</v>
      </c>
      <c r="D290" s="59" t="s">
        <v>5971</v>
      </c>
      <c r="E290" s="58" t="s">
        <v>243</v>
      </c>
      <c r="F290" s="60" t="s">
        <v>5972</v>
      </c>
      <c r="G290" s="58" t="s">
        <v>5973</v>
      </c>
      <c r="H290" s="58"/>
      <c r="I290" s="58"/>
      <c r="J290" s="58"/>
      <c r="K290" s="58"/>
      <c r="L290" s="58" t="s">
        <v>5974</v>
      </c>
      <c r="M290" s="58"/>
      <c r="N290" s="61" t="s">
        <v>91</v>
      </c>
      <c r="O290" s="58" t="s">
        <v>1121</v>
      </c>
      <c r="P290" s="61" t="n">
        <v>45</v>
      </c>
    </row>
    <row r="291" customFormat="false" ht="22.35" hidden="false" customHeight="false" outlineLevel="0" collapsed="false">
      <c r="A291" s="22" t="s">
        <v>5975</v>
      </c>
      <c r="B291" s="17" t="s">
        <v>4332</v>
      </c>
      <c r="C291" s="17" t="s">
        <v>159</v>
      </c>
      <c r="D291" s="55" t="s">
        <v>5976</v>
      </c>
      <c r="E291" s="17" t="s">
        <v>243</v>
      </c>
      <c r="F291" s="56" t="s">
        <v>5977</v>
      </c>
      <c r="G291" s="17" t="s">
        <v>5978</v>
      </c>
      <c r="H291" s="17"/>
      <c r="I291" s="17"/>
      <c r="J291" s="17"/>
      <c r="K291" s="17"/>
      <c r="L291" s="17" t="s">
        <v>5979</v>
      </c>
      <c r="M291" s="17"/>
      <c r="N291" s="15" t="s">
        <v>91</v>
      </c>
      <c r="O291" s="17" t="s">
        <v>1121</v>
      </c>
      <c r="P291" s="15" t="n">
        <v>46</v>
      </c>
    </row>
    <row r="292" customFormat="false" ht="22.35" hidden="false" customHeight="false" outlineLevel="0" collapsed="false">
      <c r="A292" s="57" t="s">
        <v>5980</v>
      </c>
      <c r="B292" s="58" t="s">
        <v>4332</v>
      </c>
      <c r="C292" s="58" t="s">
        <v>159</v>
      </c>
      <c r="D292" s="59" t="s">
        <v>5981</v>
      </c>
      <c r="E292" s="58" t="s">
        <v>243</v>
      </c>
      <c r="F292" s="60" t="s">
        <v>5982</v>
      </c>
      <c r="G292" s="58" t="s">
        <v>5983</v>
      </c>
      <c r="H292" s="58"/>
      <c r="I292" s="58"/>
      <c r="J292" s="58"/>
      <c r="K292" s="58"/>
      <c r="L292" s="58" t="s">
        <v>5984</v>
      </c>
      <c r="M292" s="58"/>
      <c r="N292" s="61" t="s">
        <v>91</v>
      </c>
      <c r="O292" s="58" t="s">
        <v>1121</v>
      </c>
      <c r="P292" s="61" t="n">
        <v>47</v>
      </c>
    </row>
    <row r="293" customFormat="false" ht="15" hidden="false" customHeight="false" outlineLevel="0" collapsed="false">
      <c r="A293" s="22" t="s">
        <v>5985</v>
      </c>
      <c r="B293" s="17" t="s">
        <v>4332</v>
      </c>
      <c r="C293" s="17" t="s">
        <v>159</v>
      </c>
      <c r="D293" s="55" t="s">
        <v>5986</v>
      </c>
      <c r="E293" s="17" t="s">
        <v>243</v>
      </c>
      <c r="F293" s="56" t="s">
        <v>5987</v>
      </c>
      <c r="G293" s="17" t="s">
        <v>5988</v>
      </c>
      <c r="H293" s="17"/>
      <c r="I293" s="17"/>
      <c r="J293" s="17"/>
      <c r="K293" s="17"/>
      <c r="L293" s="17" t="s">
        <v>5989</v>
      </c>
      <c r="M293" s="17"/>
      <c r="N293" s="15" t="s">
        <v>91</v>
      </c>
      <c r="O293" s="17" t="s">
        <v>1121</v>
      </c>
      <c r="P293" s="15" t="n">
        <v>48</v>
      </c>
    </row>
    <row r="294" customFormat="false" ht="22.35" hidden="false" customHeight="false" outlineLevel="0" collapsed="false">
      <c r="A294" s="57" t="s">
        <v>5990</v>
      </c>
      <c r="B294" s="58" t="s">
        <v>4332</v>
      </c>
      <c r="C294" s="58" t="s">
        <v>159</v>
      </c>
      <c r="D294" s="59" t="s">
        <v>2240</v>
      </c>
      <c r="E294" s="58" t="s">
        <v>234</v>
      </c>
      <c r="F294" s="60" t="s">
        <v>2241</v>
      </c>
      <c r="G294" s="58" t="s">
        <v>5991</v>
      </c>
      <c r="H294" s="58" t="s">
        <v>3180</v>
      </c>
      <c r="I294" s="58" t="s">
        <v>5992</v>
      </c>
      <c r="J294" s="58"/>
      <c r="K294" s="58" t="s">
        <v>1046</v>
      </c>
      <c r="L294" s="58" t="s">
        <v>5993</v>
      </c>
      <c r="M294" s="58"/>
      <c r="N294" s="61" t="s">
        <v>91</v>
      </c>
      <c r="O294" s="58" t="s">
        <v>1121</v>
      </c>
      <c r="P294" s="61" t="n">
        <v>51</v>
      </c>
    </row>
    <row r="295" customFormat="false" ht="43.25" hidden="false" customHeight="false" outlineLevel="0" collapsed="false">
      <c r="A295" s="22" t="s">
        <v>5994</v>
      </c>
      <c r="B295" s="17" t="s">
        <v>4332</v>
      </c>
      <c r="C295" s="17" t="s">
        <v>159</v>
      </c>
      <c r="D295" s="55" t="s">
        <v>4060</v>
      </c>
      <c r="E295" s="17" t="s">
        <v>224</v>
      </c>
      <c r="F295" s="56" t="s">
        <v>5995</v>
      </c>
      <c r="G295" s="17" t="s">
        <v>5996</v>
      </c>
      <c r="H295" s="17"/>
      <c r="I295" s="17"/>
      <c r="J295" s="17"/>
      <c r="K295" s="17"/>
      <c r="L295" s="17" t="s">
        <v>5997</v>
      </c>
      <c r="M295" s="17" t="s">
        <v>5998</v>
      </c>
      <c r="N295" s="15" t="s">
        <v>91</v>
      </c>
      <c r="O295" s="17" t="s">
        <v>1121</v>
      </c>
      <c r="P295" s="15" t="n">
        <v>164</v>
      </c>
    </row>
    <row r="296" customFormat="false" ht="43.25" hidden="false" customHeight="false" outlineLevel="0" collapsed="false">
      <c r="A296" s="57" t="s">
        <v>5999</v>
      </c>
      <c r="B296" s="58" t="s">
        <v>4332</v>
      </c>
      <c r="C296" s="58" t="s">
        <v>159</v>
      </c>
      <c r="D296" s="59" t="s">
        <v>2052</v>
      </c>
      <c r="E296" s="58" t="s">
        <v>224</v>
      </c>
      <c r="F296" s="60" t="s">
        <v>2053</v>
      </c>
      <c r="G296" s="58" t="s">
        <v>6000</v>
      </c>
      <c r="H296" s="58"/>
      <c r="I296" s="58"/>
      <c r="J296" s="58" t="s">
        <v>6001</v>
      </c>
      <c r="K296" s="58" t="s">
        <v>6002</v>
      </c>
      <c r="L296" s="58" t="s">
        <v>6003</v>
      </c>
      <c r="M296" s="58"/>
      <c r="N296" s="61" t="s">
        <v>91</v>
      </c>
      <c r="O296" s="58" t="s">
        <v>1121</v>
      </c>
      <c r="P296" s="61" t="n">
        <v>225</v>
      </c>
    </row>
    <row r="297" customFormat="false" ht="32.8" hidden="false" customHeight="false" outlineLevel="0" collapsed="false">
      <c r="A297" s="22" t="s">
        <v>6004</v>
      </c>
      <c r="B297" s="17" t="s">
        <v>4332</v>
      </c>
      <c r="C297" s="17" t="s">
        <v>159</v>
      </c>
      <c r="D297" s="55" t="s">
        <v>1113</v>
      </c>
      <c r="E297" s="17" t="s">
        <v>224</v>
      </c>
      <c r="F297" s="56" t="s">
        <v>1114</v>
      </c>
      <c r="G297" s="17" t="s">
        <v>6005</v>
      </c>
      <c r="H297" s="17"/>
      <c r="I297" s="17"/>
      <c r="J297" s="17"/>
      <c r="K297" s="17" t="s">
        <v>6006</v>
      </c>
      <c r="L297" s="17" t="s">
        <v>6007</v>
      </c>
      <c r="M297" s="17"/>
      <c r="N297" s="15" t="s">
        <v>91</v>
      </c>
      <c r="O297" s="17" t="s">
        <v>1121</v>
      </c>
      <c r="P297" s="15" t="n">
        <v>272</v>
      </c>
    </row>
    <row r="298" customFormat="false" ht="43.25" hidden="false" customHeight="false" outlineLevel="0" collapsed="false">
      <c r="A298" s="57" t="s">
        <v>6008</v>
      </c>
      <c r="B298" s="58" t="s">
        <v>4332</v>
      </c>
      <c r="C298" s="58" t="s">
        <v>159</v>
      </c>
      <c r="D298" s="59" t="s">
        <v>2372</v>
      </c>
      <c r="E298" s="58" t="s">
        <v>224</v>
      </c>
      <c r="F298" s="60" t="s">
        <v>2373</v>
      </c>
      <c r="G298" s="58" t="s">
        <v>6009</v>
      </c>
      <c r="H298" s="58"/>
      <c r="I298" s="58"/>
      <c r="J298" s="58"/>
      <c r="K298" s="58" t="s">
        <v>6010</v>
      </c>
      <c r="L298" s="58" t="s">
        <v>6011</v>
      </c>
      <c r="M298" s="58" t="s">
        <v>6012</v>
      </c>
      <c r="N298" s="61" t="s">
        <v>91</v>
      </c>
      <c r="O298" s="58" t="s">
        <v>1121</v>
      </c>
      <c r="P298" s="61" t="n">
        <v>304</v>
      </c>
    </row>
    <row r="299" customFormat="false" ht="22.35" hidden="false" customHeight="false" outlineLevel="0" collapsed="false">
      <c r="A299" s="22" t="s">
        <v>6013</v>
      </c>
      <c r="B299" s="17" t="s">
        <v>4332</v>
      </c>
      <c r="C299" s="17" t="s">
        <v>159</v>
      </c>
      <c r="D299" s="55" t="s">
        <v>6014</v>
      </c>
      <c r="E299" s="17" t="s">
        <v>224</v>
      </c>
      <c r="F299" s="56" t="s">
        <v>2861</v>
      </c>
      <c r="G299" s="17" t="s">
        <v>6015</v>
      </c>
      <c r="H299" s="17"/>
      <c r="I299" s="17"/>
      <c r="J299" s="17"/>
      <c r="K299" s="17"/>
      <c r="L299" s="17" t="s">
        <v>6016</v>
      </c>
      <c r="M299" s="17" t="s">
        <v>6017</v>
      </c>
      <c r="N299" s="15" t="s">
        <v>91</v>
      </c>
      <c r="O299" s="17" t="s">
        <v>1121</v>
      </c>
      <c r="P299" s="15" t="n">
        <v>324</v>
      </c>
    </row>
    <row r="300" customFormat="false" ht="43.25" hidden="false" customHeight="false" outlineLevel="0" collapsed="false">
      <c r="A300" s="57" t="s">
        <v>6018</v>
      </c>
      <c r="B300" s="58" t="s">
        <v>4332</v>
      </c>
      <c r="C300" s="58" t="s">
        <v>159</v>
      </c>
      <c r="D300" s="59" t="s">
        <v>3124</v>
      </c>
      <c r="E300" s="58" t="s">
        <v>224</v>
      </c>
      <c r="F300" s="60" t="s">
        <v>6019</v>
      </c>
      <c r="G300" s="58" t="s">
        <v>6020</v>
      </c>
      <c r="H300" s="58"/>
      <c r="I300" s="58"/>
      <c r="J300" s="58"/>
      <c r="K300" s="58"/>
      <c r="L300" s="58" t="s">
        <v>6021</v>
      </c>
      <c r="M300" s="58"/>
      <c r="N300" s="61" t="s">
        <v>91</v>
      </c>
      <c r="O300" s="58" t="s">
        <v>1121</v>
      </c>
      <c r="P300" s="61" t="n">
        <v>331</v>
      </c>
    </row>
    <row r="301" customFormat="false" ht="32.8" hidden="false" customHeight="false" outlineLevel="0" collapsed="false">
      <c r="A301" s="22" t="s">
        <v>6022</v>
      </c>
      <c r="B301" s="17" t="s">
        <v>4332</v>
      </c>
      <c r="C301" s="17" t="s">
        <v>159</v>
      </c>
      <c r="D301" s="55" t="s">
        <v>6023</v>
      </c>
      <c r="E301" s="17" t="s">
        <v>224</v>
      </c>
      <c r="F301" s="56" t="s">
        <v>6024</v>
      </c>
      <c r="G301" s="17" t="s">
        <v>6025</v>
      </c>
      <c r="H301" s="17"/>
      <c r="I301" s="17"/>
      <c r="J301" s="17"/>
      <c r="K301" s="17"/>
      <c r="L301" s="17" t="s">
        <v>6026</v>
      </c>
      <c r="M301" s="17" t="s">
        <v>6027</v>
      </c>
      <c r="N301" s="15" t="s">
        <v>91</v>
      </c>
      <c r="O301" s="17" t="s">
        <v>1121</v>
      </c>
      <c r="P301" s="15" t="n">
        <v>363</v>
      </c>
    </row>
    <row r="302" customFormat="false" ht="43.25" hidden="false" customHeight="false" outlineLevel="0" collapsed="false">
      <c r="A302" s="57" t="s">
        <v>6028</v>
      </c>
      <c r="B302" s="58" t="s">
        <v>4332</v>
      </c>
      <c r="C302" s="58" t="s">
        <v>159</v>
      </c>
      <c r="D302" s="59" t="s">
        <v>6029</v>
      </c>
      <c r="E302" s="58" t="s">
        <v>224</v>
      </c>
      <c r="F302" s="60" t="s">
        <v>6030</v>
      </c>
      <c r="G302" s="58" t="s">
        <v>6031</v>
      </c>
      <c r="H302" s="58"/>
      <c r="I302" s="58"/>
      <c r="J302" s="58" t="s">
        <v>6032</v>
      </c>
      <c r="K302" s="58" t="s">
        <v>2011</v>
      </c>
      <c r="L302" s="58" t="s">
        <v>6033</v>
      </c>
      <c r="M302" s="58"/>
      <c r="N302" s="61" t="s">
        <v>91</v>
      </c>
      <c r="O302" s="58" t="s">
        <v>1121</v>
      </c>
      <c r="P302" s="61" t="n">
        <v>375</v>
      </c>
    </row>
    <row r="303" customFormat="false" ht="43.25" hidden="false" customHeight="false" outlineLevel="0" collapsed="false">
      <c r="A303" s="22" t="s">
        <v>6034</v>
      </c>
      <c r="B303" s="17" t="s">
        <v>4332</v>
      </c>
      <c r="C303" s="17" t="s">
        <v>159</v>
      </c>
      <c r="D303" s="55" t="s">
        <v>2614</v>
      </c>
      <c r="E303" s="17" t="s">
        <v>224</v>
      </c>
      <c r="F303" s="56" t="s">
        <v>2615</v>
      </c>
      <c r="G303" s="17" t="s">
        <v>6035</v>
      </c>
      <c r="H303" s="17"/>
      <c r="I303" s="17"/>
      <c r="J303" s="17"/>
      <c r="K303" s="17" t="s">
        <v>3898</v>
      </c>
      <c r="L303" s="17" t="s">
        <v>6036</v>
      </c>
      <c r="M303" s="17"/>
      <c r="N303" s="15" t="s">
        <v>91</v>
      </c>
      <c r="O303" s="17" t="s">
        <v>1121</v>
      </c>
      <c r="P303" s="15" t="n">
        <v>426</v>
      </c>
    </row>
    <row r="304" customFormat="false" ht="32.8" hidden="false" customHeight="false" outlineLevel="0" collapsed="false">
      <c r="A304" s="57" t="s">
        <v>6037</v>
      </c>
      <c r="B304" s="58" t="s">
        <v>4332</v>
      </c>
      <c r="C304" s="58" t="s">
        <v>159</v>
      </c>
      <c r="D304" s="59" t="s">
        <v>1123</v>
      </c>
      <c r="E304" s="58" t="s">
        <v>224</v>
      </c>
      <c r="F304" s="60" t="s">
        <v>1124</v>
      </c>
      <c r="G304" s="58" t="s">
        <v>6038</v>
      </c>
      <c r="H304" s="58"/>
      <c r="I304" s="58"/>
      <c r="J304" s="58"/>
      <c r="K304" s="58"/>
      <c r="L304" s="58" t="s">
        <v>6039</v>
      </c>
      <c r="M304" s="58" t="s">
        <v>6040</v>
      </c>
      <c r="N304" s="61" t="s">
        <v>91</v>
      </c>
      <c r="O304" s="58" t="s">
        <v>1121</v>
      </c>
      <c r="P304" s="61" t="n">
        <v>474</v>
      </c>
    </row>
    <row r="305" customFormat="false" ht="32.8" hidden="false" customHeight="false" outlineLevel="0" collapsed="false">
      <c r="A305" s="22" t="s">
        <v>6041</v>
      </c>
      <c r="B305" s="17" t="s">
        <v>4332</v>
      </c>
      <c r="C305" s="17" t="s">
        <v>159</v>
      </c>
      <c r="D305" s="55" t="s">
        <v>6042</v>
      </c>
      <c r="E305" s="17" t="s">
        <v>224</v>
      </c>
      <c r="F305" s="56" t="s">
        <v>6043</v>
      </c>
      <c r="G305" s="17" t="s">
        <v>6044</v>
      </c>
      <c r="H305" s="17"/>
      <c r="I305" s="17"/>
      <c r="J305" s="17"/>
      <c r="K305" s="17"/>
      <c r="L305" s="17" t="s">
        <v>6045</v>
      </c>
      <c r="M305" s="17" t="s">
        <v>6046</v>
      </c>
      <c r="N305" s="15" t="s">
        <v>91</v>
      </c>
      <c r="O305" s="17" t="s">
        <v>1121</v>
      </c>
      <c r="P305" s="15" t="n">
        <v>493</v>
      </c>
    </row>
    <row r="306" customFormat="false" ht="22.35" hidden="false" customHeight="false" outlineLevel="0" collapsed="false">
      <c r="A306" s="57" t="s">
        <v>6047</v>
      </c>
      <c r="B306" s="58" t="s">
        <v>4332</v>
      </c>
      <c r="C306" s="58" t="s">
        <v>160</v>
      </c>
      <c r="D306" s="59" t="s">
        <v>6048</v>
      </c>
      <c r="E306" s="58" t="s">
        <v>234</v>
      </c>
      <c r="F306" s="60" t="s">
        <v>2886</v>
      </c>
      <c r="G306" s="58" t="s">
        <v>6049</v>
      </c>
      <c r="H306" s="58" t="s">
        <v>6050</v>
      </c>
      <c r="I306" s="58" t="s">
        <v>485</v>
      </c>
      <c r="J306" s="58" t="s">
        <v>6051</v>
      </c>
      <c r="K306" s="58" t="s">
        <v>485</v>
      </c>
      <c r="L306" s="58" t="s">
        <v>6052</v>
      </c>
      <c r="M306" s="58"/>
      <c r="N306" s="61" t="s">
        <v>91</v>
      </c>
      <c r="O306" s="58" t="s">
        <v>2874</v>
      </c>
      <c r="P306" s="61" t="n">
        <v>62</v>
      </c>
    </row>
    <row r="307" customFormat="false" ht="22.35" hidden="false" customHeight="false" outlineLevel="0" collapsed="false">
      <c r="A307" s="22" t="s">
        <v>6053</v>
      </c>
      <c r="B307" s="17" t="s">
        <v>4332</v>
      </c>
      <c r="C307" s="17" t="s">
        <v>160</v>
      </c>
      <c r="D307" s="55" t="s">
        <v>6054</v>
      </c>
      <c r="E307" s="17" t="s">
        <v>234</v>
      </c>
      <c r="F307" s="56" t="s">
        <v>2903</v>
      </c>
      <c r="G307" s="17" t="s">
        <v>6055</v>
      </c>
      <c r="H307" s="17" t="s">
        <v>6056</v>
      </c>
      <c r="I307" s="17" t="s">
        <v>485</v>
      </c>
      <c r="J307" s="17" t="s">
        <v>6057</v>
      </c>
      <c r="K307" s="17" t="s">
        <v>485</v>
      </c>
      <c r="L307" s="17" t="s">
        <v>2906</v>
      </c>
      <c r="M307" s="17"/>
      <c r="N307" s="15" t="s">
        <v>91</v>
      </c>
      <c r="O307" s="17" t="s">
        <v>2874</v>
      </c>
      <c r="P307" s="15" t="n">
        <v>75</v>
      </c>
    </row>
  </sheetData>
  <autoFilter ref="A4:P307"/>
  <mergeCells count="1">
    <mergeCell ref="A2:J2"/>
  </mergeCells>
  <printOptions headings="false" gridLines="false" gridLinesSet="true" horizontalCentered="true" verticalCentered="false"/>
  <pageMargins left="0.4" right="0.4" top="0.5" bottom="0.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&amp;LiW-ASCEJ-01-API-Reference-R1.0-REL1.0&amp;C&amp;A&amp;RPage &amp;P of &amp;N</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P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8"/>
    <col collapsed="false" customWidth="true" hidden="false" outlineLevel="0" max="4" min="4" style="0" width="30"/>
    <col collapsed="false" customWidth="true" hidden="false" outlineLevel="0" max="5" min="5" style="0" width="12"/>
    <col collapsed="false" customWidth="true" hidden="false" outlineLevel="0" max="6" min="6" style="0" width="46"/>
    <col collapsed="false" customWidth="true" hidden="false" outlineLevel="0" max="7" min="7" style="0" width="52"/>
    <col collapsed="false" customWidth="true" hidden="false" outlineLevel="0" max="9" min="8" style="0" width="34"/>
    <col collapsed="false" customWidth="true" hidden="false" outlineLevel="0" max="10" min="10" style="0" width="46"/>
    <col collapsed="false" customWidth="true" hidden="false" outlineLevel="0" max="11" min="11" style="0" width="10"/>
    <col collapsed="false" customWidth="true" hidden="false" outlineLevel="0" max="12" min="12" style="0" width="34"/>
    <col collapsed="false" customWidth="true" hidden="false" outlineLevel="0" max="13" min="13" style="0" width="40"/>
    <col collapsed="false" customWidth="true" hidden="false" outlineLevel="0" max="14" min="14" style="0" width="6"/>
    <col collapsed="false" customWidth="true" hidden="false" outlineLevel="0" max="15" min="15" style="0" width="46"/>
    <col collapsed="false" customWidth="true" hidden="false" outlineLevel="0" max="16" min="16" style="0" width="7"/>
  </cols>
  <sheetData>
    <row r="1" customFormat="false" ht="25.5" hidden="false" customHeight="true" outlineLevel="0" collapsed="false">
      <c r="A1" s="12" t="s">
        <v>6058</v>
      </c>
    </row>
    <row r="2" customFormat="false" ht="30" hidden="false" customHeight="true" outlineLevel="0" collapsed="false">
      <c r="A2" s="13" t="s">
        <v>60</v>
      </c>
      <c r="B2" s="13"/>
      <c r="C2" s="13"/>
      <c r="D2" s="13"/>
      <c r="E2" s="13"/>
      <c r="F2" s="13"/>
      <c r="G2" s="13"/>
      <c r="H2" s="13"/>
      <c r="I2" s="13"/>
      <c r="J2" s="13"/>
    </row>
    <row r="3" customFormat="false" ht="15" hidden="false" customHeight="false" outlineLevel="0" collapsed="false">
      <c r="A3" s="9" t="s">
        <v>6059</v>
      </c>
    </row>
    <row r="4" customFormat="false" ht="30" hidden="false" customHeight="true" outlineLevel="0" collapsed="false">
      <c r="A4" s="14" t="s">
        <v>398</v>
      </c>
      <c r="B4" s="14" t="s">
        <v>1006</v>
      </c>
      <c r="C4" s="14" t="s">
        <v>98</v>
      </c>
      <c r="D4" s="14" t="s">
        <v>1007</v>
      </c>
      <c r="E4" s="14" t="s">
        <v>220</v>
      </c>
      <c r="F4" s="14" t="s">
        <v>1008</v>
      </c>
      <c r="G4" s="14" t="s">
        <v>1009</v>
      </c>
      <c r="H4" s="14" t="s">
        <v>1010</v>
      </c>
      <c r="I4" s="14" t="s">
        <v>1011</v>
      </c>
      <c r="J4" s="14" t="s">
        <v>1012</v>
      </c>
      <c r="K4" s="14" t="s">
        <v>1013</v>
      </c>
      <c r="L4" s="14" t="s">
        <v>1014</v>
      </c>
      <c r="M4" s="14" t="s">
        <v>1015</v>
      </c>
      <c r="N4" s="14" t="s">
        <v>1016</v>
      </c>
      <c r="O4" s="14" t="s">
        <v>1017</v>
      </c>
      <c r="P4" s="14" t="s">
        <v>1018</v>
      </c>
    </row>
    <row r="5" customFormat="false" ht="22.35" hidden="false" customHeight="false" outlineLevel="0" collapsed="false">
      <c r="A5" s="22" t="s">
        <v>6060</v>
      </c>
      <c r="B5" s="17" t="s">
        <v>6061</v>
      </c>
      <c r="C5" s="17" t="s">
        <v>162</v>
      </c>
      <c r="D5" s="55" t="s">
        <v>6062</v>
      </c>
      <c r="E5" s="17" t="s">
        <v>232</v>
      </c>
      <c r="F5" s="56" t="s">
        <v>6063</v>
      </c>
      <c r="G5" s="17" t="s">
        <v>6064</v>
      </c>
      <c r="H5" s="17"/>
      <c r="I5" s="17"/>
      <c r="J5" s="17"/>
      <c r="K5" s="17"/>
      <c r="L5" s="17" t="s">
        <v>5054</v>
      </c>
      <c r="M5" s="17"/>
      <c r="N5" s="15" t="s">
        <v>91</v>
      </c>
      <c r="O5" s="17" t="s">
        <v>6065</v>
      </c>
      <c r="P5" s="15" t="n">
        <v>119</v>
      </c>
    </row>
    <row r="6" customFormat="false" ht="32.8" hidden="false" customHeight="false" outlineLevel="0" collapsed="false">
      <c r="A6" s="57" t="s">
        <v>6066</v>
      </c>
      <c r="B6" s="58" t="s">
        <v>6061</v>
      </c>
      <c r="C6" s="58" t="s">
        <v>163</v>
      </c>
      <c r="D6" s="59" t="s">
        <v>6067</v>
      </c>
      <c r="E6" s="58" t="s">
        <v>232</v>
      </c>
      <c r="F6" s="60" t="s">
        <v>6068</v>
      </c>
      <c r="G6" s="58" t="s">
        <v>6069</v>
      </c>
      <c r="H6" s="58"/>
      <c r="I6" s="58"/>
      <c r="J6" s="58"/>
      <c r="K6" s="58"/>
      <c r="L6" s="58" t="s">
        <v>6070</v>
      </c>
      <c r="M6" s="58" t="s">
        <v>6071</v>
      </c>
      <c r="N6" s="61" t="s">
        <v>91</v>
      </c>
      <c r="O6" s="58" t="s">
        <v>1460</v>
      </c>
      <c r="P6" s="61" t="n">
        <v>132</v>
      </c>
    </row>
    <row r="7" customFormat="false" ht="32.8" hidden="false" customHeight="false" outlineLevel="0" collapsed="false">
      <c r="A7" s="22" t="s">
        <v>6072</v>
      </c>
      <c r="B7" s="17" t="s">
        <v>6061</v>
      </c>
      <c r="C7" s="17" t="s">
        <v>163</v>
      </c>
      <c r="D7" s="55" t="s">
        <v>6073</v>
      </c>
      <c r="E7" s="17" t="s">
        <v>232</v>
      </c>
      <c r="F7" s="56" t="s">
        <v>6074</v>
      </c>
      <c r="G7" s="17" t="s">
        <v>6075</v>
      </c>
      <c r="H7" s="17"/>
      <c r="I7" s="17"/>
      <c r="J7" s="17"/>
      <c r="K7" s="17"/>
      <c r="L7" s="17" t="s">
        <v>6076</v>
      </c>
      <c r="M7" s="17" t="s">
        <v>6077</v>
      </c>
      <c r="N7" s="15" t="s">
        <v>91</v>
      </c>
      <c r="O7" s="17" t="s">
        <v>6078</v>
      </c>
      <c r="P7" s="15" t="n">
        <v>281</v>
      </c>
    </row>
    <row r="8" customFormat="false" ht="32.8" hidden="false" customHeight="false" outlineLevel="0" collapsed="false">
      <c r="A8" s="57" t="s">
        <v>6079</v>
      </c>
      <c r="B8" s="58" t="s">
        <v>6061</v>
      </c>
      <c r="C8" s="58" t="s">
        <v>164</v>
      </c>
      <c r="D8" s="59" t="s">
        <v>6080</v>
      </c>
      <c r="E8" s="58" t="s">
        <v>232</v>
      </c>
      <c r="F8" s="60" t="s">
        <v>6081</v>
      </c>
      <c r="G8" s="58" t="s">
        <v>6082</v>
      </c>
      <c r="H8" s="58"/>
      <c r="I8" s="58"/>
      <c r="J8" s="58"/>
      <c r="K8" s="58"/>
      <c r="L8" s="58" t="s">
        <v>6083</v>
      </c>
      <c r="M8" s="58" t="s">
        <v>6084</v>
      </c>
      <c r="N8" s="61" t="s">
        <v>91</v>
      </c>
      <c r="O8" s="58" t="s">
        <v>1820</v>
      </c>
      <c r="P8" s="61" t="n">
        <v>320</v>
      </c>
    </row>
    <row r="9" customFormat="false" ht="32.8" hidden="false" customHeight="false" outlineLevel="0" collapsed="false">
      <c r="A9" s="22" t="s">
        <v>6085</v>
      </c>
      <c r="B9" s="17" t="s">
        <v>6061</v>
      </c>
      <c r="C9" s="17" t="s">
        <v>164</v>
      </c>
      <c r="D9" s="55" t="s">
        <v>6086</v>
      </c>
      <c r="E9" s="17" t="s">
        <v>232</v>
      </c>
      <c r="F9" s="56" t="s">
        <v>6087</v>
      </c>
      <c r="G9" s="17" t="s">
        <v>6088</v>
      </c>
      <c r="H9" s="17"/>
      <c r="I9" s="17"/>
      <c r="J9" s="17"/>
      <c r="K9" s="17"/>
      <c r="L9" s="17" t="s">
        <v>6089</v>
      </c>
      <c r="M9" s="17" t="s">
        <v>6090</v>
      </c>
      <c r="N9" s="15" t="s">
        <v>91</v>
      </c>
      <c r="O9" s="17" t="s">
        <v>1820</v>
      </c>
      <c r="P9" s="15" t="n">
        <v>528</v>
      </c>
    </row>
    <row r="10" customFormat="false" ht="22.35" hidden="false" customHeight="false" outlineLevel="0" collapsed="false">
      <c r="A10" s="57" t="s">
        <v>6091</v>
      </c>
      <c r="B10" s="58" t="s">
        <v>6061</v>
      </c>
      <c r="C10" s="58" t="s">
        <v>164</v>
      </c>
      <c r="D10" s="59" t="s">
        <v>6092</v>
      </c>
      <c r="E10" s="58" t="s">
        <v>232</v>
      </c>
      <c r="F10" s="60" t="s">
        <v>6093</v>
      </c>
      <c r="G10" s="58" t="s">
        <v>6094</v>
      </c>
      <c r="H10" s="58"/>
      <c r="I10" s="58"/>
      <c r="J10" s="58"/>
      <c r="K10" s="58"/>
      <c r="L10" s="58" t="s">
        <v>4653</v>
      </c>
      <c r="M10" s="58" t="s">
        <v>6095</v>
      </c>
      <c r="N10" s="61" t="s">
        <v>91</v>
      </c>
      <c r="O10" s="58" t="s">
        <v>1820</v>
      </c>
      <c r="P10" s="61" t="n">
        <v>701</v>
      </c>
    </row>
    <row r="11" customFormat="false" ht="22.35" hidden="false" customHeight="false" outlineLevel="0" collapsed="false">
      <c r="A11" s="22" t="s">
        <v>6096</v>
      </c>
      <c r="B11" s="17" t="s">
        <v>6061</v>
      </c>
      <c r="C11" s="17" t="s">
        <v>164</v>
      </c>
      <c r="D11" s="55" t="s">
        <v>6097</v>
      </c>
      <c r="E11" s="17" t="s">
        <v>232</v>
      </c>
      <c r="F11" s="56" t="s">
        <v>6098</v>
      </c>
      <c r="G11" s="17" t="s">
        <v>6099</v>
      </c>
      <c r="H11" s="17"/>
      <c r="I11" s="17"/>
      <c r="J11" s="17"/>
      <c r="K11" s="17"/>
      <c r="L11" s="17" t="s">
        <v>6100</v>
      </c>
      <c r="M11" s="17"/>
      <c r="N11" s="15" t="s">
        <v>91</v>
      </c>
      <c r="O11" s="17" t="s">
        <v>1962</v>
      </c>
      <c r="P11" s="15" t="n">
        <v>239</v>
      </c>
    </row>
    <row r="12" customFormat="false" ht="22.35" hidden="false" customHeight="false" outlineLevel="0" collapsed="false">
      <c r="A12" s="57" t="s">
        <v>6101</v>
      </c>
      <c r="B12" s="58" t="s">
        <v>6061</v>
      </c>
      <c r="C12" s="58" t="s">
        <v>165</v>
      </c>
      <c r="D12" s="59" t="s">
        <v>6102</v>
      </c>
      <c r="E12" s="58" t="s">
        <v>232</v>
      </c>
      <c r="F12" s="60" t="s">
        <v>6103</v>
      </c>
      <c r="G12" s="58" t="s">
        <v>6104</v>
      </c>
      <c r="H12" s="58"/>
      <c r="I12" s="58"/>
      <c r="J12" s="58"/>
      <c r="K12" s="58"/>
      <c r="L12" s="58" t="s">
        <v>4463</v>
      </c>
      <c r="M12" s="58"/>
      <c r="N12" s="61" t="s">
        <v>91</v>
      </c>
      <c r="O12" s="58" t="s">
        <v>1820</v>
      </c>
      <c r="P12" s="61" t="n">
        <v>347</v>
      </c>
    </row>
    <row r="13" customFormat="false" ht="22.35" hidden="false" customHeight="false" outlineLevel="0" collapsed="false">
      <c r="A13" s="22" t="s">
        <v>6105</v>
      </c>
      <c r="B13" s="17" t="s">
        <v>6061</v>
      </c>
      <c r="C13" s="17" t="s">
        <v>165</v>
      </c>
      <c r="D13" s="55" t="s">
        <v>6106</v>
      </c>
      <c r="E13" s="17" t="s">
        <v>232</v>
      </c>
      <c r="F13" s="56" t="s">
        <v>6107</v>
      </c>
      <c r="G13" s="17" t="s">
        <v>6108</v>
      </c>
      <c r="H13" s="17"/>
      <c r="I13" s="17"/>
      <c r="J13" s="17"/>
      <c r="K13" s="17"/>
      <c r="L13" s="17" t="s">
        <v>6109</v>
      </c>
      <c r="M13" s="17" t="s">
        <v>6110</v>
      </c>
      <c r="N13" s="15" t="s">
        <v>91</v>
      </c>
      <c r="O13" s="17" t="s">
        <v>1820</v>
      </c>
      <c r="P13" s="15" t="n">
        <v>1041</v>
      </c>
    </row>
    <row r="14" customFormat="false" ht="43.25" hidden="false" customHeight="false" outlineLevel="0" collapsed="false">
      <c r="A14" s="57" t="s">
        <v>6111</v>
      </c>
      <c r="B14" s="58" t="s">
        <v>6061</v>
      </c>
      <c r="C14" s="58" t="s">
        <v>165</v>
      </c>
      <c r="D14" s="59" t="s">
        <v>6112</v>
      </c>
      <c r="E14" s="58" t="s">
        <v>232</v>
      </c>
      <c r="F14" s="60" t="s">
        <v>6113</v>
      </c>
      <c r="G14" s="58" t="s">
        <v>6114</v>
      </c>
      <c r="H14" s="58"/>
      <c r="I14" s="58"/>
      <c r="J14" s="58"/>
      <c r="K14" s="58"/>
      <c r="L14" s="58" t="s">
        <v>6115</v>
      </c>
      <c r="M14" s="58"/>
      <c r="N14" s="61" t="s">
        <v>91</v>
      </c>
      <c r="O14" s="58" t="s">
        <v>1029</v>
      </c>
      <c r="P14" s="61" t="n">
        <v>260</v>
      </c>
    </row>
    <row r="15" customFormat="false" ht="22.35" hidden="false" customHeight="false" outlineLevel="0" collapsed="false">
      <c r="A15" s="22" t="s">
        <v>6116</v>
      </c>
      <c r="B15" s="17" t="s">
        <v>6061</v>
      </c>
      <c r="C15" s="17" t="s">
        <v>165</v>
      </c>
      <c r="D15" s="55" t="s">
        <v>6117</v>
      </c>
      <c r="E15" s="17" t="s">
        <v>232</v>
      </c>
      <c r="F15" s="56" t="s">
        <v>6118</v>
      </c>
      <c r="G15" s="17" t="s">
        <v>6119</v>
      </c>
      <c r="H15" s="17"/>
      <c r="I15" s="17"/>
      <c r="J15" s="17"/>
      <c r="K15" s="17"/>
      <c r="L15" s="17" t="s">
        <v>5267</v>
      </c>
      <c r="M15" s="17"/>
      <c r="N15" s="15" t="s">
        <v>91</v>
      </c>
      <c r="O15" s="17" t="s">
        <v>1029</v>
      </c>
      <c r="P15" s="15" t="n">
        <v>360</v>
      </c>
    </row>
    <row r="16" customFormat="false" ht="32.8" hidden="false" customHeight="false" outlineLevel="0" collapsed="false">
      <c r="A16" s="57" t="s">
        <v>6120</v>
      </c>
      <c r="B16" s="58" t="s">
        <v>6061</v>
      </c>
      <c r="C16" s="58" t="s">
        <v>165</v>
      </c>
      <c r="D16" s="59" t="s">
        <v>6121</v>
      </c>
      <c r="E16" s="58" t="s">
        <v>232</v>
      </c>
      <c r="F16" s="60" t="s">
        <v>6122</v>
      </c>
      <c r="G16" s="58" t="s">
        <v>6123</v>
      </c>
      <c r="H16" s="58"/>
      <c r="I16" s="58"/>
      <c r="J16" s="58"/>
      <c r="K16" s="58"/>
      <c r="L16" s="58" t="s">
        <v>6124</v>
      </c>
      <c r="M16" s="58"/>
      <c r="N16" s="61" t="s">
        <v>91</v>
      </c>
      <c r="O16" s="58" t="s">
        <v>1962</v>
      </c>
      <c r="P16" s="61" t="n">
        <v>169</v>
      </c>
    </row>
    <row r="17" customFormat="false" ht="32.8" hidden="false" customHeight="false" outlineLevel="0" collapsed="false">
      <c r="A17" s="22" t="s">
        <v>6125</v>
      </c>
      <c r="B17" s="17" t="s">
        <v>6061</v>
      </c>
      <c r="C17" s="17" t="s">
        <v>165</v>
      </c>
      <c r="D17" s="55" t="s">
        <v>6126</v>
      </c>
      <c r="E17" s="17" t="s">
        <v>232</v>
      </c>
      <c r="F17" s="56" t="s">
        <v>6127</v>
      </c>
      <c r="G17" s="17" t="s">
        <v>6128</v>
      </c>
      <c r="H17" s="17"/>
      <c r="I17" s="17"/>
      <c r="J17" s="17"/>
      <c r="K17" s="17"/>
      <c r="L17" s="17" t="s">
        <v>6129</v>
      </c>
      <c r="M17" s="17" t="s">
        <v>6130</v>
      </c>
      <c r="N17" s="15" t="s">
        <v>91</v>
      </c>
      <c r="O17" s="17" t="s">
        <v>6131</v>
      </c>
      <c r="P17" s="15" t="n">
        <v>83</v>
      </c>
    </row>
    <row r="18" customFormat="false" ht="32.8" hidden="false" customHeight="false" outlineLevel="0" collapsed="false">
      <c r="A18" s="57" t="s">
        <v>6132</v>
      </c>
      <c r="B18" s="58" t="s">
        <v>6061</v>
      </c>
      <c r="C18" s="58" t="s">
        <v>165</v>
      </c>
      <c r="D18" s="59" t="s">
        <v>6133</v>
      </c>
      <c r="E18" s="58" t="s">
        <v>232</v>
      </c>
      <c r="F18" s="60" t="s">
        <v>6134</v>
      </c>
      <c r="G18" s="58" t="s">
        <v>6135</v>
      </c>
      <c r="H18" s="58"/>
      <c r="I18" s="58"/>
      <c r="J18" s="58"/>
      <c r="K18" s="58"/>
      <c r="L18" s="58" t="s">
        <v>6136</v>
      </c>
      <c r="M18" s="58"/>
      <c r="N18" s="61" t="s">
        <v>91</v>
      </c>
      <c r="O18" s="58" t="s">
        <v>6078</v>
      </c>
      <c r="P18" s="61" t="n">
        <v>162</v>
      </c>
    </row>
    <row r="19" customFormat="false" ht="32.8" hidden="false" customHeight="false" outlineLevel="0" collapsed="false">
      <c r="A19" s="22" t="s">
        <v>6137</v>
      </c>
      <c r="B19" s="17" t="s">
        <v>6061</v>
      </c>
      <c r="C19" s="17" t="s">
        <v>165</v>
      </c>
      <c r="D19" s="55" t="s">
        <v>6138</v>
      </c>
      <c r="E19" s="17" t="s">
        <v>232</v>
      </c>
      <c r="F19" s="56" t="s">
        <v>6139</v>
      </c>
      <c r="G19" s="17" t="s">
        <v>6140</v>
      </c>
      <c r="H19" s="17"/>
      <c r="I19" s="17"/>
      <c r="J19" s="17"/>
      <c r="K19" s="17"/>
      <c r="L19" s="17" t="s">
        <v>6141</v>
      </c>
      <c r="M19" s="17" t="s">
        <v>6142</v>
      </c>
      <c r="N19" s="15" t="s">
        <v>91</v>
      </c>
      <c r="O19" s="17" t="s">
        <v>1986</v>
      </c>
      <c r="P19" s="15" t="n">
        <v>620</v>
      </c>
    </row>
    <row r="20" customFormat="false" ht="22.35" hidden="false" customHeight="false" outlineLevel="0" collapsed="false">
      <c r="A20" s="57" t="s">
        <v>6143</v>
      </c>
      <c r="B20" s="58" t="s">
        <v>6061</v>
      </c>
      <c r="C20" s="58" t="s">
        <v>165</v>
      </c>
      <c r="D20" s="59" t="s">
        <v>6144</v>
      </c>
      <c r="E20" s="58" t="s">
        <v>232</v>
      </c>
      <c r="F20" s="60" t="s">
        <v>6145</v>
      </c>
      <c r="G20" s="58" t="s">
        <v>6146</v>
      </c>
      <c r="H20" s="58"/>
      <c r="I20" s="58"/>
      <c r="J20" s="58"/>
      <c r="K20" s="58"/>
      <c r="L20" s="58" t="s">
        <v>6147</v>
      </c>
      <c r="M20" s="58"/>
      <c r="N20" s="61" t="s">
        <v>91</v>
      </c>
      <c r="O20" s="58" t="s">
        <v>1986</v>
      </c>
      <c r="P20" s="61" t="n">
        <v>686</v>
      </c>
    </row>
    <row r="21" customFormat="false" ht="22.35" hidden="false" customHeight="false" outlineLevel="0" collapsed="false">
      <c r="A21" s="22" t="s">
        <v>6148</v>
      </c>
      <c r="B21" s="17" t="s">
        <v>6061</v>
      </c>
      <c r="C21" s="17" t="s">
        <v>165</v>
      </c>
      <c r="D21" s="55" t="s">
        <v>6149</v>
      </c>
      <c r="E21" s="17" t="s">
        <v>232</v>
      </c>
      <c r="F21" s="56" t="s">
        <v>6150</v>
      </c>
      <c r="G21" s="17" t="s">
        <v>6151</v>
      </c>
      <c r="H21" s="17"/>
      <c r="I21" s="17"/>
      <c r="J21" s="17"/>
      <c r="K21" s="17"/>
      <c r="L21" s="17" t="s">
        <v>4753</v>
      </c>
      <c r="M21" s="17" t="s">
        <v>6152</v>
      </c>
      <c r="N21" s="15" t="s">
        <v>91</v>
      </c>
      <c r="O21" s="17" t="s">
        <v>1986</v>
      </c>
      <c r="P21" s="15" t="n">
        <v>770</v>
      </c>
    </row>
    <row r="22" customFormat="false" ht="22.35" hidden="false" customHeight="false" outlineLevel="0" collapsed="false">
      <c r="A22" s="57" t="s">
        <v>6153</v>
      </c>
      <c r="B22" s="58" t="s">
        <v>6061</v>
      </c>
      <c r="C22" s="58" t="s">
        <v>165</v>
      </c>
      <c r="D22" s="59" t="s">
        <v>6154</v>
      </c>
      <c r="E22" s="58" t="s">
        <v>232</v>
      </c>
      <c r="F22" s="60" t="s">
        <v>6155</v>
      </c>
      <c r="G22" s="58" t="s">
        <v>6156</v>
      </c>
      <c r="H22" s="58"/>
      <c r="I22" s="58"/>
      <c r="J22" s="58"/>
      <c r="K22" s="58"/>
      <c r="L22" s="58" t="s">
        <v>4740</v>
      </c>
      <c r="M22" s="58" t="s">
        <v>6157</v>
      </c>
      <c r="N22" s="61" t="s">
        <v>91</v>
      </c>
      <c r="O22" s="58" t="s">
        <v>1986</v>
      </c>
      <c r="P22" s="61" t="n">
        <v>824</v>
      </c>
    </row>
    <row r="23" customFormat="false" ht="32.8" hidden="false" customHeight="false" outlineLevel="0" collapsed="false">
      <c r="A23" s="22" t="s">
        <v>6158</v>
      </c>
      <c r="B23" s="17" t="s">
        <v>6061</v>
      </c>
      <c r="C23" s="17" t="s">
        <v>165</v>
      </c>
      <c r="D23" s="55" t="s">
        <v>6159</v>
      </c>
      <c r="E23" s="17" t="s">
        <v>232</v>
      </c>
      <c r="F23" s="56" t="s">
        <v>6160</v>
      </c>
      <c r="G23" s="17" t="s">
        <v>6161</v>
      </c>
      <c r="H23" s="17"/>
      <c r="I23" s="17"/>
      <c r="J23" s="17"/>
      <c r="K23" s="17"/>
      <c r="L23" s="17" t="s">
        <v>6162</v>
      </c>
      <c r="M23" s="17"/>
      <c r="N23" s="15" t="s">
        <v>91</v>
      </c>
      <c r="O23" s="17" t="s">
        <v>1986</v>
      </c>
      <c r="P23" s="15" t="n">
        <v>875</v>
      </c>
    </row>
    <row r="24" customFormat="false" ht="22.35" hidden="false" customHeight="false" outlineLevel="0" collapsed="false">
      <c r="A24" s="57" t="s">
        <v>6163</v>
      </c>
      <c r="B24" s="58" t="s">
        <v>6061</v>
      </c>
      <c r="C24" s="58" t="s">
        <v>165</v>
      </c>
      <c r="D24" s="59" t="s">
        <v>6164</v>
      </c>
      <c r="E24" s="58" t="s">
        <v>232</v>
      </c>
      <c r="F24" s="60" t="s">
        <v>6165</v>
      </c>
      <c r="G24" s="58" t="s">
        <v>6166</v>
      </c>
      <c r="H24" s="58"/>
      <c r="I24" s="58"/>
      <c r="J24" s="58"/>
      <c r="K24" s="58"/>
      <c r="L24" s="58" t="s">
        <v>4285</v>
      </c>
      <c r="M24" s="58"/>
      <c r="N24" s="61" t="s">
        <v>91</v>
      </c>
      <c r="O24" s="58" t="s">
        <v>4283</v>
      </c>
      <c r="P24" s="61" t="n">
        <v>53</v>
      </c>
    </row>
    <row r="25" customFormat="false" ht="32.8" hidden="false" customHeight="false" outlineLevel="0" collapsed="false">
      <c r="A25" s="22" t="s">
        <v>6167</v>
      </c>
      <c r="B25" s="17" t="s">
        <v>6061</v>
      </c>
      <c r="C25" s="17" t="s">
        <v>166</v>
      </c>
      <c r="D25" s="55" t="s">
        <v>6168</v>
      </c>
      <c r="E25" s="17" t="s">
        <v>232</v>
      </c>
      <c r="F25" s="56" t="s">
        <v>6169</v>
      </c>
      <c r="G25" s="17" t="s">
        <v>6170</v>
      </c>
      <c r="H25" s="17"/>
      <c r="I25" s="17"/>
      <c r="J25" s="17"/>
      <c r="K25" s="17"/>
      <c r="L25" s="17" t="s">
        <v>6171</v>
      </c>
      <c r="M25" s="17"/>
      <c r="N25" s="15" t="s">
        <v>91</v>
      </c>
      <c r="O25" s="17" t="s">
        <v>1820</v>
      </c>
      <c r="P25" s="15" t="n">
        <v>82</v>
      </c>
    </row>
    <row r="26" customFormat="false" ht="32.8" hidden="false" customHeight="false" outlineLevel="0" collapsed="false">
      <c r="A26" s="57" t="s">
        <v>6172</v>
      </c>
      <c r="B26" s="58" t="s">
        <v>6061</v>
      </c>
      <c r="C26" s="58" t="s">
        <v>166</v>
      </c>
      <c r="D26" s="59" t="s">
        <v>6173</v>
      </c>
      <c r="E26" s="58" t="s">
        <v>232</v>
      </c>
      <c r="F26" s="60" t="s">
        <v>6174</v>
      </c>
      <c r="G26" s="58" t="s">
        <v>6175</v>
      </c>
      <c r="H26" s="58"/>
      <c r="I26" s="58"/>
      <c r="J26" s="58"/>
      <c r="K26" s="58"/>
      <c r="L26" s="58" t="s">
        <v>6176</v>
      </c>
      <c r="M26" s="58"/>
      <c r="N26" s="61" t="s">
        <v>91</v>
      </c>
      <c r="O26" s="58" t="s">
        <v>1820</v>
      </c>
      <c r="P26" s="61" t="n">
        <v>116</v>
      </c>
    </row>
    <row r="27" customFormat="false" ht="43.25" hidden="false" customHeight="false" outlineLevel="0" collapsed="false">
      <c r="A27" s="22" t="s">
        <v>6177</v>
      </c>
      <c r="B27" s="17" t="s">
        <v>6061</v>
      </c>
      <c r="C27" s="17" t="s">
        <v>166</v>
      </c>
      <c r="D27" s="55" t="s">
        <v>6178</v>
      </c>
      <c r="E27" s="17" t="s">
        <v>232</v>
      </c>
      <c r="F27" s="56" t="s">
        <v>6179</v>
      </c>
      <c r="G27" s="17" t="s">
        <v>6180</v>
      </c>
      <c r="H27" s="17"/>
      <c r="I27" s="17"/>
      <c r="J27" s="17"/>
      <c r="K27" s="17"/>
      <c r="L27" s="17" t="s">
        <v>6181</v>
      </c>
      <c r="M27" s="17" t="s">
        <v>6182</v>
      </c>
      <c r="N27" s="15" t="s">
        <v>91</v>
      </c>
      <c r="O27" s="17" t="s">
        <v>1820</v>
      </c>
      <c r="P27" s="15" t="n">
        <v>692</v>
      </c>
    </row>
    <row r="28" customFormat="false" ht="32.8" hidden="false" customHeight="false" outlineLevel="0" collapsed="false">
      <c r="A28" s="57" t="s">
        <v>6183</v>
      </c>
      <c r="B28" s="58" t="s">
        <v>6061</v>
      </c>
      <c r="C28" s="58" t="s">
        <v>166</v>
      </c>
      <c r="D28" s="59" t="s">
        <v>6184</v>
      </c>
      <c r="E28" s="58" t="s">
        <v>232</v>
      </c>
      <c r="F28" s="60" t="s">
        <v>6185</v>
      </c>
      <c r="G28" s="58" t="s">
        <v>6186</v>
      </c>
      <c r="H28" s="58"/>
      <c r="I28" s="58"/>
      <c r="J28" s="58"/>
      <c r="K28" s="58"/>
      <c r="L28" s="58" t="s">
        <v>6187</v>
      </c>
      <c r="M28" s="58"/>
      <c r="N28" s="61" t="s">
        <v>91</v>
      </c>
      <c r="O28" s="58" t="s">
        <v>1064</v>
      </c>
      <c r="P28" s="61" t="n">
        <v>157</v>
      </c>
    </row>
    <row r="29" customFormat="false" ht="22.35" hidden="false" customHeight="false" outlineLevel="0" collapsed="false">
      <c r="A29" s="22" t="s">
        <v>6188</v>
      </c>
      <c r="B29" s="17" t="s">
        <v>6061</v>
      </c>
      <c r="C29" s="17" t="s">
        <v>166</v>
      </c>
      <c r="D29" s="55" t="s">
        <v>6189</v>
      </c>
      <c r="E29" s="17" t="s">
        <v>232</v>
      </c>
      <c r="F29" s="56" t="s">
        <v>6190</v>
      </c>
      <c r="G29" s="17" t="s">
        <v>6191</v>
      </c>
      <c r="H29" s="17"/>
      <c r="I29" s="17"/>
      <c r="J29" s="17"/>
      <c r="K29" s="17"/>
      <c r="L29" s="17" t="s">
        <v>6192</v>
      </c>
      <c r="M29" s="17"/>
      <c r="N29" s="15" t="s">
        <v>91</v>
      </c>
      <c r="O29" s="17" t="s">
        <v>6193</v>
      </c>
      <c r="P29" s="15" t="n">
        <v>27</v>
      </c>
    </row>
    <row r="30" customFormat="false" ht="43.25" hidden="false" customHeight="false" outlineLevel="0" collapsed="false">
      <c r="A30" s="57" t="s">
        <v>6194</v>
      </c>
      <c r="B30" s="58" t="s">
        <v>6061</v>
      </c>
      <c r="C30" s="58" t="s">
        <v>166</v>
      </c>
      <c r="D30" s="59" t="s">
        <v>6195</v>
      </c>
      <c r="E30" s="58" t="s">
        <v>232</v>
      </c>
      <c r="F30" s="60" t="s">
        <v>6196</v>
      </c>
      <c r="G30" s="58" t="s">
        <v>6197</v>
      </c>
      <c r="H30" s="58"/>
      <c r="I30" s="58"/>
      <c r="J30" s="58"/>
      <c r="K30" s="58"/>
      <c r="L30" s="58" t="s">
        <v>6198</v>
      </c>
      <c r="M30" s="58" t="s">
        <v>6199</v>
      </c>
      <c r="N30" s="61" t="s">
        <v>91</v>
      </c>
      <c r="O30" s="58" t="s">
        <v>1121</v>
      </c>
      <c r="P30" s="61" t="n">
        <v>364</v>
      </c>
    </row>
    <row r="31" customFormat="false" ht="15" hidden="false" customHeight="false" outlineLevel="0" collapsed="false">
      <c r="A31" s="22" t="s">
        <v>6200</v>
      </c>
      <c r="B31" s="17" t="s">
        <v>6061</v>
      </c>
      <c r="C31" s="17" t="s">
        <v>166</v>
      </c>
      <c r="D31" s="55" t="s">
        <v>6201</v>
      </c>
      <c r="E31" s="17" t="s">
        <v>232</v>
      </c>
      <c r="F31" s="56" t="s">
        <v>6202</v>
      </c>
      <c r="G31" s="17" t="s">
        <v>6203</v>
      </c>
      <c r="H31" s="17"/>
      <c r="I31" s="17"/>
      <c r="J31" s="17"/>
      <c r="K31" s="17"/>
      <c r="L31" s="17" t="s">
        <v>4285</v>
      </c>
      <c r="M31" s="17"/>
      <c r="N31" s="15" t="s">
        <v>91</v>
      </c>
      <c r="O31" s="17" t="s">
        <v>4283</v>
      </c>
      <c r="P31" s="15" t="n">
        <v>72</v>
      </c>
    </row>
    <row r="32" customFormat="false" ht="43.25" hidden="false" customHeight="false" outlineLevel="0" collapsed="false">
      <c r="A32" s="57" t="s">
        <v>6204</v>
      </c>
      <c r="B32" s="58" t="s">
        <v>6061</v>
      </c>
      <c r="C32" s="58" t="s">
        <v>166</v>
      </c>
      <c r="D32" s="59" t="s">
        <v>6205</v>
      </c>
      <c r="E32" s="58" t="s">
        <v>232</v>
      </c>
      <c r="F32" s="60" t="s">
        <v>6206</v>
      </c>
      <c r="G32" s="58" t="s">
        <v>6207</v>
      </c>
      <c r="H32" s="58"/>
      <c r="I32" s="58"/>
      <c r="J32" s="58"/>
      <c r="K32" s="58"/>
      <c r="L32" s="58" t="s">
        <v>6208</v>
      </c>
      <c r="M32" s="58" t="s">
        <v>6209</v>
      </c>
      <c r="N32" s="61" t="s">
        <v>91</v>
      </c>
      <c r="O32" s="58" t="s">
        <v>1175</v>
      </c>
      <c r="P32" s="61" t="n">
        <v>209</v>
      </c>
    </row>
    <row r="33" customFormat="false" ht="32.8" hidden="false" customHeight="false" outlineLevel="0" collapsed="false">
      <c r="A33" s="22" t="s">
        <v>6210</v>
      </c>
      <c r="B33" s="17" t="s">
        <v>6061</v>
      </c>
      <c r="C33" s="17" t="s">
        <v>166</v>
      </c>
      <c r="D33" s="55" t="s">
        <v>6211</v>
      </c>
      <c r="E33" s="17" t="s">
        <v>232</v>
      </c>
      <c r="F33" s="56" t="s">
        <v>6212</v>
      </c>
      <c r="G33" s="17" t="s">
        <v>6213</v>
      </c>
      <c r="H33" s="17"/>
      <c r="I33" s="17"/>
      <c r="J33" s="17"/>
      <c r="K33" s="17"/>
      <c r="L33" s="17" t="s">
        <v>6214</v>
      </c>
      <c r="M33" s="17" t="s">
        <v>6215</v>
      </c>
      <c r="N33" s="15" t="s">
        <v>91</v>
      </c>
      <c r="O33" s="17" t="s">
        <v>1175</v>
      </c>
      <c r="P33" s="15" t="n">
        <v>648</v>
      </c>
    </row>
    <row r="34" customFormat="false" ht="32.8" hidden="false" customHeight="false" outlineLevel="0" collapsed="false">
      <c r="A34" s="57" t="s">
        <v>6216</v>
      </c>
      <c r="B34" s="58" t="s">
        <v>6061</v>
      </c>
      <c r="C34" s="58" t="s">
        <v>166</v>
      </c>
      <c r="D34" s="59" t="s">
        <v>6217</v>
      </c>
      <c r="E34" s="58" t="s">
        <v>232</v>
      </c>
      <c r="F34" s="60" t="s">
        <v>6218</v>
      </c>
      <c r="G34" s="58" t="s">
        <v>6219</v>
      </c>
      <c r="H34" s="58"/>
      <c r="I34" s="58"/>
      <c r="J34" s="58"/>
      <c r="K34" s="58"/>
      <c r="L34" s="58" t="s">
        <v>6220</v>
      </c>
      <c r="M34" s="58" t="s">
        <v>6221</v>
      </c>
      <c r="N34" s="61" t="s">
        <v>91</v>
      </c>
      <c r="O34" s="58" t="s">
        <v>1175</v>
      </c>
      <c r="P34" s="61" t="n">
        <v>658</v>
      </c>
    </row>
    <row r="35" customFormat="false" ht="53.7" hidden="false" customHeight="false" outlineLevel="0" collapsed="false">
      <c r="A35" s="22" t="s">
        <v>6222</v>
      </c>
      <c r="B35" s="17" t="s">
        <v>6061</v>
      </c>
      <c r="C35" s="17" t="s">
        <v>166</v>
      </c>
      <c r="D35" s="55" t="s">
        <v>6223</v>
      </c>
      <c r="E35" s="17" t="s">
        <v>232</v>
      </c>
      <c r="F35" s="56" t="s">
        <v>6224</v>
      </c>
      <c r="G35" s="17" t="s">
        <v>6225</v>
      </c>
      <c r="H35" s="17"/>
      <c r="I35" s="17"/>
      <c r="J35" s="17"/>
      <c r="K35" s="17"/>
      <c r="L35" s="17" t="s">
        <v>6226</v>
      </c>
      <c r="M35" s="17" t="s">
        <v>6227</v>
      </c>
      <c r="N35" s="15" t="s">
        <v>91</v>
      </c>
      <c r="O35" s="17" t="s">
        <v>1175</v>
      </c>
      <c r="P35" s="15" t="n">
        <v>752</v>
      </c>
    </row>
    <row r="36" customFormat="false" ht="32.8" hidden="false" customHeight="false" outlineLevel="0" collapsed="false">
      <c r="A36" s="57" t="s">
        <v>6228</v>
      </c>
      <c r="B36" s="58" t="s">
        <v>6061</v>
      </c>
      <c r="C36" s="58" t="s">
        <v>166</v>
      </c>
      <c r="D36" s="59" t="s">
        <v>6229</v>
      </c>
      <c r="E36" s="58" t="s">
        <v>232</v>
      </c>
      <c r="F36" s="60" t="s">
        <v>6230</v>
      </c>
      <c r="G36" s="58" t="s">
        <v>6231</v>
      </c>
      <c r="H36" s="58"/>
      <c r="I36" s="58"/>
      <c r="J36" s="58"/>
      <c r="K36" s="58"/>
      <c r="L36" s="58" t="s">
        <v>6232</v>
      </c>
      <c r="M36" s="58" t="s">
        <v>6233</v>
      </c>
      <c r="N36" s="61" t="s">
        <v>91</v>
      </c>
      <c r="O36" s="58" t="s">
        <v>1175</v>
      </c>
      <c r="P36" s="61" t="n">
        <v>1760</v>
      </c>
    </row>
    <row r="37" customFormat="false" ht="32.8" hidden="false" customHeight="false" outlineLevel="0" collapsed="false">
      <c r="A37" s="22" t="s">
        <v>6234</v>
      </c>
      <c r="B37" s="17" t="s">
        <v>6061</v>
      </c>
      <c r="C37" s="17" t="s">
        <v>166</v>
      </c>
      <c r="D37" s="55" t="s">
        <v>6235</v>
      </c>
      <c r="E37" s="17" t="s">
        <v>232</v>
      </c>
      <c r="F37" s="56" t="s">
        <v>6236</v>
      </c>
      <c r="G37" s="17" t="s">
        <v>6237</v>
      </c>
      <c r="H37" s="17"/>
      <c r="I37" s="17"/>
      <c r="J37" s="17"/>
      <c r="K37" s="17"/>
      <c r="L37" s="17" t="s">
        <v>6238</v>
      </c>
      <c r="M37" s="17"/>
      <c r="N37" s="15" t="s">
        <v>91</v>
      </c>
      <c r="O37" s="17" t="s">
        <v>3651</v>
      </c>
      <c r="P37" s="15" t="n">
        <v>184</v>
      </c>
    </row>
    <row r="38" customFormat="false" ht="32.8" hidden="false" customHeight="false" outlineLevel="0" collapsed="false">
      <c r="A38" s="57" t="s">
        <v>6239</v>
      </c>
      <c r="B38" s="58" t="s">
        <v>6061</v>
      </c>
      <c r="C38" s="58" t="s">
        <v>167</v>
      </c>
      <c r="D38" s="59" t="s">
        <v>6240</v>
      </c>
      <c r="E38" s="58" t="s">
        <v>232</v>
      </c>
      <c r="F38" s="60" t="s">
        <v>6241</v>
      </c>
      <c r="G38" s="58" t="s">
        <v>6242</v>
      </c>
      <c r="H38" s="58"/>
      <c r="I38" s="58"/>
      <c r="J38" s="58"/>
      <c r="K38" s="58"/>
      <c r="L38" s="58" t="s">
        <v>4285</v>
      </c>
      <c r="M38" s="58"/>
      <c r="N38" s="61" t="s">
        <v>91</v>
      </c>
      <c r="O38" s="58" t="s">
        <v>4283</v>
      </c>
      <c r="P38" s="61" t="n">
        <v>45</v>
      </c>
    </row>
    <row r="39" customFormat="false" ht="22.35" hidden="false" customHeight="false" outlineLevel="0" collapsed="false">
      <c r="A39" s="22" t="s">
        <v>6243</v>
      </c>
      <c r="B39" s="17" t="s">
        <v>6061</v>
      </c>
      <c r="C39" s="17" t="s">
        <v>167</v>
      </c>
      <c r="D39" s="55" t="s">
        <v>6244</v>
      </c>
      <c r="E39" s="17" t="s">
        <v>232</v>
      </c>
      <c r="F39" s="56" t="s">
        <v>6245</v>
      </c>
      <c r="G39" s="17" t="s">
        <v>6246</v>
      </c>
      <c r="H39" s="17"/>
      <c r="I39" s="17"/>
      <c r="J39" s="17"/>
      <c r="K39" s="17"/>
      <c r="L39" s="17" t="s">
        <v>6247</v>
      </c>
      <c r="M39" s="17"/>
      <c r="N39" s="15" t="s">
        <v>91</v>
      </c>
      <c r="O39" s="17" t="s">
        <v>1175</v>
      </c>
      <c r="P39" s="15" t="n">
        <v>1704</v>
      </c>
    </row>
    <row r="40" customFormat="false" ht="22.35" hidden="false" customHeight="false" outlineLevel="0" collapsed="false">
      <c r="A40" s="57" t="s">
        <v>6248</v>
      </c>
      <c r="B40" s="58" t="s">
        <v>6061</v>
      </c>
      <c r="C40" s="58" t="s">
        <v>167</v>
      </c>
      <c r="D40" s="59" t="s">
        <v>6249</v>
      </c>
      <c r="E40" s="58" t="s">
        <v>232</v>
      </c>
      <c r="F40" s="60" t="s">
        <v>6250</v>
      </c>
      <c r="G40" s="58" t="s">
        <v>6251</v>
      </c>
      <c r="H40" s="58"/>
      <c r="I40" s="58"/>
      <c r="J40" s="58"/>
      <c r="K40" s="58"/>
      <c r="L40" s="58" t="s">
        <v>6252</v>
      </c>
      <c r="M40" s="58"/>
      <c r="N40" s="61" t="s">
        <v>91</v>
      </c>
      <c r="O40" s="58" t="s">
        <v>1184</v>
      </c>
      <c r="P40" s="61" t="n">
        <v>216</v>
      </c>
    </row>
    <row r="41" customFormat="false" ht="22.35" hidden="false" customHeight="false" outlineLevel="0" collapsed="false">
      <c r="A41" s="22" t="s">
        <v>6253</v>
      </c>
      <c r="B41" s="17" t="s">
        <v>6061</v>
      </c>
      <c r="C41" s="17" t="s">
        <v>167</v>
      </c>
      <c r="D41" s="55" t="s">
        <v>6254</v>
      </c>
      <c r="E41" s="17" t="s">
        <v>232</v>
      </c>
      <c r="F41" s="56" t="s">
        <v>6255</v>
      </c>
      <c r="G41" s="17" t="s">
        <v>6256</v>
      </c>
      <c r="H41" s="17"/>
      <c r="I41" s="17"/>
      <c r="J41" s="17"/>
      <c r="K41" s="17"/>
      <c r="L41" s="17" t="s">
        <v>6257</v>
      </c>
      <c r="M41" s="17"/>
      <c r="N41" s="15" t="s">
        <v>91</v>
      </c>
      <c r="O41" s="17" t="s">
        <v>1284</v>
      </c>
      <c r="P41" s="15" t="n">
        <v>521</v>
      </c>
    </row>
    <row r="42" customFormat="false" ht="32.8" hidden="false" customHeight="false" outlineLevel="0" collapsed="false">
      <c r="A42" s="57" t="s">
        <v>6258</v>
      </c>
      <c r="B42" s="58" t="s">
        <v>6061</v>
      </c>
      <c r="C42" s="58" t="s">
        <v>168</v>
      </c>
      <c r="D42" s="59" t="s">
        <v>6259</v>
      </c>
      <c r="E42" s="58" t="s">
        <v>232</v>
      </c>
      <c r="F42" s="60" t="s">
        <v>6260</v>
      </c>
      <c r="G42" s="58" t="s">
        <v>6261</v>
      </c>
      <c r="H42" s="58"/>
      <c r="I42" s="58"/>
      <c r="J42" s="58"/>
      <c r="K42" s="58"/>
      <c r="L42" s="58" t="s">
        <v>6262</v>
      </c>
      <c r="M42" s="58"/>
      <c r="N42" s="61" t="s">
        <v>91</v>
      </c>
      <c r="O42" s="58" t="s">
        <v>1094</v>
      </c>
      <c r="P42" s="61" t="n">
        <v>37</v>
      </c>
    </row>
    <row r="43" customFormat="false" ht="22.35" hidden="false" customHeight="false" outlineLevel="0" collapsed="false">
      <c r="A43" s="22" t="s">
        <v>6263</v>
      </c>
      <c r="B43" s="17" t="s">
        <v>6061</v>
      </c>
      <c r="C43" s="17" t="s">
        <v>168</v>
      </c>
      <c r="D43" s="55" t="s">
        <v>6264</v>
      </c>
      <c r="E43" s="17" t="s">
        <v>232</v>
      </c>
      <c r="F43" s="56" t="s">
        <v>6265</v>
      </c>
      <c r="G43" s="17" t="s">
        <v>6266</v>
      </c>
      <c r="H43" s="17"/>
      <c r="I43" s="17"/>
      <c r="J43" s="17"/>
      <c r="K43" s="17"/>
      <c r="L43" s="17" t="s">
        <v>3670</v>
      </c>
      <c r="M43" s="17" t="s">
        <v>6267</v>
      </c>
      <c r="N43" s="15" t="s">
        <v>91</v>
      </c>
      <c r="O43" s="17" t="s">
        <v>1175</v>
      </c>
      <c r="P43" s="15" t="n">
        <v>276</v>
      </c>
    </row>
    <row r="44" customFormat="false" ht="22.35" hidden="false" customHeight="false" outlineLevel="0" collapsed="false">
      <c r="A44" s="57" t="s">
        <v>6268</v>
      </c>
      <c r="B44" s="58" t="s">
        <v>6061</v>
      </c>
      <c r="C44" s="58" t="s">
        <v>168</v>
      </c>
      <c r="D44" s="59" t="s">
        <v>6269</v>
      </c>
      <c r="E44" s="58" t="s">
        <v>232</v>
      </c>
      <c r="F44" s="60" t="s">
        <v>6270</v>
      </c>
      <c r="G44" s="58" t="s">
        <v>6271</v>
      </c>
      <c r="H44" s="58"/>
      <c r="I44" s="58"/>
      <c r="J44" s="58"/>
      <c r="K44" s="58"/>
      <c r="L44" s="58" t="s">
        <v>6272</v>
      </c>
      <c r="M44" s="58"/>
      <c r="N44" s="61" t="s">
        <v>91</v>
      </c>
      <c r="O44" s="58" t="s">
        <v>1175</v>
      </c>
      <c r="P44" s="61" t="n">
        <v>408</v>
      </c>
    </row>
    <row r="45" customFormat="false" ht="32.8" hidden="false" customHeight="false" outlineLevel="0" collapsed="false">
      <c r="A45" s="22" t="s">
        <v>6273</v>
      </c>
      <c r="B45" s="17" t="s">
        <v>6061</v>
      </c>
      <c r="C45" s="17" t="s">
        <v>168</v>
      </c>
      <c r="D45" s="55" t="s">
        <v>6274</v>
      </c>
      <c r="E45" s="17" t="s">
        <v>232</v>
      </c>
      <c r="F45" s="56" t="s">
        <v>6275</v>
      </c>
      <c r="G45" s="17" t="s">
        <v>6276</v>
      </c>
      <c r="H45" s="17"/>
      <c r="I45" s="17"/>
      <c r="J45" s="17"/>
      <c r="K45" s="17"/>
      <c r="L45" s="17" t="s">
        <v>3829</v>
      </c>
      <c r="M45" s="17" t="s">
        <v>6277</v>
      </c>
      <c r="N45" s="15" t="s">
        <v>91</v>
      </c>
      <c r="O45" s="17" t="s">
        <v>1175</v>
      </c>
      <c r="P45" s="15" t="n">
        <v>899</v>
      </c>
    </row>
    <row r="46" customFormat="false" ht="43.25" hidden="false" customHeight="false" outlineLevel="0" collapsed="false">
      <c r="A46" s="57" t="s">
        <v>6278</v>
      </c>
      <c r="B46" s="58" t="s">
        <v>6061</v>
      </c>
      <c r="C46" s="58" t="s">
        <v>168</v>
      </c>
      <c r="D46" s="59" t="s">
        <v>6279</v>
      </c>
      <c r="E46" s="58" t="s">
        <v>232</v>
      </c>
      <c r="F46" s="60" t="s">
        <v>6280</v>
      </c>
      <c r="G46" s="58" t="s">
        <v>6281</v>
      </c>
      <c r="H46" s="58"/>
      <c r="I46" s="58"/>
      <c r="J46" s="58"/>
      <c r="K46" s="58"/>
      <c r="L46" s="58" t="s">
        <v>6282</v>
      </c>
      <c r="M46" s="58"/>
      <c r="N46" s="61" t="s">
        <v>91</v>
      </c>
      <c r="O46" s="58" t="s">
        <v>1175</v>
      </c>
      <c r="P46" s="61" t="n">
        <v>1615</v>
      </c>
    </row>
    <row r="47" customFormat="false" ht="43.25" hidden="false" customHeight="false" outlineLevel="0" collapsed="false">
      <c r="A47" s="22" t="s">
        <v>6283</v>
      </c>
      <c r="B47" s="17" t="s">
        <v>6061</v>
      </c>
      <c r="C47" s="17" t="s">
        <v>169</v>
      </c>
      <c r="D47" s="55" t="s">
        <v>6284</v>
      </c>
      <c r="E47" s="17" t="s">
        <v>232</v>
      </c>
      <c r="F47" s="56" t="s">
        <v>5830</v>
      </c>
      <c r="G47" s="17" t="s">
        <v>6285</v>
      </c>
      <c r="H47" s="17"/>
      <c r="I47" s="17"/>
      <c r="J47" s="17"/>
      <c r="K47" s="17"/>
      <c r="L47" s="17" t="s">
        <v>6286</v>
      </c>
      <c r="M47" s="17"/>
      <c r="N47" s="15" t="s">
        <v>91</v>
      </c>
      <c r="O47" s="17" t="s">
        <v>5834</v>
      </c>
      <c r="P47" s="15" t="n">
        <v>66</v>
      </c>
    </row>
  </sheetData>
  <autoFilter ref="A4:P47"/>
  <mergeCells count="1">
    <mergeCell ref="A2:J2"/>
  </mergeCells>
  <printOptions headings="false" gridLines="false" gridLinesSet="true" horizontalCentered="true" verticalCentered="false"/>
  <pageMargins left="0.4" right="0.4" top="0.5" bottom="0.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&amp;LiW-ASCEJ-01-API-Reference-R1.0-REL1.0&amp;C&amp;A&amp;RPage &amp;P of &amp;N</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P3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8"/>
    <col collapsed="false" customWidth="true" hidden="false" outlineLevel="0" max="4" min="4" style="0" width="30"/>
    <col collapsed="false" customWidth="true" hidden="false" outlineLevel="0" max="5" min="5" style="0" width="12"/>
    <col collapsed="false" customWidth="true" hidden="false" outlineLevel="0" max="6" min="6" style="0" width="46"/>
    <col collapsed="false" customWidth="true" hidden="false" outlineLevel="0" max="7" min="7" style="0" width="52"/>
    <col collapsed="false" customWidth="true" hidden="false" outlineLevel="0" max="9" min="8" style="0" width="34"/>
    <col collapsed="false" customWidth="true" hidden="false" outlineLevel="0" max="10" min="10" style="0" width="46"/>
    <col collapsed="false" customWidth="true" hidden="false" outlineLevel="0" max="11" min="11" style="0" width="10"/>
    <col collapsed="false" customWidth="true" hidden="false" outlineLevel="0" max="12" min="12" style="0" width="34"/>
    <col collapsed="false" customWidth="true" hidden="false" outlineLevel="0" max="13" min="13" style="0" width="40"/>
    <col collapsed="false" customWidth="true" hidden="false" outlineLevel="0" max="14" min="14" style="0" width="6"/>
    <col collapsed="false" customWidth="true" hidden="false" outlineLevel="0" max="15" min="15" style="0" width="46"/>
    <col collapsed="false" customWidth="true" hidden="false" outlineLevel="0" max="16" min="16" style="0" width="7"/>
  </cols>
  <sheetData>
    <row r="1" customFormat="false" ht="25.5" hidden="false" customHeight="true" outlineLevel="0" collapsed="false">
      <c r="A1" s="12" t="s">
        <v>6287</v>
      </c>
    </row>
    <row r="2" customFormat="false" ht="30" hidden="false" customHeight="true" outlineLevel="0" collapsed="false">
      <c r="A2" s="13" t="s">
        <v>62</v>
      </c>
      <c r="B2" s="13"/>
      <c r="C2" s="13"/>
      <c r="D2" s="13"/>
      <c r="E2" s="13"/>
      <c r="F2" s="13"/>
      <c r="G2" s="13"/>
      <c r="H2" s="13"/>
      <c r="I2" s="13"/>
      <c r="J2" s="13"/>
    </row>
    <row r="3" customFormat="false" ht="15" hidden="false" customHeight="false" outlineLevel="0" collapsed="false">
      <c r="A3" s="9" t="s">
        <v>6288</v>
      </c>
    </row>
    <row r="4" customFormat="false" ht="30" hidden="false" customHeight="true" outlineLevel="0" collapsed="false">
      <c r="A4" s="14" t="s">
        <v>398</v>
      </c>
      <c r="B4" s="14" t="s">
        <v>1006</v>
      </c>
      <c r="C4" s="14" t="s">
        <v>98</v>
      </c>
      <c r="D4" s="14" t="s">
        <v>1007</v>
      </c>
      <c r="E4" s="14" t="s">
        <v>220</v>
      </c>
      <c r="F4" s="14" t="s">
        <v>1008</v>
      </c>
      <c r="G4" s="14" t="s">
        <v>1009</v>
      </c>
      <c r="H4" s="14" t="s">
        <v>1010</v>
      </c>
      <c r="I4" s="14" t="s">
        <v>1011</v>
      </c>
      <c r="J4" s="14" t="s">
        <v>1012</v>
      </c>
      <c r="K4" s="14" t="s">
        <v>1013</v>
      </c>
      <c r="L4" s="14" t="s">
        <v>1014</v>
      </c>
      <c r="M4" s="14" t="s">
        <v>1015</v>
      </c>
      <c r="N4" s="14" t="s">
        <v>1016</v>
      </c>
      <c r="O4" s="14" t="s">
        <v>1017</v>
      </c>
      <c r="P4" s="14" t="s">
        <v>1018</v>
      </c>
    </row>
    <row r="5" customFormat="false" ht="32.8" hidden="false" customHeight="false" outlineLevel="0" collapsed="false">
      <c r="A5" s="22" t="s">
        <v>6289</v>
      </c>
      <c r="B5" s="17" t="s">
        <v>6290</v>
      </c>
      <c r="C5" s="17" t="s">
        <v>170</v>
      </c>
      <c r="D5" s="55" t="s">
        <v>6291</v>
      </c>
      <c r="E5" s="17" t="s">
        <v>226</v>
      </c>
      <c r="F5" s="56" t="s">
        <v>6292</v>
      </c>
      <c r="G5" s="17" t="s">
        <v>6293</v>
      </c>
      <c r="H5" s="17" t="s">
        <v>6294</v>
      </c>
      <c r="I5" s="17" t="s">
        <v>6295</v>
      </c>
      <c r="J5" s="17"/>
      <c r="K5" s="17"/>
      <c r="L5" s="17" t="s">
        <v>6296</v>
      </c>
      <c r="M5" s="17" t="s">
        <v>6297</v>
      </c>
      <c r="N5" s="15" t="s">
        <v>91</v>
      </c>
      <c r="O5" s="17" t="s">
        <v>6298</v>
      </c>
      <c r="P5" s="15" t="n">
        <v>1592</v>
      </c>
    </row>
    <row r="6" customFormat="false" ht="43.25" hidden="false" customHeight="false" outlineLevel="0" collapsed="false">
      <c r="A6" s="57" t="s">
        <v>6299</v>
      </c>
      <c r="B6" s="58" t="s">
        <v>6290</v>
      </c>
      <c r="C6" s="58" t="s">
        <v>170</v>
      </c>
      <c r="D6" s="59" t="s">
        <v>6300</v>
      </c>
      <c r="E6" s="58" t="s">
        <v>226</v>
      </c>
      <c r="F6" s="60" t="s">
        <v>6301</v>
      </c>
      <c r="G6" s="58" t="s">
        <v>6302</v>
      </c>
      <c r="H6" s="58" t="s">
        <v>6303</v>
      </c>
      <c r="I6" s="58" t="s">
        <v>6304</v>
      </c>
      <c r="J6" s="58" t="s">
        <v>6305</v>
      </c>
      <c r="K6" s="58" t="s">
        <v>700</v>
      </c>
      <c r="L6" s="58" t="s">
        <v>6296</v>
      </c>
      <c r="M6" s="58" t="s">
        <v>6306</v>
      </c>
      <c r="N6" s="61" t="s">
        <v>91</v>
      </c>
      <c r="O6" s="58" t="s">
        <v>6298</v>
      </c>
      <c r="P6" s="61" t="n">
        <v>1637</v>
      </c>
    </row>
    <row r="7" customFormat="false" ht="43.25" hidden="false" customHeight="false" outlineLevel="0" collapsed="false">
      <c r="A7" s="22" t="s">
        <v>6307</v>
      </c>
      <c r="B7" s="17" t="s">
        <v>6290</v>
      </c>
      <c r="C7" s="17" t="s">
        <v>170</v>
      </c>
      <c r="D7" s="55" t="s">
        <v>6308</v>
      </c>
      <c r="E7" s="17" t="s">
        <v>222</v>
      </c>
      <c r="F7" s="56" t="s">
        <v>6309</v>
      </c>
      <c r="G7" s="17" t="s">
        <v>6310</v>
      </c>
      <c r="H7" s="17" t="s">
        <v>6311</v>
      </c>
      <c r="I7" s="17" t="s">
        <v>6312</v>
      </c>
      <c r="J7" s="17"/>
      <c r="K7" s="17"/>
      <c r="L7" s="17"/>
      <c r="M7" s="17" t="s">
        <v>6313</v>
      </c>
      <c r="N7" s="15" t="s">
        <v>91</v>
      </c>
      <c r="O7" s="17" t="s">
        <v>6298</v>
      </c>
      <c r="P7" s="15" t="n">
        <v>1735</v>
      </c>
    </row>
    <row r="8" customFormat="false" ht="43.25" hidden="false" customHeight="false" outlineLevel="0" collapsed="false">
      <c r="A8" s="57" t="s">
        <v>6314</v>
      </c>
      <c r="B8" s="58" t="s">
        <v>6290</v>
      </c>
      <c r="C8" s="58" t="s">
        <v>170</v>
      </c>
      <c r="D8" s="59" t="s">
        <v>6315</v>
      </c>
      <c r="E8" s="58" t="s">
        <v>222</v>
      </c>
      <c r="F8" s="60" t="s">
        <v>6316</v>
      </c>
      <c r="G8" s="58" t="s">
        <v>6317</v>
      </c>
      <c r="H8" s="58" t="s">
        <v>6318</v>
      </c>
      <c r="I8" s="58" t="s">
        <v>6312</v>
      </c>
      <c r="J8" s="58"/>
      <c r="K8" s="58"/>
      <c r="L8" s="58" t="s">
        <v>6319</v>
      </c>
      <c r="M8" s="58"/>
      <c r="N8" s="61" t="s">
        <v>91</v>
      </c>
      <c r="O8" s="58" t="s">
        <v>6298</v>
      </c>
      <c r="P8" s="61" t="n">
        <v>1770</v>
      </c>
    </row>
    <row r="9" customFormat="false" ht="43.25" hidden="false" customHeight="false" outlineLevel="0" collapsed="false">
      <c r="A9" s="22" t="s">
        <v>6320</v>
      </c>
      <c r="B9" s="17" t="s">
        <v>6290</v>
      </c>
      <c r="C9" s="17" t="s">
        <v>170</v>
      </c>
      <c r="D9" s="55" t="s">
        <v>6321</v>
      </c>
      <c r="E9" s="17" t="s">
        <v>226</v>
      </c>
      <c r="F9" s="56" t="s">
        <v>6322</v>
      </c>
      <c r="G9" s="17" t="s">
        <v>6323</v>
      </c>
      <c r="H9" s="17" t="s">
        <v>6324</v>
      </c>
      <c r="I9" s="17"/>
      <c r="J9" s="17"/>
      <c r="K9" s="17"/>
      <c r="L9" s="17" t="s">
        <v>6325</v>
      </c>
      <c r="M9" s="17" t="s">
        <v>6326</v>
      </c>
      <c r="N9" s="15" t="s">
        <v>91</v>
      </c>
      <c r="O9" s="17" t="s">
        <v>6298</v>
      </c>
      <c r="P9" s="15" t="n">
        <v>1805</v>
      </c>
    </row>
    <row r="10" customFormat="false" ht="64.15" hidden="false" customHeight="false" outlineLevel="0" collapsed="false">
      <c r="A10" s="57" t="s">
        <v>6327</v>
      </c>
      <c r="B10" s="58" t="s">
        <v>6290</v>
      </c>
      <c r="C10" s="58" t="s">
        <v>170</v>
      </c>
      <c r="D10" s="59" t="s">
        <v>6328</v>
      </c>
      <c r="E10" s="58" t="s">
        <v>222</v>
      </c>
      <c r="F10" s="60" t="s">
        <v>6329</v>
      </c>
      <c r="G10" s="58" t="s">
        <v>6330</v>
      </c>
      <c r="H10" s="58" t="s">
        <v>6331</v>
      </c>
      <c r="I10" s="58" t="s">
        <v>6332</v>
      </c>
      <c r="J10" s="58" t="s">
        <v>6333</v>
      </c>
      <c r="K10" s="58" t="s">
        <v>1046</v>
      </c>
      <c r="L10" s="58" t="s">
        <v>6334</v>
      </c>
      <c r="M10" s="58" t="s">
        <v>6335</v>
      </c>
      <c r="N10" s="61" t="s">
        <v>91</v>
      </c>
      <c r="O10" s="58" t="s">
        <v>6298</v>
      </c>
      <c r="P10" s="61" t="n">
        <v>1841</v>
      </c>
    </row>
    <row r="11" customFormat="false" ht="43.25" hidden="false" customHeight="false" outlineLevel="0" collapsed="false">
      <c r="A11" s="22" t="s">
        <v>6336</v>
      </c>
      <c r="B11" s="17" t="s">
        <v>6290</v>
      </c>
      <c r="C11" s="17" t="s">
        <v>170</v>
      </c>
      <c r="D11" s="55" t="s">
        <v>6337</v>
      </c>
      <c r="E11" s="17" t="s">
        <v>222</v>
      </c>
      <c r="F11" s="56" t="s">
        <v>6338</v>
      </c>
      <c r="G11" s="17" t="s">
        <v>6339</v>
      </c>
      <c r="H11" s="17" t="s">
        <v>6340</v>
      </c>
      <c r="I11" s="17"/>
      <c r="J11" s="17"/>
      <c r="K11" s="17" t="s">
        <v>6341</v>
      </c>
      <c r="L11" s="17" t="s">
        <v>6342</v>
      </c>
      <c r="M11" s="17" t="s">
        <v>6343</v>
      </c>
      <c r="N11" s="15" t="s">
        <v>91</v>
      </c>
      <c r="O11" s="17" t="s">
        <v>6298</v>
      </c>
      <c r="P11" s="15" t="n">
        <v>2041</v>
      </c>
    </row>
    <row r="12" customFormat="false" ht="43.25" hidden="false" customHeight="false" outlineLevel="0" collapsed="false">
      <c r="A12" s="57" t="s">
        <v>6344</v>
      </c>
      <c r="B12" s="58" t="s">
        <v>6290</v>
      </c>
      <c r="C12" s="58" t="s">
        <v>170</v>
      </c>
      <c r="D12" s="59" t="s">
        <v>6345</v>
      </c>
      <c r="E12" s="58" t="s">
        <v>222</v>
      </c>
      <c r="F12" s="60" t="s">
        <v>6346</v>
      </c>
      <c r="G12" s="58" t="s">
        <v>6347</v>
      </c>
      <c r="H12" s="58" t="s">
        <v>6348</v>
      </c>
      <c r="I12" s="58"/>
      <c r="J12" s="58"/>
      <c r="K12" s="58" t="s">
        <v>656</v>
      </c>
      <c r="L12" s="58" t="s">
        <v>6349</v>
      </c>
      <c r="M12" s="58" t="s">
        <v>6350</v>
      </c>
      <c r="N12" s="61" t="s">
        <v>91</v>
      </c>
      <c r="O12" s="58" t="s">
        <v>6298</v>
      </c>
      <c r="P12" s="61" t="n">
        <v>2408</v>
      </c>
    </row>
    <row r="13" customFormat="false" ht="22.35" hidden="false" customHeight="false" outlineLevel="0" collapsed="false">
      <c r="A13" s="22" t="s">
        <v>6351</v>
      </c>
      <c r="B13" s="17" t="s">
        <v>6290</v>
      </c>
      <c r="C13" s="17" t="s">
        <v>171</v>
      </c>
      <c r="D13" s="55" t="s">
        <v>6352</v>
      </c>
      <c r="E13" s="17" t="s">
        <v>223</v>
      </c>
      <c r="F13" s="56" t="s">
        <v>6353</v>
      </c>
      <c r="G13" s="17" t="s">
        <v>6354</v>
      </c>
      <c r="H13" s="17"/>
      <c r="I13" s="17" t="s">
        <v>1404</v>
      </c>
      <c r="J13" s="17"/>
      <c r="K13" s="17" t="s">
        <v>6355</v>
      </c>
      <c r="L13" s="17"/>
      <c r="M13" s="17" t="s">
        <v>6356</v>
      </c>
      <c r="N13" s="15" t="s">
        <v>91</v>
      </c>
      <c r="O13" s="17" t="s">
        <v>6298</v>
      </c>
      <c r="P13" s="15" t="n">
        <v>78</v>
      </c>
    </row>
    <row r="14" customFormat="false" ht="22.35" hidden="false" customHeight="false" outlineLevel="0" collapsed="false">
      <c r="A14" s="57" t="s">
        <v>6357</v>
      </c>
      <c r="B14" s="58" t="s">
        <v>6290</v>
      </c>
      <c r="C14" s="58" t="s">
        <v>171</v>
      </c>
      <c r="D14" s="59" t="s">
        <v>6358</v>
      </c>
      <c r="E14" s="58" t="s">
        <v>223</v>
      </c>
      <c r="F14" s="60" t="s">
        <v>6359</v>
      </c>
      <c r="G14" s="58" t="s">
        <v>6360</v>
      </c>
      <c r="H14" s="58"/>
      <c r="I14" s="58" t="s">
        <v>1865</v>
      </c>
      <c r="J14" s="58"/>
      <c r="K14" s="58" t="s">
        <v>6355</v>
      </c>
      <c r="L14" s="58" t="s">
        <v>6361</v>
      </c>
      <c r="M14" s="58"/>
      <c r="N14" s="61" t="s">
        <v>91</v>
      </c>
      <c r="O14" s="58" t="s">
        <v>6298</v>
      </c>
      <c r="P14" s="61" t="n">
        <v>79</v>
      </c>
    </row>
    <row r="15" customFormat="false" ht="43.25" hidden="false" customHeight="false" outlineLevel="0" collapsed="false">
      <c r="A15" s="22" t="s">
        <v>6362</v>
      </c>
      <c r="B15" s="17" t="s">
        <v>6290</v>
      </c>
      <c r="C15" s="17" t="s">
        <v>171</v>
      </c>
      <c r="D15" s="55" t="s">
        <v>6363</v>
      </c>
      <c r="E15" s="17" t="s">
        <v>226</v>
      </c>
      <c r="F15" s="56" t="s">
        <v>6364</v>
      </c>
      <c r="G15" s="17" t="s">
        <v>6365</v>
      </c>
      <c r="H15" s="17" t="s">
        <v>6366</v>
      </c>
      <c r="I15" s="17"/>
      <c r="J15" s="17"/>
      <c r="K15" s="17"/>
      <c r="L15" s="17" t="s">
        <v>6367</v>
      </c>
      <c r="M15" s="17" t="s">
        <v>6368</v>
      </c>
      <c r="N15" s="15" t="s">
        <v>91</v>
      </c>
      <c r="O15" s="17" t="s">
        <v>6298</v>
      </c>
      <c r="P15" s="15" t="n">
        <v>395</v>
      </c>
    </row>
    <row r="16" customFormat="false" ht="32.8" hidden="false" customHeight="false" outlineLevel="0" collapsed="false">
      <c r="A16" s="57" t="s">
        <v>6369</v>
      </c>
      <c r="B16" s="58" t="s">
        <v>6290</v>
      </c>
      <c r="C16" s="58" t="s">
        <v>171</v>
      </c>
      <c r="D16" s="59" t="s">
        <v>6370</v>
      </c>
      <c r="E16" s="58" t="s">
        <v>226</v>
      </c>
      <c r="F16" s="60" t="s">
        <v>6371</v>
      </c>
      <c r="G16" s="58" t="s">
        <v>6372</v>
      </c>
      <c r="H16" s="58" t="s">
        <v>6373</v>
      </c>
      <c r="I16" s="58" t="s">
        <v>6374</v>
      </c>
      <c r="J16" s="58" t="s">
        <v>6375</v>
      </c>
      <c r="K16" s="58" t="s">
        <v>6355</v>
      </c>
      <c r="L16" s="58" t="s">
        <v>6376</v>
      </c>
      <c r="M16" s="58" t="s">
        <v>6377</v>
      </c>
      <c r="N16" s="61" t="s">
        <v>91</v>
      </c>
      <c r="O16" s="58" t="s">
        <v>6298</v>
      </c>
      <c r="P16" s="61" t="n">
        <v>410</v>
      </c>
    </row>
    <row r="17" customFormat="false" ht="53.7" hidden="false" customHeight="false" outlineLevel="0" collapsed="false">
      <c r="A17" s="22" t="s">
        <v>6378</v>
      </c>
      <c r="B17" s="17" t="s">
        <v>6290</v>
      </c>
      <c r="C17" s="17" t="s">
        <v>171</v>
      </c>
      <c r="D17" s="55" t="s">
        <v>6379</v>
      </c>
      <c r="E17" s="17" t="s">
        <v>222</v>
      </c>
      <c r="F17" s="56" t="s">
        <v>6380</v>
      </c>
      <c r="G17" s="17" t="s">
        <v>6381</v>
      </c>
      <c r="H17" s="17" t="s">
        <v>6382</v>
      </c>
      <c r="I17" s="17" t="s">
        <v>6383</v>
      </c>
      <c r="J17" s="17"/>
      <c r="K17" s="17"/>
      <c r="L17" s="17" t="s">
        <v>6384</v>
      </c>
      <c r="M17" s="17" t="s">
        <v>6385</v>
      </c>
      <c r="N17" s="15" t="s">
        <v>91</v>
      </c>
      <c r="O17" s="17" t="s">
        <v>6298</v>
      </c>
      <c r="P17" s="15" t="n">
        <v>445</v>
      </c>
    </row>
    <row r="18" customFormat="false" ht="32.8" hidden="false" customHeight="false" outlineLevel="0" collapsed="false">
      <c r="A18" s="57" t="s">
        <v>6386</v>
      </c>
      <c r="B18" s="58" t="s">
        <v>6290</v>
      </c>
      <c r="C18" s="58" t="s">
        <v>171</v>
      </c>
      <c r="D18" s="59" t="s">
        <v>6387</v>
      </c>
      <c r="E18" s="58" t="s">
        <v>222</v>
      </c>
      <c r="F18" s="60" t="s">
        <v>6388</v>
      </c>
      <c r="G18" s="58" t="s">
        <v>6389</v>
      </c>
      <c r="H18" s="58" t="s">
        <v>6390</v>
      </c>
      <c r="I18" s="58" t="s">
        <v>6391</v>
      </c>
      <c r="J18" s="58"/>
      <c r="K18" s="58"/>
      <c r="L18" s="58" t="s">
        <v>6392</v>
      </c>
      <c r="M18" s="58" t="s">
        <v>6393</v>
      </c>
      <c r="N18" s="61" t="s">
        <v>91</v>
      </c>
      <c r="O18" s="58" t="s">
        <v>6298</v>
      </c>
      <c r="P18" s="61" t="n">
        <v>515</v>
      </c>
    </row>
    <row r="19" customFormat="false" ht="43.25" hidden="false" customHeight="false" outlineLevel="0" collapsed="false">
      <c r="A19" s="22" t="s">
        <v>6394</v>
      </c>
      <c r="B19" s="17" t="s">
        <v>6290</v>
      </c>
      <c r="C19" s="17" t="s">
        <v>171</v>
      </c>
      <c r="D19" s="55" t="s">
        <v>6395</v>
      </c>
      <c r="E19" s="17" t="s">
        <v>222</v>
      </c>
      <c r="F19" s="56" t="s">
        <v>6396</v>
      </c>
      <c r="G19" s="17" t="s">
        <v>6397</v>
      </c>
      <c r="H19" s="17" t="s">
        <v>6398</v>
      </c>
      <c r="I19" s="17" t="s">
        <v>6399</v>
      </c>
      <c r="J19" s="17"/>
      <c r="K19" s="17"/>
      <c r="L19" s="17" t="s">
        <v>6400</v>
      </c>
      <c r="M19" s="17" t="s">
        <v>6401</v>
      </c>
      <c r="N19" s="15" t="s">
        <v>91</v>
      </c>
      <c r="O19" s="17" t="s">
        <v>6298</v>
      </c>
      <c r="P19" s="15" t="n">
        <v>631</v>
      </c>
    </row>
    <row r="20" customFormat="false" ht="64.15" hidden="false" customHeight="false" outlineLevel="0" collapsed="false">
      <c r="A20" s="57" t="s">
        <v>6402</v>
      </c>
      <c r="B20" s="58" t="s">
        <v>6290</v>
      </c>
      <c r="C20" s="58" t="s">
        <v>171</v>
      </c>
      <c r="D20" s="59" t="s">
        <v>6403</v>
      </c>
      <c r="E20" s="58" t="s">
        <v>226</v>
      </c>
      <c r="F20" s="60" t="s">
        <v>6404</v>
      </c>
      <c r="G20" s="58" t="s">
        <v>6405</v>
      </c>
      <c r="H20" s="58" t="s">
        <v>6406</v>
      </c>
      <c r="I20" s="58" t="s">
        <v>6407</v>
      </c>
      <c r="J20" s="58" t="s">
        <v>6408</v>
      </c>
      <c r="K20" s="58" t="s">
        <v>1046</v>
      </c>
      <c r="L20" s="58" t="s">
        <v>6409</v>
      </c>
      <c r="M20" s="58" t="s">
        <v>6410</v>
      </c>
      <c r="N20" s="61" t="s">
        <v>91</v>
      </c>
      <c r="O20" s="58" t="s">
        <v>6298</v>
      </c>
      <c r="P20" s="61" t="n">
        <v>683</v>
      </c>
    </row>
    <row r="21" customFormat="false" ht="32.8" hidden="false" customHeight="false" outlineLevel="0" collapsed="false">
      <c r="A21" s="22" t="s">
        <v>6411</v>
      </c>
      <c r="B21" s="17" t="s">
        <v>6290</v>
      </c>
      <c r="C21" s="17" t="s">
        <v>171</v>
      </c>
      <c r="D21" s="55" t="s">
        <v>6412</v>
      </c>
      <c r="E21" s="17" t="s">
        <v>228</v>
      </c>
      <c r="F21" s="56" t="s">
        <v>6413</v>
      </c>
      <c r="G21" s="17" t="s">
        <v>6414</v>
      </c>
      <c r="H21" s="17"/>
      <c r="I21" s="17" t="s">
        <v>6415</v>
      </c>
      <c r="J21" s="17"/>
      <c r="K21" s="17"/>
      <c r="L21" s="17" t="s">
        <v>6416</v>
      </c>
      <c r="M21" s="17"/>
      <c r="N21" s="15" t="s">
        <v>91</v>
      </c>
      <c r="O21" s="17" t="s">
        <v>6298</v>
      </c>
      <c r="P21" s="15" t="n">
        <v>784</v>
      </c>
    </row>
    <row r="22" customFormat="false" ht="53.7" hidden="false" customHeight="false" outlineLevel="0" collapsed="false">
      <c r="A22" s="57" t="s">
        <v>6417</v>
      </c>
      <c r="B22" s="58" t="s">
        <v>6290</v>
      </c>
      <c r="C22" s="58" t="s">
        <v>171</v>
      </c>
      <c r="D22" s="59" t="s">
        <v>6418</v>
      </c>
      <c r="E22" s="58" t="s">
        <v>226</v>
      </c>
      <c r="F22" s="60" t="s">
        <v>6419</v>
      </c>
      <c r="G22" s="58" t="s">
        <v>6420</v>
      </c>
      <c r="H22" s="58"/>
      <c r="I22" s="58"/>
      <c r="J22" s="58" t="s">
        <v>6421</v>
      </c>
      <c r="K22" s="58" t="s">
        <v>1046</v>
      </c>
      <c r="L22" s="58" t="s">
        <v>6416</v>
      </c>
      <c r="M22" s="58" t="s">
        <v>6422</v>
      </c>
      <c r="N22" s="61" t="s">
        <v>91</v>
      </c>
      <c r="O22" s="58" t="s">
        <v>6298</v>
      </c>
      <c r="P22" s="61" t="n">
        <v>964</v>
      </c>
    </row>
    <row r="23" customFormat="false" ht="22.35" hidden="false" customHeight="false" outlineLevel="0" collapsed="false">
      <c r="A23" s="22" t="s">
        <v>6423</v>
      </c>
      <c r="B23" s="17" t="s">
        <v>6290</v>
      </c>
      <c r="C23" s="17" t="s">
        <v>171</v>
      </c>
      <c r="D23" s="55" t="s">
        <v>6424</v>
      </c>
      <c r="E23" s="17" t="s">
        <v>226</v>
      </c>
      <c r="F23" s="56" t="s">
        <v>6425</v>
      </c>
      <c r="G23" s="17" t="s">
        <v>6426</v>
      </c>
      <c r="H23" s="17"/>
      <c r="I23" s="17"/>
      <c r="J23" s="17" t="s">
        <v>6427</v>
      </c>
      <c r="K23" s="17" t="s">
        <v>1046</v>
      </c>
      <c r="L23" s="17" t="s">
        <v>6416</v>
      </c>
      <c r="M23" s="17"/>
      <c r="N23" s="15" t="s">
        <v>91</v>
      </c>
      <c r="O23" s="17" t="s">
        <v>6298</v>
      </c>
      <c r="P23" s="15" t="n">
        <v>1017</v>
      </c>
    </row>
    <row r="24" customFormat="false" ht="53.7" hidden="false" customHeight="false" outlineLevel="0" collapsed="false">
      <c r="A24" s="57" t="s">
        <v>6428</v>
      </c>
      <c r="B24" s="58" t="s">
        <v>6290</v>
      </c>
      <c r="C24" s="58" t="s">
        <v>171</v>
      </c>
      <c r="D24" s="59" t="s">
        <v>6429</v>
      </c>
      <c r="E24" s="58" t="s">
        <v>222</v>
      </c>
      <c r="F24" s="60" t="s">
        <v>6430</v>
      </c>
      <c r="G24" s="58" t="s">
        <v>6431</v>
      </c>
      <c r="H24" s="58" t="s">
        <v>6432</v>
      </c>
      <c r="I24" s="58" t="s">
        <v>6433</v>
      </c>
      <c r="J24" s="58"/>
      <c r="K24" s="58" t="s">
        <v>1046</v>
      </c>
      <c r="L24" s="58" t="s">
        <v>6434</v>
      </c>
      <c r="M24" s="58" t="s">
        <v>6435</v>
      </c>
      <c r="N24" s="61" t="s">
        <v>91</v>
      </c>
      <c r="O24" s="58" t="s">
        <v>6298</v>
      </c>
      <c r="P24" s="61" t="n">
        <v>1331</v>
      </c>
    </row>
    <row r="25" customFormat="false" ht="64.15" hidden="false" customHeight="false" outlineLevel="0" collapsed="false">
      <c r="A25" s="22" t="s">
        <v>6436</v>
      </c>
      <c r="B25" s="17" t="s">
        <v>6290</v>
      </c>
      <c r="C25" s="17" t="s">
        <v>171</v>
      </c>
      <c r="D25" s="55" t="s">
        <v>6437</v>
      </c>
      <c r="E25" s="17" t="s">
        <v>222</v>
      </c>
      <c r="F25" s="56" t="s">
        <v>6438</v>
      </c>
      <c r="G25" s="17" t="s">
        <v>6439</v>
      </c>
      <c r="H25" s="17" t="s">
        <v>6440</v>
      </c>
      <c r="I25" s="17" t="s">
        <v>6441</v>
      </c>
      <c r="J25" s="17"/>
      <c r="K25" s="17" t="s">
        <v>6355</v>
      </c>
      <c r="L25" s="17" t="s">
        <v>6442</v>
      </c>
      <c r="M25" s="17" t="s">
        <v>6443</v>
      </c>
      <c r="N25" s="15" t="s">
        <v>91</v>
      </c>
      <c r="O25" s="17" t="s">
        <v>6298</v>
      </c>
      <c r="P25" s="15" t="n">
        <v>1362</v>
      </c>
    </row>
    <row r="26" customFormat="false" ht="32.8" hidden="false" customHeight="false" outlineLevel="0" collapsed="false">
      <c r="A26" s="57" t="s">
        <v>6444</v>
      </c>
      <c r="B26" s="58" t="s">
        <v>6290</v>
      </c>
      <c r="C26" s="58" t="s">
        <v>171</v>
      </c>
      <c r="D26" s="59" t="s">
        <v>6445</v>
      </c>
      <c r="E26" s="58" t="s">
        <v>222</v>
      </c>
      <c r="F26" s="60" t="s">
        <v>6446</v>
      </c>
      <c r="G26" s="58" t="s">
        <v>6447</v>
      </c>
      <c r="H26" s="58" t="s">
        <v>6390</v>
      </c>
      <c r="I26" s="58"/>
      <c r="J26" s="58"/>
      <c r="K26" s="58"/>
      <c r="L26" s="58" t="s">
        <v>6448</v>
      </c>
      <c r="M26" s="58"/>
      <c r="N26" s="61" t="s">
        <v>91</v>
      </c>
      <c r="O26" s="58" t="s">
        <v>6298</v>
      </c>
      <c r="P26" s="61" t="n">
        <v>1418</v>
      </c>
    </row>
    <row r="27" customFormat="false" ht="32.8" hidden="false" customHeight="false" outlineLevel="0" collapsed="false">
      <c r="A27" s="22" t="s">
        <v>6449</v>
      </c>
      <c r="B27" s="17" t="s">
        <v>6290</v>
      </c>
      <c r="C27" s="17" t="s">
        <v>171</v>
      </c>
      <c r="D27" s="55" t="s">
        <v>6450</v>
      </c>
      <c r="E27" s="17" t="s">
        <v>226</v>
      </c>
      <c r="F27" s="56" t="s">
        <v>6451</v>
      </c>
      <c r="G27" s="17" t="s">
        <v>6452</v>
      </c>
      <c r="H27" s="17" t="s">
        <v>6324</v>
      </c>
      <c r="I27" s="17"/>
      <c r="J27" s="17"/>
      <c r="K27" s="17"/>
      <c r="L27" s="17" t="s">
        <v>6453</v>
      </c>
      <c r="M27" s="17"/>
      <c r="N27" s="15" t="s">
        <v>91</v>
      </c>
      <c r="O27" s="17" t="s">
        <v>6298</v>
      </c>
      <c r="P27" s="15" t="n">
        <v>1621</v>
      </c>
    </row>
    <row r="28" customFormat="false" ht="32.8" hidden="false" customHeight="false" outlineLevel="0" collapsed="false">
      <c r="A28" s="57" t="s">
        <v>6454</v>
      </c>
      <c r="B28" s="58" t="s">
        <v>6290</v>
      </c>
      <c r="C28" s="58" t="s">
        <v>171</v>
      </c>
      <c r="D28" s="59" t="s">
        <v>6455</v>
      </c>
      <c r="E28" s="58" t="s">
        <v>223</v>
      </c>
      <c r="F28" s="60" t="s">
        <v>6456</v>
      </c>
      <c r="G28" s="58" t="s">
        <v>6457</v>
      </c>
      <c r="H28" s="58"/>
      <c r="I28" s="58"/>
      <c r="J28" s="58" t="s">
        <v>6458</v>
      </c>
      <c r="K28" s="58" t="s">
        <v>1046</v>
      </c>
      <c r="L28" s="58" t="s">
        <v>6459</v>
      </c>
      <c r="M28" s="58" t="s">
        <v>6460</v>
      </c>
      <c r="N28" s="61" t="s">
        <v>91</v>
      </c>
      <c r="O28" s="58" t="s">
        <v>6298</v>
      </c>
      <c r="P28" s="61" t="n">
        <v>1988</v>
      </c>
    </row>
    <row r="29" customFormat="false" ht="22.35" hidden="false" customHeight="false" outlineLevel="0" collapsed="false">
      <c r="A29" s="22" t="s">
        <v>6461</v>
      </c>
      <c r="B29" s="17" t="s">
        <v>6290</v>
      </c>
      <c r="C29" s="17" t="s">
        <v>171</v>
      </c>
      <c r="D29" s="55" t="s">
        <v>6462</v>
      </c>
      <c r="E29" s="17" t="s">
        <v>222</v>
      </c>
      <c r="F29" s="56" t="s">
        <v>6463</v>
      </c>
      <c r="G29" s="17" t="s">
        <v>6464</v>
      </c>
      <c r="H29" s="17" t="s">
        <v>6348</v>
      </c>
      <c r="I29" s="17"/>
      <c r="J29" s="17"/>
      <c r="K29" s="17"/>
      <c r="L29" s="17" t="s">
        <v>6465</v>
      </c>
      <c r="M29" s="17" t="s">
        <v>6466</v>
      </c>
      <c r="N29" s="15" t="s">
        <v>91</v>
      </c>
      <c r="O29" s="17" t="s">
        <v>6298</v>
      </c>
      <c r="P29" s="15" t="n">
        <v>2527</v>
      </c>
    </row>
    <row r="30" customFormat="false" ht="22.35" hidden="false" customHeight="false" outlineLevel="0" collapsed="false">
      <c r="A30" s="57" t="s">
        <v>6467</v>
      </c>
      <c r="B30" s="58" t="s">
        <v>6290</v>
      </c>
      <c r="C30" s="58" t="s">
        <v>171</v>
      </c>
      <c r="D30" s="59" t="s">
        <v>6468</v>
      </c>
      <c r="E30" s="58" t="s">
        <v>222</v>
      </c>
      <c r="F30" s="60" t="s">
        <v>6469</v>
      </c>
      <c r="G30" s="58" t="s">
        <v>6470</v>
      </c>
      <c r="H30" s="58" t="s">
        <v>6348</v>
      </c>
      <c r="I30" s="58"/>
      <c r="J30" s="58"/>
      <c r="K30" s="58"/>
      <c r="L30" s="58" t="s">
        <v>6471</v>
      </c>
      <c r="M30" s="58" t="s">
        <v>6472</v>
      </c>
      <c r="N30" s="61" t="s">
        <v>91</v>
      </c>
      <c r="O30" s="58" t="s">
        <v>6298</v>
      </c>
      <c r="P30" s="61" t="n">
        <v>2617</v>
      </c>
    </row>
    <row r="31" customFormat="false" ht="22.35" hidden="false" customHeight="false" outlineLevel="0" collapsed="false">
      <c r="A31" s="22" t="s">
        <v>6473</v>
      </c>
      <c r="B31" s="17" t="s">
        <v>6290</v>
      </c>
      <c r="C31" s="17" t="s">
        <v>171</v>
      </c>
      <c r="D31" s="55" t="s">
        <v>6474</v>
      </c>
      <c r="E31" s="17" t="s">
        <v>222</v>
      </c>
      <c r="F31" s="56" t="s">
        <v>6475</v>
      </c>
      <c r="G31" s="17" t="s">
        <v>6476</v>
      </c>
      <c r="H31" s="17" t="s">
        <v>6348</v>
      </c>
      <c r="I31" s="17"/>
      <c r="J31" s="17"/>
      <c r="K31" s="17"/>
      <c r="L31" s="17" t="s">
        <v>6477</v>
      </c>
      <c r="M31" s="17" t="s">
        <v>6478</v>
      </c>
      <c r="N31" s="15" t="s">
        <v>91</v>
      </c>
      <c r="O31" s="17" t="s">
        <v>6298</v>
      </c>
      <c r="P31" s="15" t="n">
        <v>2636</v>
      </c>
    </row>
    <row r="32" customFormat="false" ht="22.35" hidden="false" customHeight="false" outlineLevel="0" collapsed="false">
      <c r="A32" s="57" t="s">
        <v>6479</v>
      </c>
      <c r="B32" s="58" t="s">
        <v>6290</v>
      </c>
      <c r="C32" s="58" t="s">
        <v>171</v>
      </c>
      <c r="D32" s="59" t="s">
        <v>6480</v>
      </c>
      <c r="E32" s="58" t="s">
        <v>222</v>
      </c>
      <c r="F32" s="60" t="s">
        <v>6481</v>
      </c>
      <c r="G32" s="58" t="s">
        <v>6482</v>
      </c>
      <c r="H32" s="58" t="s">
        <v>6348</v>
      </c>
      <c r="I32" s="58"/>
      <c r="J32" s="58"/>
      <c r="K32" s="58"/>
      <c r="L32" s="58" t="s">
        <v>6483</v>
      </c>
      <c r="M32" s="58"/>
      <c r="N32" s="61" t="s">
        <v>91</v>
      </c>
      <c r="O32" s="58" t="s">
        <v>6298</v>
      </c>
      <c r="P32" s="61" t="n">
        <v>2649</v>
      </c>
    </row>
    <row r="33" customFormat="false" ht="64.15" hidden="false" customHeight="false" outlineLevel="0" collapsed="false">
      <c r="A33" s="22" t="s">
        <v>6484</v>
      </c>
      <c r="B33" s="17" t="s">
        <v>6290</v>
      </c>
      <c r="C33" s="17" t="s">
        <v>172</v>
      </c>
      <c r="D33" s="55" t="s">
        <v>6485</v>
      </c>
      <c r="E33" s="17" t="s">
        <v>222</v>
      </c>
      <c r="F33" s="56" t="s">
        <v>6486</v>
      </c>
      <c r="G33" s="17" t="s">
        <v>6487</v>
      </c>
      <c r="H33" s="17" t="s">
        <v>6488</v>
      </c>
      <c r="I33" s="17" t="s">
        <v>6489</v>
      </c>
      <c r="J33" s="17" t="s">
        <v>6490</v>
      </c>
      <c r="K33" s="17" t="s">
        <v>6491</v>
      </c>
      <c r="L33" s="17" t="s">
        <v>6492</v>
      </c>
      <c r="M33" s="17" t="s">
        <v>6493</v>
      </c>
      <c r="N33" s="15" t="s">
        <v>91</v>
      </c>
      <c r="O33" s="17" t="s">
        <v>6298</v>
      </c>
      <c r="P33" s="15" t="n">
        <v>2078</v>
      </c>
    </row>
    <row r="34" customFormat="false" ht="53.7" hidden="false" customHeight="false" outlineLevel="0" collapsed="false">
      <c r="A34" s="57" t="s">
        <v>6494</v>
      </c>
      <c r="B34" s="58" t="s">
        <v>6290</v>
      </c>
      <c r="C34" s="58" t="s">
        <v>172</v>
      </c>
      <c r="D34" s="59" t="s">
        <v>6495</v>
      </c>
      <c r="E34" s="58" t="s">
        <v>222</v>
      </c>
      <c r="F34" s="60" t="s">
        <v>6496</v>
      </c>
      <c r="G34" s="58" t="s">
        <v>6497</v>
      </c>
      <c r="H34" s="58" t="s">
        <v>6498</v>
      </c>
      <c r="I34" s="58" t="s">
        <v>6499</v>
      </c>
      <c r="J34" s="58"/>
      <c r="K34" s="58"/>
      <c r="L34" s="58" t="s">
        <v>6500</v>
      </c>
      <c r="M34" s="58" t="s">
        <v>6501</v>
      </c>
      <c r="N34" s="61" t="s">
        <v>91</v>
      </c>
      <c r="O34" s="58" t="s">
        <v>6298</v>
      </c>
      <c r="P34" s="61" t="n">
        <v>2267</v>
      </c>
    </row>
    <row r="35" customFormat="false" ht="32.8" hidden="false" customHeight="false" outlineLevel="0" collapsed="false">
      <c r="A35" s="22" t="s">
        <v>6502</v>
      </c>
      <c r="B35" s="17" t="s">
        <v>6290</v>
      </c>
      <c r="C35" s="17" t="s">
        <v>172</v>
      </c>
      <c r="D35" s="55" t="s">
        <v>6485</v>
      </c>
      <c r="E35" s="17" t="s">
        <v>226</v>
      </c>
      <c r="F35" s="56" t="s">
        <v>6503</v>
      </c>
      <c r="G35" s="17" t="s">
        <v>6504</v>
      </c>
      <c r="H35" s="17"/>
      <c r="I35" s="17" t="s">
        <v>6505</v>
      </c>
      <c r="J35" s="17"/>
      <c r="K35" s="17"/>
      <c r="L35" s="17" t="s">
        <v>6506</v>
      </c>
      <c r="M35" s="17"/>
      <c r="N35" s="15" t="s">
        <v>91</v>
      </c>
      <c r="O35" s="17" t="s">
        <v>6507</v>
      </c>
      <c r="P35" s="15" t="n">
        <v>200</v>
      </c>
    </row>
    <row r="36" customFormat="false" ht="32.8" hidden="false" customHeight="false" outlineLevel="0" collapsed="false">
      <c r="A36" s="57" t="s">
        <v>6508</v>
      </c>
      <c r="B36" s="58" t="s">
        <v>6290</v>
      </c>
      <c r="C36" s="58" t="s">
        <v>172</v>
      </c>
      <c r="D36" s="59" t="s">
        <v>6495</v>
      </c>
      <c r="E36" s="58" t="s">
        <v>226</v>
      </c>
      <c r="F36" s="60" t="s">
        <v>6509</v>
      </c>
      <c r="G36" s="58" t="s">
        <v>6504</v>
      </c>
      <c r="H36" s="58"/>
      <c r="I36" s="58" t="s">
        <v>6510</v>
      </c>
      <c r="J36" s="58"/>
      <c r="K36" s="58"/>
      <c r="L36" s="58"/>
      <c r="M36" s="58"/>
      <c r="N36" s="61" t="s">
        <v>91</v>
      </c>
      <c r="O36" s="58" t="s">
        <v>6507</v>
      </c>
      <c r="P36" s="61" t="n">
        <v>206</v>
      </c>
    </row>
    <row r="37" customFormat="false" ht="32.8" hidden="false" customHeight="false" outlineLevel="0" collapsed="false">
      <c r="A37" s="22" t="s">
        <v>6511</v>
      </c>
      <c r="B37" s="17" t="s">
        <v>6290</v>
      </c>
      <c r="C37" s="17" t="s">
        <v>172</v>
      </c>
      <c r="D37" s="55" t="s">
        <v>6512</v>
      </c>
      <c r="E37" s="17" t="s">
        <v>226</v>
      </c>
      <c r="F37" s="56" t="s">
        <v>6513</v>
      </c>
      <c r="G37" s="17" t="s">
        <v>6514</v>
      </c>
      <c r="H37" s="17"/>
      <c r="I37" s="17" t="s">
        <v>6515</v>
      </c>
      <c r="J37" s="17"/>
      <c r="K37" s="17"/>
      <c r="L37" s="17" t="s">
        <v>6516</v>
      </c>
      <c r="M37" s="17" t="s">
        <v>6517</v>
      </c>
      <c r="N37" s="15" t="s">
        <v>91</v>
      </c>
      <c r="O37" s="17" t="s">
        <v>6518</v>
      </c>
      <c r="P37" s="15" t="n">
        <v>18</v>
      </c>
    </row>
    <row r="38" customFormat="false" ht="32.8" hidden="false" customHeight="false" outlineLevel="0" collapsed="false">
      <c r="A38" s="57" t="s">
        <v>6519</v>
      </c>
      <c r="B38" s="58" t="s">
        <v>6290</v>
      </c>
      <c r="C38" s="58" t="s">
        <v>172</v>
      </c>
      <c r="D38" s="59" t="s">
        <v>6520</v>
      </c>
      <c r="E38" s="58" t="s">
        <v>226</v>
      </c>
      <c r="F38" s="60" t="s">
        <v>6521</v>
      </c>
      <c r="G38" s="58" t="s">
        <v>6522</v>
      </c>
      <c r="H38" s="58"/>
      <c r="I38" s="58" t="s">
        <v>6383</v>
      </c>
      <c r="J38" s="58"/>
      <c r="K38" s="58"/>
      <c r="L38" s="58" t="s">
        <v>6516</v>
      </c>
      <c r="M38" s="58" t="s">
        <v>6517</v>
      </c>
      <c r="N38" s="61" t="s">
        <v>91</v>
      </c>
      <c r="O38" s="58" t="s">
        <v>6518</v>
      </c>
      <c r="P38" s="61" t="n">
        <v>26</v>
      </c>
    </row>
    <row r="39" customFormat="false" ht="43.25" hidden="false" customHeight="false" outlineLevel="0" collapsed="false">
      <c r="A39" s="22" t="s">
        <v>6523</v>
      </c>
      <c r="B39" s="17" t="s">
        <v>6290</v>
      </c>
      <c r="C39" s="17" t="s">
        <v>172</v>
      </c>
      <c r="D39" s="55" t="s">
        <v>6524</v>
      </c>
      <c r="E39" s="17" t="s">
        <v>226</v>
      </c>
      <c r="F39" s="56" t="s">
        <v>6525</v>
      </c>
      <c r="G39" s="17" t="s">
        <v>6526</v>
      </c>
      <c r="H39" s="17"/>
      <c r="I39" s="17" t="s">
        <v>6527</v>
      </c>
      <c r="J39" s="17"/>
      <c r="K39" s="17"/>
      <c r="L39" s="17" t="s">
        <v>6516</v>
      </c>
      <c r="M39" s="17" t="s">
        <v>6517</v>
      </c>
      <c r="N39" s="15" t="s">
        <v>91</v>
      </c>
      <c r="O39" s="17" t="s">
        <v>6518</v>
      </c>
      <c r="P39" s="15" t="n">
        <v>33</v>
      </c>
    </row>
    <row r="40" customFormat="false" ht="43.25" hidden="false" customHeight="false" outlineLevel="0" collapsed="false">
      <c r="A40" s="57" t="s">
        <v>6528</v>
      </c>
      <c r="B40" s="58" t="s">
        <v>6290</v>
      </c>
      <c r="C40" s="58" t="s">
        <v>172</v>
      </c>
      <c r="D40" s="59" t="s">
        <v>6529</v>
      </c>
      <c r="E40" s="58" t="s">
        <v>226</v>
      </c>
      <c r="F40" s="60" t="s">
        <v>6530</v>
      </c>
      <c r="G40" s="58" t="s">
        <v>6531</v>
      </c>
      <c r="H40" s="58"/>
      <c r="I40" s="58" t="s">
        <v>6383</v>
      </c>
      <c r="J40" s="58"/>
      <c r="K40" s="58"/>
      <c r="L40" s="58" t="s">
        <v>6516</v>
      </c>
      <c r="M40" s="58" t="s">
        <v>6517</v>
      </c>
      <c r="N40" s="61" t="s">
        <v>91</v>
      </c>
      <c r="O40" s="58" t="s">
        <v>6518</v>
      </c>
      <c r="P40" s="61" t="n">
        <v>107</v>
      </c>
    </row>
    <row r="41" customFormat="false" ht="22.35" hidden="false" customHeight="false" outlineLevel="0" collapsed="false">
      <c r="A41" s="22" t="s">
        <v>6532</v>
      </c>
      <c r="B41" s="17" t="s">
        <v>6290</v>
      </c>
      <c r="C41" s="17" t="s">
        <v>172</v>
      </c>
      <c r="D41" s="55" t="s">
        <v>6533</v>
      </c>
      <c r="E41" s="17" t="s">
        <v>226</v>
      </c>
      <c r="F41" s="56" t="s">
        <v>6534</v>
      </c>
      <c r="G41" s="17" t="s">
        <v>6535</v>
      </c>
      <c r="H41" s="17"/>
      <c r="I41" s="17" t="s">
        <v>6383</v>
      </c>
      <c r="J41" s="17"/>
      <c r="K41" s="17"/>
      <c r="L41" s="17" t="s">
        <v>6516</v>
      </c>
      <c r="M41" s="17" t="s">
        <v>6517</v>
      </c>
      <c r="N41" s="15" t="s">
        <v>91</v>
      </c>
      <c r="O41" s="17" t="s">
        <v>6518</v>
      </c>
      <c r="P41" s="15" t="n">
        <v>132</v>
      </c>
    </row>
    <row r="42" customFormat="false" ht="32.8" hidden="false" customHeight="false" outlineLevel="0" collapsed="false">
      <c r="A42" s="57" t="s">
        <v>6536</v>
      </c>
      <c r="B42" s="58" t="s">
        <v>6290</v>
      </c>
      <c r="C42" s="58" t="s">
        <v>172</v>
      </c>
      <c r="D42" s="59" t="s">
        <v>6537</v>
      </c>
      <c r="E42" s="58" t="s">
        <v>226</v>
      </c>
      <c r="F42" s="60" t="s">
        <v>6538</v>
      </c>
      <c r="G42" s="58" t="s">
        <v>6539</v>
      </c>
      <c r="H42" s="58"/>
      <c r="I42" s="58" t="s">
        <v>6515</v>
      </c>
      <c r="J42" s="58"/>
      <c r="K42" s="58"/>
      <c r="L42" s="58" t="s">
        <v>6516</v>
      </c>
      <c r="M42" s="58" t="s">
        <v>6517</v>
      </c>
      <c r="N42" s="61" t="s">
        <v>91</v>
      </c>
      <c r="O42" s="58" t="s">
        <v>6518</v>
      </c>
      <c r="P42" s="61" t="n">
        <v>153</v>
      </c>
    </row>
    <row r="43" customFormat="false" ht="32.8" hidden="false" customHeight="false" outlineLevel="0" collapsed="false">
      <c r="A43" s="22" t="s">
        <v>6540</v>
      </c>
      <c r="B43" s="17" t="s">
        <v>6290</v>
      </c>
      <c r="C43" s="17" t="s">
        <v>172</v>
      </c>
      <c r="D43" s="55" t="s">
        <v>6541</v>
      </c>
      <c r="E43" s="17" t="s">
        <v>226</v>
      </c>
      <c r="F43" s="56" t="s">
        <v>6542</v>
      </c>
      <c r="G43" s="17" t="s">
        <v>6543</v>
      </c>
      <c r="H43" s="17"/>
      <c r="I43" s="17" t="s">
        <v>6515</v>
      </c>
      <c r="J43" s="17"/>
      <c r="K43" s="17"/>
      <c r="L43" s="17" t="s">
        <v>6516</v>
      </c>
      <c r="M43" s="17" t="s">
        <v>6517</v>
      </c>
      <c r="N43" s="15" t="s">
        <v>91</v>
      </c>
      <c r="O43" s="17" t="s">
        <v>6518</v>
      </c>
      <c r="P43" s="15" t="n">
        <v>172</v>
      </c>
    </row>
    <row r="44" customFormat="false" ht="22.35" hidden="false" customHeight="false" outlineLevel="0" collapsed="false">
      <c r="A44" s="57" t="s">
        <v>6544</v>
      </c>
      <c r="B44" s="58" t="s">
        <v>6290</v>
      </c>
      <c r="C44" s="58" t="s">
        <v>172</v>
      </c>
      <c r="D44" s="59" t="s">
        <v>6545</v>
      </c>
      <c r="E44" s="58" t="s">
        <v>226</v>
      </c>
      <c r="F44" s="60" t="s">
        <v>6546</v>
      </c>
      <c r="G44" s="58" t="s">
        <v>6547</v>
      </c>
      <c r="H44" s="58"/>
      <c r="I44" s="58" t="s">
        <v>6548</v>
      </c>
      <c r="J44" s="58"/>
      <c r="K44" s="58"/>
      <c r="L44" s="58" t="s">
        <v>6516</v>
      </c>
      <c r="M44" s="58" t="s">
        <v>6517</v>
      </c>
      <c r="N44" s="61" t="s">
        <v>91</v>
      </c>
      <c r="O44" s="58" t="s">
        <v>6518</v>
      </c>
      <c r="P44" s="61" t="n">
        <v>191</v>
      </c>
    </row>
    <row r="45" customFormat="false" ht="22.35" hidden="false" customHeight="false" outlineLevel="0" collapsed="false">
      <c r="A45" s="22" t="s">
        <v>6549</v>
      </c>
      <c r="B45" s="17" t="s">
        <v>6290</v>
      </c>
      <c r="C45" s="17" t="s">
        <v>172</v>
      </c>
      <c r="D45" s="55" t="s">
        <v>6516</v>
      </c>
      <c r="E45" s="17" t="s">
        <v>224</v>
      </c>
      <c r="F45" s="56" t="s">
        <v>6550</v>
      </c>
      <c r="G45" s="17" t="s">
        <v>6551</v>
      </c>
      <c r="H45" s="17"/>
      <c r="I45" s="17"/>
      <c r="J45" s="17"/>
      <c r="K45" s="17"/>
      <c r="L45" s="17" t="s">
        <v>6552</v>
      </c>
      <c r="M45" s="17" t="s">
        <v>6553</v>
      </c>
      <c r="N45" s="15" t="s">
        <v>91</v>
      </c>
      <c r="O45" s="17" t="s">
        <v>6518</v>
      </c>
      <c r="P45" s="15" t="n">
        <v>225</v>
      </c>
    </row>
    <row r="46" customFormat="false" ht="32.8" hidden="false" customHeight="false" outlineLevel="0" collapsed="false">
      <c r="A46" s="57" t="s">
        <v>6554</v>
      </c>
      <c r="B46" s="58" t="s">
        <v>6290</v>
      </c>
      <c r="C46" s="58" t="s">
        <v>172</v>
      </c>
      <c r="D46" s="59" t="s">
        <v>6555</v>
      </c>
      <c r="E46" s="58" t="s">
        <v>222</v>
      </c>
      <c r="F46" s="60" t="s">
        <v>6556</v>
      </c>
      <c r="G46" s="58" t="s">
        <v>6557</v>
      </c>
      <c r="H46" s="58" t="s">
        <v>6390</v>
      </c>
      <c r="I46" s="58" t="s">
        <v>6558</v>
      </c>
      <c r="J46" s="58"/>
      <c r="K46" s="58"/>
      <c r="L46" s="58" t="s">
        <v>6559</v>
      </c>
      <c r="M46" s="58" t="s">
        <v>6560</v>
      </c>
      <c r="N46" s="61" t="s">
        <v>91</v>
      </c>
      <c r="O46" s="58" t="s">
        <v>6518</v>
      </c>
      <c r="P46" s="61" t="n">
        <v>236</v>
      </c>
    </row>
    <row r="47" customFormat="false" ht="43.25" hidden="false" customHeight="false" outlineLevel="0" collapsed="false">
      <c r="A47" s="22" t="s">
        <v>6561</v>
      </c>
      <c r="B47" s="17" t="s">
        <v>6290</v>
      </c>
      <c r="C47" s="17" t="s">
        <v>172</v>
      </c>
      <c r="D47" s="55" t="s">
        <v>6562</v>
      </c>
      <c r="E47" s="17" t="s">
        <v>222</v>
      </c>
      <c r="F47" s="56" t="s">
        <v>6563</v>
      </c>
      <c r="G47" s="17" t="s">
        <v>6564</v>
      </c>
      <c r="H47" s="17" t="s">
        <v>6565</v>
      </c>
      <c r="I47" s="17" t="s">
        <v>6566</v>
      </c>
      <c r="J47" s="17"/>
      <c r="K47" s="17"/>
      <c r="L47" s="17"/>
      <c r="M47" s="17" t="s">
        <v>6567</v>
      </c>
      <c r="N47" s="15" t="s">
        <v>91</v>
      </c>
      <c r="O47" s="17" t="s">
        <v>6518</v>
      </c>
      <c r="P47" s="15" t="n">
        <v>313</v>
      </c>
    </row>
    <row r="48" customFormat="false" ht="22.35" hidden="false" customHeight="false" outlineLevel="0" collapsed="false">
      <c r="A48" s="57" t="s">
        <v>6568</v>
      </c>
      <c r="B48" s="58" t="s">
        <v>6290</v>
      </c>
      <c r="C48" s="58" t="s">
        <v>172</v>
      </c>
      <c r="D48" s="59" t="s">
        <v>6555</v>
      </c>
      <c r="E48" s="58" t="s">
        <v>226</v>
      </c>
      <c r="F48" s="60" t="s">
        <v>6569</v>
      </c>
      <c r="G48" s="58" t="s">
        <v>6504</v>
      </c>
      <c r="H48" s="58"/>
      <c r="I48" s="58" t="s">
        <v>6570</v>
      </c>
      <c r="J48" s="58"/>
      <c r="K48" s="58"/>
      <c r="L48" s="58"/>
      <c r="M48" s="58"/>
      <c r="N48" s="61" t="s">
        <v>91</v>
      </c>
      <c r="O48" s="58" t="s">
        <v>6571</v>
      </c>
      <c r="P48" s="61" t="n">
        <v>52</v>
      </c>
    </row>
    <row r="49" customFormat="false" ht="22.35" hidden="false" customHeight="false" outlineLevel="0" collapsed="false">
      <c r="A49" s="22" t="s">
        <v>6572</v>
      </c>
      <c r="B49" s="17" t="s">
        <v>6290</v>
      </c>
      <c r="C49" s="17" t="s">
        <v>172</v>
      </c>
      <c r="D49" s="55" t="s">
        <v>6562</v>
      </c>
      <c r="E49" s="17" t="s">
        <v>226</v>
      </c>
      <c r="F49" s="56" t="s">
        <v>6573</v>
      </c>
      <c r="G49" s="17" t="s">
        <v>6504</v>
      </c>
      <c r="H49" s="17"/>
      <c r="I49" s="17" t="s">
        <v>6574</v>
      </c>
      <c r="J49" s="17"/>
      <c r="K49" s="17"/>
      <c r="L49" s="17"/>
      <c r="M49" s="17"/>
      <c r="N49" s="15" t="s">
        <v>91</v>
      </c>
      <c r="O49" s="17" t="s">
        <v>6571</v>
      </c>
      <c r="P49" s="15" t="n">
        <v>58</v>
      </c>
    </row>
    <row r="50" customFormat="false" ht="22.35" hidden="false" customHeight="false" outlineLevel="0" collapsed="false">
      <c r="A50" s="57" t="s">
        <v>6575</v>
      </c>
      <c r="B50" s="58" t="s">
        <v>6290</v>
      </c>
      <c r="C50" s="58" t="s">
        <v>173</v>
      </c>
      <c r="D50" s="59" t="s">
        <v>6576</v>
      </c>
      <c r="E50" s="58" t="s">
        <v>222</v>
      </c>
      <c r="F50" s="60" t="s">
        <v>6577</v>
      </c>
      <c r="G50" s="58" t="s">
        <v>6578</v>
      </c>
      <c r="H50" s="58" t="s">
        <v>6579</v>
      </c>
      <c r="I50" s="58"/>
      <c r="J50" s="58" t="s">
        <v>6580</v>
      </c>
      <c r="K50" s="58" t="s">
        <v>1046</v>
      </c>
      <c r="L50" s="58" t="s">
        <v>6581</v>
      </c>
      <c r="M50" s="58"/>
      <c r="N50" s="61" t="s">
        <v>91</v>
      </c>
      <c r="O50" s="58" t="s">
        <v>6582</v>
      </c>
      <c r="P50" s="61" t="n">
        <v>20</v>
      </c>
    </row>
    <row r="51" customFormat="false" ht="22.35" hidden="false" customHeight="false" outlineLevel="0" collapsed="false">
      <c r="A51" s="22" t="s">
        <v>6583</v>
      </c>
      <c r="B51" s="17" t="s">
        <v>6290</v>
      </c>
      <c r="C51" s="17" t="s">
        <v>173</v>
      </c>
      <c r="D51" s="55" t="s">
        <v>6584</v>
      </c>
      <c r="E51" s="17" t="s">
        <v>222</v>
      </c>
      <c r="F51" s="56" t="s">
        <v>6585</v>
      </c>
      <c r="G51" s="17" t="s">
        <v>6586</v>
      </c>
      <c r="H51" s="17" t="s">
        <v>6587</v>
      </c>
      <c r="I51" s="17"/>
      <c r="J51" s="17" t="s">
        <v>6588</v>
      </c>
      <c r="K51" s="17"/>
      <c r="L51" s="17" t="s">
        <v>6589</v>
      </c>
      <c r="M51" s="17"/>
      <c r="N51" s="15" t="s">
        <v>91</v>
      </c>
      <c r="O51" s="17" t="s">
        <v>6582</v>
      </c>
      <c r="P51" s="15" t="n">
        <v>37</v>
      </c>
    </row>
    <row r="52" customFormat="false" ht="22.35" hidden="false" customHeight="false" outlineLevel="0" collapsed="false">
      <c r="A52" s="57" t="s">
        <v>6590</v>
      </c>
      <c r="B52" s="58" t="s">
        <v>6290</v>
      </c>
      <c r="C52" s="58" t="s">
        <v>173</v>
      </c>
      <c r="D52" s="59" t="s">
        <v>6591</v>
      </c>
      <c r="E52" s="58" t="s">
        <v>222</v>
      </c>
      <c r="F52" s="60" t="s">
        <v>6592</v>
      </c>
      <c r="G52" s="58" t="s">
        <v>6593</v>
      </c>
      <c r="H52" s="58" t="s">
        <v>6594</v>
      </c>
      <c r="I52" s="58" t="s">
        <v>6595</v>
      </c>
      <c r="J52" s="58"/>
      <c r="K52" s="58"/>
      <c r="L52" s="58" t="s">
        <v>6596</v>
      </c>
      <c r="M52" s="58"/>
      <c r="N52" s="61" t="s">
        <v>91</v>
      </c>
      <c r="O52" s="58" t="s">
        <v>6582</v>
      </c>
      <c r="P52" s="61" t="n">
        <v>49</v>
      </c>
    </row>
    <row r="53" customFormat="false" ht="32.8" hidden="false" customHeight="false" outlineLevel="0" collapsed="false">
      <c r="A53" s="22" t="s">
        <v>6597</v>
      </c>
      <c r="B53" s="17" t="s">
        <v>6290</v>
      </c>
      <c r="C53" s="17" t="s">
        <v>173</v>
      </c>
      <c r="D53" s="55" t="s">
        <v>6598</v>
      </c>
      <c r="E53" s="17" t="s">
        <v>222</v>
      </c>
      <c r="F53" s="56" t="s">
        <v>6599</v>
      </c>
      <c r="G53" s="17" t="s">
        <v>6600</v>
      </c>
      <c r="H53" s="17" t="s">
        <v>6601</v>
      </c>
      <c r="I53" s="17" t="s">
        <v>6602</v>
      </c>
      <c r="J53" s="17"/>
      <c r="K53" s="17"/>
      <c r="L53" s="17" t="s">
        <v>6416</v>
      </c>
      <c r="M53" s="17"/>
      <c r="N53" s="15" t="s">
        <v>91</v>
      </c>
      <c r="O53" s="17" t="s">
        <v>6582</v>
      </c>
      <c r="P53" s="15" t="n">
        <v>62</v>
      </c>
    </row>
    <row r="54" customFormat="false" ht="22.35" hidden="false" customHeight="false" outlineLevel="0" collapsed="false">
      <c r="A54" s="57" t="s">
        <v>6603</v>
      </c>
      <c r="B54" s="58" t="s">
        <v>6290</v>
      </c>
      <c r="C54" s="58" t="s">
        <v>173</v>
      </c>
      <c r="D54" s="59" t="s">
        <v>6604</v>
      </c>
      <c r="E54" s="58" t="s">
        <v>222</v>
      </c>
      <c r="F54" s="60" t="s">
        <v>6605</v>
      </c>
      <c r="G54" s="58" t="s">
        <v>6606</v>
      </c>
      <c r="H54" s="58" t="s">
        <v>6607</v>
      </c>
      <c r="I54" s="58" t="s">
        <v>6608</v>
      </c>
      <c r="J54" s="58"/>
      <c r="K54" s="58"/>
      <c r="L54" s="58" t="s">
        <v>6416</v>
      </c>
      <c r="M54" s="58"/>
      <c r="N54" s="61" t="s">
        <v>91</v>
      </c>
      <c r="O54" s="58" t="s">
        <v>6582</v>
      </c>
      <c r="P54" s="61" t="n">
        <v>79</v>
      </c>
    </row>
    <row r="55" customFormat="false" ht="32.8" hidden="false" customHeight="false" outlineLevel="0" collapsed="false">
      <c r="A55" s="22" t="s">
        <v>6609</v>
      </c>
      <c r="B55" s="17" t="s">
        <v>6290</v>
      </c>
      <c r="C55" s="17" t="s">
        <v>174</v>
      </c>
      <c r="D55" s="55" t="s">
        <v>6610</v>
      </c>
      <c r="E55" s="17" t="s">
        <v>226</v>
      </c>
      <c r="F55" s="56" t="s">
        <v>6611</v>
      </c>
      <c r="G55" s="17" t="s">
        <v>6612</v>
      </c>
      <c r="H55" s="17" t="s">
        <v>6613</v>
      </c>
      <c r="I55" s="17"/>
      <c r="J55" s="17" t="s">
        <v>6614</v>
      </c>
      <c r="K55" s="17"/>
      <c r="L55" s="17" t="s">
        <v>6615</v>
      </c>
      <c r="M55" s="17" t="s">
        <v>6616</v>
      </c>
      <c r="N55" s="15" t="s">
        <v>91</v>
      </c>
      <c r="O55" s="17" t="s">
        <v>6617</v>
      </c>
      <c r="P55" s="15" t="n">
        <v>545</v>
      </c>
    </row>
    <row r="56" customFormat="false" ht="22.35" hidden="false" customHeight="false" outlineLevel="0" collapsed="false">
      <c r="A56" s="57" t="s">
        <v>6618</v>
      </c>
      <c r="B56" s="58" t="s">
        <v>6290</v>
      </c>
      <c r="C56" s="58" t="s">
        <v>174</v>
      </c>
      <c r="D56" s="59" t="s">
        <v>6619</v>
      </c>
      <c r="E56" s="58" t="s">
        <v>222</v>
      </c>
      <c r="F56" s="60" t="s">
        <v>6620</v>
      </c>
      <c r="G56" s="58" t="s">
        <v>6621</v>
      </c>
      <c r="H56" s="58" t="s">
        <v>6622</v>
      </c>
      <c r="I56" s="58"/>
      <c r="J56" s="58"/>
      <c r="K56" s="58"/>
      <c r="L56" s="58" t="s">
        <v>6623</v>
      </c>
      <c r="M56" s="58"/>
      <c r="N56" s="61" t="s">
        <v>91</v>
      </c>
      <c r="O56" s="58" t="s">
        <v>6617</v>
      </c>
      <c r="P56" s="61" t="n">
        <v>566</v>
      </c>
    </row>
    <row r="57" customFormat="false" ht="22.35" hidden="false" customHeight="false" outlineLevel="0" collapsed="false">
      <c r="A57" s="22" t="s">
        <v>6624</v>
      </c>
      <c r="B57" s="17" t="s">
        <v>6290</v>
      </c>
      <c r="C57" s="17" t="s">
        <v>174</v>
      </c>
      <c r="D57" s="55" t="s">
        <v>6625</v>
      </c>
      <c r="E57" s="17" t="s">
        <v>222</v>
      </c>
      <c r="F57" s="56" t="s">
        <v>6626</v>
      </c>
      <c r="G57" s="17" t="s">
        <v>6627</v>
      </c>
      <c r="H57" s="17" t="s">
        <v>6622</v>
      </c>
      <c r="I57" s="17"/>
      <c r="J57" s="17"/>
      <c r="K57" s="17"/>
      <c r="L57" s="17" t="s">
        <v>6628</v>
      </c>
      <c r="M57" s="17"/>
      <c r="N57" s="15" t="s">
        <v>91</v>
      </c>
      <c r="O57" s="17" t="s">
        <v>6617</v>
      </c>
      <c r="P57" s="15" t="n">
        <v>571</v>
      </c>
    </row>
    <row r="58" customFormat="false" ht="43.25" hidden="false" customHeight="false" outlineLevel="0" collapsed="false">
      <c r="A58" s="57" t="s">
        <v>6629</v>
      </c>
      <c r="B58" s="58" t="s">
        <v>6290</v>
      </c>
      <c r="C58" s="58" t="s">
        <v>174</v>
      </c>
      <c r="D58" s="59" t="s">
        <v>6630</v>
      </c>
      <c r="E58" s="58" t="s">
        <v>226</v>
      </c>
      <c r="F58" s="60" t="s">
        <v>6631</v>
      </c>
      <c r="G58" s="58" t="s">
        <v>6632</v>
      </c>
      <c r="H58" s="58" t="s">
        <v>6633</v>
      </c>
      <c r="I58" s="58"/>
      <c r="J58" s="58" t="s">
        <v>6634</v>
      </c>
      <c r="K58" s="58"/>
      <c r="L58" s="58" t="s">
        <v>6635</v>
      </c>
      <c r="M58" s="58"/>
      <c r="N58" s="61" t="s">
        <v>91</v>
      </c>
      <c r="O58" s="58" t="s">
        <v>6617</v>
      </c>
      <c r="P58" s="61" t="n">
        <v>587</v>
      </c>
    </row>
    <row r="59" customFormat="false" ht="22.35" hidden="false" customHeight="false" outlineLevel="0" collapsed="false">
      <c r="A59" s="22" t="s">
        <v>6636</v>
      </c>
      <c r="B59" s="17" t="s">
        <v>6290</v>
      </c>
      <c r="C59" s="17" t="s">
        <v>174</v>
      </c>
      <c r="D59" s="55" t="s">
        <v>6635</v>
      </c>
      <c r="E59" s="17" t="s">
        <v>222</v>
      </c>
      <c r="F59" s="56" t="s">
        <v>6637</v>
      </c>
      <c r="G59" s="17" t="s">
        <v>6638</v>
      </c>
      <c r="H59" s="17" t="s">
        <v>6639</v>
      </c>
      <c r="I59" s="17"/>
      <c r="J59" s="17"/>
      <c r="K59" s="17"/>
      <c r="L59" s="17" t="s">
        <v>6640</v>
      </c>
      <c r="M59" s="17" t="s">
        <v>6641</v>
      </c>
      <c r="N59" s="15" t="s">
        <v>91</v>
      </c>
      <c r="O59" s="17" t="s">
        <v>6617</v>
      </c>
      <c r="P59" s="15" t="n">
        <v>610</v>
      </c>
    </row>
    <row r="60" customFormat="false" ht="22.35" hidden="false" customHeight="false" outlineLevel="0" collapsed="false">
      <c r="A60" s="57" t="s">
        <v>6642</v>
      </c>
      <c r="B60" s="58" t="s">
        <v>6290</v>
      </c>
      <c r="C60" s="58" t="s">
        <v>175</v>
      </c>
      <c r="D60" s="59" t="s">
        <v>6643</v>
      </c>
      <c r="E60" s="58" t="s">
        <v>222</v>
      </c>
      <c r="F60" s="60" t="s">
        <v>6644</v>
      </c>
      <c r="G60" s="58" t="s">
        <v>6645</v>
      </c>
      <c r="H60" s="58" t="s">
        <v>6646</v>
      </c>
      <c r="I60" s="58"/>
      <c r="J60" s="58"/>
      <c r="K60" s="58"/>
      <c r="L60" s="58"/>
      <c r="M60" s="58" t="s">
        <v>6647</v>
      </c>
      <c r="N60" s="61" t="s">
        <v>91</v>
      </c>
      <c r="O60" s="58" t="s">
        <v>6648</v>
      </c>
      <c r="P60" s="61" t="n">
        <v>22</v>
      </c>
    </row>
    <row r="61" customFormat="false" ht="22.35" hidden="false" customHeight="false" outlineLevel="0" collapsed="false">
      <c r="A61" s="22" t="s">
        <v>6649</v>
      </c>
      <c r="B61" s="17" t="s">
        <v>6290</v>
      </c>
      <c r="C61" s="17" t="s">
        <v>175</v>
      </c>
      <c r="D61" s="55" t="s">
        <v>6650</v>
      </c>
      <c r="E61" s="17" t="s">
        <v>222</v>
      </c>
      <c r="F61" s="56" t="s">
        <v>6651</v>
      </c>
      <c r="G61" s="17" t="s">
        <v>6652</v>
      </c>
      <c r="H61" s="17" t="s">
        <v>6653</v>
      </c>
      <c r="I61" s="17" t="s">
        <v>6654</v>
      </c>
      <c r="J61" s="17"/>
      <c r="K61" s="17"/>
      <c r="L61" s="17"/>
      <c r="M61" s="17"/>
      <c r="N61" s="15" t="s">
        <v>91</v>
      </c>
      <c r="O61" s="17" t="s">
        <v>6655</v>
      </c>
      <c r="P61" s="15" t="n">
        <v>30</v>
      </c>
    </row>
    <row r="62" customFormat="false" ht="22.35" hidden="false" customHeight="false" outlineLevel="0" collapsed="false">
      <c r="A62" s="57" t="s">
        <v>6656</v>
      </c>
      <c r="B62" s="58" t="s">
        <v>6290</v>
      </c>
      <c r="C62" s="58" t="s">
        <v>175</v>
      </c>
      <c r="D62" s="59" t="s">
        <v>6657</v>
      </c>
      <c r="E62" s="58" t="s">
        <v>223</v>
      </c>
      <c r="F62" s="60" t="s">
        <v>6658</v>
      </c>
      <c r="G62" s="58" t="s">
        <v>6659</v>
      </c>
      <c r="H62" s="58" t="s">
        <v>6660</v>
      </c>
      <c r="I62" s="58" t="s">
        <v>6661</v>
      </c>
      <c r="J62" s="58" t="s">
        <v>6662</v>
      </c>
      <c r="K62" s="58"/>
      <c r="L62" s="58" t="s">
        <v>6663</v>
      </c>
      <c r="M62" s="58"/>
      <c r="N62" s="61" t="s">
        <v>91</v>
      </c>
      <c r="O62" s="58" t="s">
        <v>6655</v>
      </c>
      <c r="P62" s="61" t="n">
        <v>63</v>
      </c>
    </row>
    <row r="63" customFormat="false" ht="22.35" hidden="false" customHeight="false" outlineLevel="0" collapsed="false">
      <c r="A63" s="22" t="s">
        <v>6664</v>
      </c>
      <c r="B63" s="17" t="s">
        <v>6290</v>
      </c>
      <c r="C63" s="17" t="s">
        <v>175</v>
      </c>
      <c r="D63" s="55" t="s">
        <v>6665</v>
      </c>
      <c r="E63" s="17" t="s">
        <v>223</v>
      </c>
      <c r="F63" s="56" t="s">
        <v>6666</v>
      </c>
      <c r="G63" s="17" t="s">
        <v>6667</v>
      </c>
      <c r="H63" s="17" t="s">
        <v>6668</v>
      </c>
      <c r="I63" s="17"/>
      <c r="J63" s="17" t="s">
        <v>6669</v>
      </c>
      <c r="K63" s="17"/>
      <c r="L63" s="17" t="s">
        <v>6670</v>
      </c>
      <c r="M63" s="17"/>
      <c r="N63" s="15" t="s">
        <v>91</v>
      </c>
      <c r="O63" s="17" t="s">
        <v>6655</v>
      </c>
      <c r="P63" s="15" t="n">
        <v>64</v>
      </c>
    </row>
    <row r="64" customFormat="false" ht="22.35" hidden="false" customHeight="false" outlineLevel="0" collapsed="false">
      <c r="A64" s="57" t="s">
        <v>6671</v>
      </c>
      <c r="B64" s="58" t="s">
        <v>6290</v>
      </c>
      <c r="C64" s="58" t="s">
        <v>176</v>
      </c>
      <c r="D64" s="59" t="s">
        <v>6672</v>
      </c>
      <c r="E64" s="58" t="s">
        <v>223</v>
      </c>
      <c r="F64" s="60" t="s">
        <v>6673</v>
      </c>
      <c r="G64" s="58" t="s">
        <v>6674</v>
      </c>
      <c r="H64" s="58"/>
      <c r="I64" s="58" t="s">
        <v>6675</v>
      </c>
      <c r="J64" s="58"/>
      <c r="K64" s="58"/>
      <c r="L64" s="58" t="s">
        <v>6676</v>
      </c>
      <c r="M64" s="58"/>
      <c r="N64" s="61" t="s">
        <v>91</v>
      </c>
      <c r="O64" s="58" t="s">
        <v>6677</v>
      </c>
      <c r="P64" s="61" t="n">
        <v>28</v>
      </c>
    </row>
    <row r="65" customFormat="false" ht="32.8" hidden="false" customHeight="false" outlineLevel="0" collapsed="false">
      <c r="A65" s="22" t="s">
        <v>6678</v>
      </c>
      <c r="B65" s="17" t="s">
        <v>6290</v>
      </c>
      <c r="C65" s="17" t="s">
        <v>176</v>
      </c>
      <c r="D65" s="55" t="s">
        <v>6679</v>
      </c>
      <c r="E65" s="17" t="s">
        <v>223</v>
      </c>
      <c r="F65" s="56" t="s">
        <v>6680</v>
      </c>
      <c r="G65" s="17" t="s">
        <v>6681</v>
      </c>
      <c r="H65" s="17"/>
      <c r="I65" s="17" t="s">
        <v>6682</v>
      </c>
      <c r="J65" s="17"/>
      <c r="K65" s="17"/>
      <c r="L65" s="17" t="s">
        <v>6683</v>
      </c>
      <c r="M65" s="17"/>
      <c r="N65" s="15" t="s">
        <v>91</v>
      </c>
      <c r="O65" s="17" t="s">
        <v>6677</v>
      </c>
      <c r="P65" s="15" t="n">
        <v>32</v>
      </c>
    </row>
    <row r="66" customFormat="false" ht="22.35" hidden="false" customHeight="false" outlineLevel="0" collapsed="false">
      <c r="A66" s="57" t="s">
        <v>6684</v>
      </c>
      <c r="B66" s="58" t="s">
        <v>6290</v>
      </c>
      <c r="C66" s="58" t="s">
        <v>176</v>
      </c>
      <c r="D66" s="59" t="s">
        <v>6685</v>
      </c>
      <c r="E66" s="58" t="s">
        <v>223</v>
      </c>
      <c r="F66" s="60" t="s">
        <v>6686</v>
      </c>
      <c r="G66" s="58" t="s">
        <v>6687</v>
      </c>
      <c r="H66" s="58"/>
      <c r="I66" s="58" t="s">
        <v>6688</v>
      </c>
      <c r="J66" s="58"/>
      <c r="K66" s="58"/>
      <c r="L66" s="58"/>
      <c r="M66" s="58" t="s">
        <v>6689</v>
      </c>
      <c r="N66" s="61" t="s">
        <v>91</v>
      </c>
      <c r="O66" s="58" t="s">
        <v>6677</v>
      </c>
      <c r="P66" s="61" t="n">
        <v>33</v>
      </c>
    </row>
    <row r="67" customFormat="false" ht="22.35" hidden="false" customHeight="false" outlineLevel="0" collapsed="false">
      <c r="A67" s="22" t="s">
        <v>6690</v>
      </c>
      <c r="B67" s="17" t="s">
        <v>6290</v>
      </c>
      <c r="C67" s="17" t="s">
        <v>176</v>
      </c>
      <c r="D67" s="55" t="s">
        <v>6691</v>
      </c>
      <c r="E67" s="17" t="s">
        <v>223</v>
      </c>
      <c r="F67" s="56" t="s">
        <v>6692</v>
      </c>
      <c r="G67" s="17" t="s">
        <v>6693</v>
      </c>
      <c r="H67" s="17"/>
      <c r="I67" s="17" t="s">
        <v>6694</v>
      </c>
      <c r="J67" s="17"/>
      <c r="K67" s="17"/>
      <c r="L67" s="17" t="s">
        <v>6695</v>
      </c>
      <c r="M67" s="17"/>
      <c r="N67" s="15" t="s">
        <v>91</v>
      </c>
      <c r="O67" s="17" t="s">
        <v>6677</v>
      </c>
      <c r="P67" s="15" t="n">
        <v>36</v>
      </c>
    </row>
    <row r="68" customFormat="false" ht="22.35" hidden="false" customHeight="false" outlineLevel="0" collapsed="false">
      <c r="A68" s="57" t="s">
        <v>6696</v>
      </c>
      <c r="B68" s="58" t="s">
        <v>6290</v>
      </c>
      <c r="C68" s="58" t="s">
        <v>176</v>
      </c>
      <c r="D68" s="59" t="s">
        <v>6697</v>
      </c>
      <c r="E68" s="58" t="s">
        <v>223</v>
      </c>
      <c r="F68" s="60" t="s">
        <v>6698</v>
      </c>
      <c r="G68" s="58" t="s">
        <v>6699</v>
      </c>
      <c r="H68" s="58"/>
      <c r="I68" s="58" t="s">
        <v>6700</v>
      </c>
      <c r="J68" s="58"/>
      <c r="K68" s="58"/>
      <c r="L68" s="58" t="s">
        <v>6695</v>
      </c>
      <c r="M68" s="58"/>
      <c r="N68" s="61" t="s">
        <v>91</v>
      </c>
      <c r="O68" s="58" t="s">
        <v>6677</v>
      </c>
      <c r="P68" s="61" t="n">
        <v>37</v>
      </c>
    </row>
    <row r="69" customFormat="false" ht="32.8" hidden="false" customHeight="false" outlineLevel="0" collapsed="false">
      <c r="A69" s="22" t="s">
        <v>6701</v>
      </c>
      <c r="B69" s="17" t="s">
        <v>6290</v>
      </c>
      <c r="C69" s="17" t="s">
        <v>176</v>
      </c>
      <c r="D69" s="55" t="s">
        <v>6702</v>
      </c>
      <c r="E69" s="17" t="s">
        <v>223</v>
      </c>
      <c r="F69" s="56" t="s">
        <v>6703</v>
      </c>
      <c r="G69" s="17" t="s">
        <v>6704</v>
      </c>
      <c r="H69" s="17"/>
      <c r="I69" s="17" t="s">
        <v>6694</v>
      </c>
      <c r="J69" s="17"/>
      <c r="K69" s="17"/>
      <c r="L69" s="17" t="s">
        <v>6705</v>
      </c>
      <c r="M69" s="17"/>
      <c r="N69" s="15" t="s">
        <v>91</v>
      </c>
      <c r="O69" s="17" t="s">
        <v>6677</v>
      </c>
      <c r="P69" s="15" t="n">
        <v>40</v>
      </c>
    </row>
    <row r="70" customFormat="false" ht="22.35" hidden="false" customHeight="false" outlineLevel="0" collapsed="false">
      <c r="A70" s="57" t="s">
        <v>6706</v>
      </c>
      <c r="B70" s="58" t="s">
        <v>6290</v>
      </c>
      <c r="C70" s="58" t="s">
        <v>176</v>
      </c>
      <c r="D70" s="59" t="s">
        <v>6707</v>
      </c>
      <c r="E70" s="58" t="s">
        <v>223</v>
      </c>
      <c r="F70" s="60" t="s">
        <v>6708</v>
      </c>
      <c r="G70" s="58" t="s">
        <v>6709</v>
      </c>
      <c r="H70" s="58"/>
      <c r="I70" s="58" t="s">
        <v>1716</v>
      </c>
      <c r="J70" s="58"/>
      <c r="K70" s="58" t="s">
        <v>1046</v>
      </c>
      <c r="L70" s="58"/>
      <c r="M70" s="58"/>
      <c r="N70" s="61" t="s">
        <v>91</v>
      </c>
      <c r="O70" s="58" t="s">
        <v>6677</v>
      </c>
      <c r="P70" s="61" t="n">
        <v>48</v>
      </c>
    </row>
    <row r="71" customFormat="false" ht="43.25" hidden="false" customHeight="false" outlineLevel="0" collapsed="false">
      <c r="A71" s="22" t="s">
        <v>6710</v>
      </c>
      <c r="B71" s="17" t="s">
        <v>6290</v>
      </c>
      <c r="C71" s="17" t="s">
        <v>176</v>
      </c>
      <c r="D71" s="55" t="s">
        <v>6711</v>
      </c>
      <c r="E71" s="17" t="s">
        <v>224</v>
      </c>
      <c r="F71" s="56" t="s">
        <v>6712</v>
      </c>
      <c r="G71" s="17" t="s">
        <v>6713</v>
      </c>
      <c r="H71" s="17" t="s">
        <v>6714</v>
      </c>
      <c r="I71" s="17"/>
      <c r="J71" s="17"/>
      <c r="K71" s="17"/>
      <c r="L71" s="17" t="s">
        <v>6715</v>
      </c>
      <c r="M71" s="17"/>
      <c r="N71" s="15" t="s">
        <v>91</v>
      </c>
      <c r="O71" s="17" t="s">
        <v>6677</v>
      </c>
      <c r="P71" s="15" t="n">
        <v>105</v>
      </c>
    </row>
    <row r="72" customFormat="false" ht="22.35" hidden="false" customHeight="false" outlineLevel="0" collapsed="false">
      <c r="A72" s="57" t="s">
        <v>6716</v>
      </c>
      <c r="B72" s="58" t="s">
        <v>6290</v>
      </c>
      <c r="C72" s="58" t="s">
        <v>176</v>
      </c>
      <c r="D72" s="59" t="s">
        <v>6717</v>
      </c>
      <c r="E72" s="58" t="s">
        <v>224</v>
      </c>
      <c r="F72" s="60" t="s">
        <v>6718</v>
      </c>
      <c r="G72" s="58" t="s">
        <v>6719</v>
      </c>
      <c r="H72" s="58"/>
      <c r="I72" s="58"/>
      <c r="J72" s="58"/>
      <c r="K72" s="58"/>
      <c r="L72" s="58"/>
      <c r="M72" s="58"/>
      <c r="N72" s="61" t="s">
        <v>91</v>
      </c>
      <c r="O72" s="58" t="s">
        <v>6677</v>
      </c>
      <c r="P72" s="61" t="n">
        <v>117</v>
      </c>
    </row>
    <row r="73" customFormat="false" ht="22.35" hidden="false" customHeight="false" outlineLevel="0" collapsed="false">
      <c r="A73" s="22" t="s">
        <v>6720</v>
      </c>
      <c r="B73" s="17" t="s">
        <v>6290</v>
      </c>
      <c r="C73" s="17" t="s">
        <v>176</v>
      </c>
      <c r="D73" s="55" t="s">
        <v>6721</v>
      </c>
      <c r="E73" s="17" t="s">
        <v>224</v>
      </c>
      <c r="F73" s="56" t="s">
        <v>6722</v>
      </c>
      <c r="G73" s="17" t="s">
        <v>6723</v>
      </c>
      <c r="H73" s="17"/>
      <c r="I73" s="17"/>
      <c r="J73" s="17"/>
      <c r="K73" s="17"/>
      <c r="L73" s="17"/>
      <c r="M73" s="17"/>
      <c r="N73" s="15" t="s">
        <v>91</v>
      </c>
      <c r="O73" s="17" t="s">
        <v>6677</v>
      </c>
      <c r="P73" s="15" t="n">
        <v>118</v>
      </c>
    </row>
    <row r="74" customFormat="false" ht="22.35" hidden="false" customHeight="false" outlineLevel="0" collapsed="false">
      <c r="A74" s="57" t="s">
        <v>6724</v>
      </c>
      <c r="B74" s="58" t="s">
        <v>6290</v>
      </c>
      <c r="C74" s="58" t="s">
        <v>176</v>
      </c>
      <c r="D74" s="59" t="s">
        <v>6725</v>
      </c>
      <c r="E74" s="58" t="s">
        <v>224</v>
      </c>
      <c r="F74" s="60" t="s">
        <v>6726</v>
      </c>
      <c r="G74" s="58" t="s">
        <v>6727</v>
      </c>
      <c r="H74" s="58"/>
      <c r="I74" s="58" t="s">
        <v>6728</v>
      </c>
      <c r="J74" s="58"/>
      <c r="K74" s="58"/>
      <c r="L74" s="58"/>
      <c r="M74" s="58"/>
      <c r="N74" s="61" t="s">
        <v>91</v>
      </c>
      <c r="O74" s="58" t="s">
        <v>6677</v>
      </c>
      <c r="P74" s="61" t="n">
        <v>120</v>
      </c>
    </row>
    <row r="75" customFormat="false" ht="22.35" hidden="false" customHeight="false" outlineLevel="0" collapsed="false">
      <c r="A75" s="22" t="s">
        <v>6729</v>
      </c>
      <c r="B75" s="17" t="s">
        <v>6290</v>
      </c>
      <c r="C75" s="17" t="s">
        <v>176</v>
      </c>
      <c r="D75" s="55" t="s">
        <v>6730</v>
      </c>
      <c r="E75" s="17" t="s">
        <v>224</v>
      </c>
      <c r="F75" s="56" t="s">
        <v>6731</v>
      </c>
      <c r="G75" s="17" t="s">
        <v>6732</v>
      </c>
      <c r="H75" s="17"/>
      <c r="I75" s="17"/>
      <c r="J75" s="17"/>
      <c r="K75" s="17"/>
      <c r="L75" s="17"/>
      <c r="M75" s="17" t="s">
        <v>6733</v>
      </c>
      <c r="N75" s="15" t="s">
        <v>91</v>
      </c>
      <c r="O75" s="17" t="s">
        <v>6677</v>
      </c>
      <c r="P75" s="15" t="n">
        <v>129</v>
      </c>
    </row>
    <row r="76" customFormat="false" ht="22.35" hidden="false" customHeight="false" outlineLevel="0" collapsed="false">
      <c r="A76" s="57" t="s">
        <v>6734</v>
      </c>
      <c r="B76" s="58" t="s">
        <v>6290</v>
      </c>
      <c r="C76" s="58" t="s">
        <v>176</v>
      </c>
      <c r="D76" s="59" t="s">
        <v>6735</v>
      </c>
      <c r="E76" s="58" t="s">
        <v>224</v>
      </c>
      <c r="F76" s="60" t="s">
        <v>6736</v>
      </c>
      <c r="G76" s="58" t="s">
        <v>6737</v>
      </c>
      <c r="H76" s="58"/>
      <c r="I76" s="58"/>
      <c r="J76" s="58"/>
      <c r="K76" s="58"/>
      <c r="L76" s="58" t="s">
        <v>6738</v>
      </c>
      <c r="M76" s="58"/>
      <c r="N76" s="61" t="s">
        <v>91</v>
      </c>
      <c r="O76" s="58" t="s">
        <v>6677</v>
      </c>
      <c r="P76" s="61" t="n">
        <v>130</v>
      </c>
    </row>
    <row r="77" customFormat="false" ht="22.35" hidden="false" customHeight="false" outlineLevel="0" collapsed="false">
      <c r="A77" s="22" t="s">
        <v>6739</v>
      </c>
      <c r="B77" s="17" t="s">
        <v>6290</v>
      </c>
      <c r="C77" s="17" t="s">
        <v>176</v>
      </c>
      <c r="D77" s="55" t="s">
        <v>6740</v>
      </c>
      <c r="E77" s="17" t="s">
        <v>224</v>
      </c>
      <c r="F77" s="56" t="s">
        <v>6741</v>
      </c>
      <c r="G77" s="17" t="s">
        <v>6742</v>
      </c>
      <c r="H77" s="17"/>
      <c r="I77" s="17"/>
      <c r="J77" s="17"/>
      <c r="K77" s="17"/>
      <c r="L77" s="17"/>
      <c r="M77" s="17" t="s">
        <v>6743</v>
      </c>
      <c r="N77" s="15" t="s">
        <v>91</v>
      </c>
      <c r="O77" s="17" t="s">
        <v>6677</v>
      </c>
      <c r="P77" s="15" t="n">
        <v>132</v>
      </c>
    </row>
    <row r="78" customFormat="false" ht="53.7" hidden="false" customHeight="false" outlineLevel="0" collapsed="false">
      <c r="A78" s="57" t="s">
        <v>6744</v>
      </c>
      <c r="B78" s="58" t="s">
        <v>6290</v>
      </c>
      <c r="C78" s="58" t="s">
        <v>176</v>
      </c>
      <c r="D78" s="59" t="s">
        <v>6745</v>
      </c>
      <c r="E78" s="58" t="s">
        <v>224</v>
      </c>
      <c r="F78" s="60" t="s">
        <v>6746</v>
      </c>
      <c r="G78" s="58" t="s">
        <v>6747</v>
      </c>
      <c r="H78" s="58" t="s">
        <v>6748</v>
      </c>
      <c r="I78" s="58"/>
      <c r="J78" s="58"/>
      <c r="K78" s="58"/>
      <c r="L78" s="58" t="s">
        <v>6749</v>
      </c>
      <c r="M78" s="58"/>
      <c r="N78" s="61" t="s">
        <v>91</v>
      </c>
      <c r="O78" s="58" t="s">
        <v>6677</v>
      </c>
      <c r="P78" s="61" t="n">
        <v>147</v>
      </c>
    </row>
    <row r="79" customFormat="false" ht="22.35" hidden="false" customHeight="false" outlineLevel="0" collapsed="false">
      <c r="A79" s="22" t="s">
        <v>6750</v>
      </c>
      <c r="B79" s="17" t="s">
        <v>6290</v>
      </c>
      <c r="C79" s="17" t="s">
        <v>176</v>
      </c>
      <c r="D79" s="55" t="s">
        <v>6751</v>
      </c>
      <c r="E79" s="17" t="s">
        <v>224</v>
      </c>
      <c r="F79" s="56" t="s">
        <v>6752</v>
      </c>
      <c r="G79" s="17" t="s">
        <v>6753</v>
      </c>
      <c r="H79" s="17"/>
      <c r="I79" s="17"/>
      <c r="J79" s="17"/>
      <c r="K79" s="17"/>
      <c r="L79" s="17"/>
      <c r="M79" s="17"/>
      <c r="N79" s="15" t="s">
        <v>91</v>
      </c>
      <c r="O79" s="17" t="s">
        <v>6677</v>
      </c>
      <c r="P79" s="15" t="n">
        <v>159</v>
      </c>
    </row>
    <row r="80" customFormat="false" ht="22.35" hidden="false" customHeight="false" outlineLevel="0" collapsed="false">
      <c r="A80" s="57" t="s">
        <v>6754</v>
      </c>
      <c r="B80" s="58" t="s">
        <v>6290</v>
      </c>
      <c r="C80" s="58" t="s">
        <v>176</v>
      </c>
      <c r="D80" s="59" t="s">
        <v>6755</v>
      </c>
      <c r="E80" s="58" t="s">
        <v>224</v>
      </c>
      <c r="F80" s="60" t="s">
        <v>6756</v>
      </c>
      <c r="G80" s="58" t="s">
        <v>6757</v>
      </c>
      <c r="H80" s="58"/>
      <c r="I80" s="58"/>
      <c r="J80" s="58"/>
      <c r="K80" s="58"/>
      <c r="L80" s="58"/>
      <c r="M80" s="58"/>
      <c r="N80" s="61" t="s">
        <v>91</v>
      </c>
      <c r="O80" s="58" t="s">
        <v>6677</v>
      </c>
      <c r="P80" s="61" t="n">
        <v>160</v>
      </c>
    </row>
    <row r="81" customFormat="false" ht="22.35" hidden="false" customHeight="false" outlineLevel="0" collapsed="false">
      <c r="A81" s="22" t="s">
        <v>6758</v>
      </c>
      <c r="B81" s="17" t="s">
        <v>6290</v>
      </c>
      <c r="C81" s="17" t="s">
        <v>176</v>
      </c>
      <c r="D81" s="55" t="s">
        <v>6759</v>
      </c>
      <c r="E81" s="17" t="s">
        <v>224</v>
      </c>
      <c r="F81" s="56" t="s">
        <v>6760</v>
      </c>
      <c r="G81" s="17" t="s">
        <v>6761</v>
      </c>
      <c r="H81" s="17"/>
      <c r="I81" s="17"/>
      <c r="J81" s="17"/>
      <c r="K81" s="17"/>
      <c r="L81" s="17"/>
      <c r="M81" s="17" t="s">
        <v>6762</v>
      </c>
      <c r="N81" s="15" t="s">
        <v>91</v>
      </c>
      <c r="O81" s="17" t="s">
        <v>6677</v>
      </c>
      <c r="P81" s="15" t="n">
        <v>163</v>
      </c>
    </row>
    <row r="82" customFormat="false" ht="74.6" hidden="false" customHeight="false" outlineLevel="0" collapsed="false">
      <c r="A82" s="57" t="s">
        <v>6763</v>
      </c>
      <c r="B82" s="58" t="s">
        <v>6290</v>
      </c>
      <c r="C82" s="58" t="s">
        <v>176</v>
      </c>
      <c r="D82" s="59" t="s">
        <v>6764</v>
      </c>
      <c r="E82" s="58" t="s">
        <v>224</v>
      </c>
      <c r="F82" s="60" t="s">
        <v>6765</v>
      </c>
      <c r="G82" s="58" t="s">
        <v>6766</v>
      </c>
      <c r="H82" s="58" t="s">
        <v>6767</v>
      </c>
      <c r="I82" s="58" t="s">
        <v>6768</v>
      </c>
      <c r="J82" s="58"/>
      <c r="K82" s="58"/>
      <c r="L82" s="58" t="s">
        <v>6769</v>
      </c>
      <c r="M82" s="58" t="s">
        <v>6770</v>
      </c>
      <c r="N82" s="61" t="s">
        <v>91</v>
      </c>
      <c r="O82" s="58" t="s">
        <v>6677</v>
      </c>
      <c r="P82" s="61" t="n">
        <v>171</v>
      </c>
    </row>
    <row r="83" customFormat="false" ht="32.8" hidden="false" customHeight="false" outlineLevel="0" collapsed="false">
      <c r="A83" s="22" t="s">
        <v>6771</v>
      </c>
      <c r="B83" s="17" t="s">
        <v>6290</v>
      </c>
      <c r="C83" s="17" t="s">
        <v>176</v>
      </c>
      <c r="D83" s="55" t="s">
        <v>6772</v>
      </c>
      <c r="E83" s="17" t="s">
        <v>224</v>
      </c>
      <c r="F83" s="56" t="s">
        <v>6773</v>
      </c>
      <c r="G83" s="17" t="s">
        <v>6774</v>
      </c>
      <c r="H83" s="17"/>
      <c r="I83" s="17"/>
      <c r="J83" s="17"/>
      <c r="K83" s="17"/>
      <c r="L83" s="17"/>
      <c r="M83" s="17" t="s">
        <v>6775</v>
      </c>
      <c r="N83" s="15" t="s">
        <v>91</v>
      </c>
      <c r="O83" s="17" t="s">
        <v>6677</v>
      </c>
      <c r="P83" s="15" t="n">
        <v>175</v>
      </c>
    </row>
    <row r="84" customFormat="false" ht="32.8" hidden="false" customHeight="false" outlineLevel="0" collapsed="false">
      <c r="A84" s="57" t="s">
        <v>6776</v>
      </c>
      <c r="B84" s="58" t="s">
        <v>6290</v>
      </c>
      <c r="C84" s="58" t="s">
        <v>176</v>
      </c>
      <c r="D84" s="59" t="s">
        <v>6777</v>
      </c>
      <c r="E84" s="58" t="s">
        <v>222</v>
      </c>
      <c r="F84" s="60" t="s">
        <v>6778</v>
      </c>
      <c r="G84" s="58" t="s">
        <v>6779</v>
      </c>
      <c r="H84" s="58" t="s">
        <v>6780</v>
      </c>
      <c r="I84" s="58" t="s">
        <v>468</v>
      </c>
      <c r="J84" s="58" t="s">
        <v>6781</v>
      </c>
      <c r="K84" s="58"/>
      <c r="L84" s="58" t="s">
        <v>6782</v>
      </c>
      <c r="M84" s="58"/>
      <c r="N84" s="61" t="s">
        <v>91</v>
      </c>
      <c r="O84" s="58" t="s">
        <v>6677</v>
      </c>
      <c r="P84" s="61" t="n">
        <v>181</v>
      </c>
    </row>
    <row r="85" customFormat="false" ht="32.8" hidden="false" customHeight="false" outlineLevel="0" collapsed="false">
      <c r="A85" s="22" t="s">
        <v>6783</v>
      </c>
      <c r="B85" s="17" t="s">
        <v>6290</v>
      </c>
      <c r="C85" s="17" t="s">
        <v>176</v>
      </c>
      <c r="D85" s="55" t="s">
        <v>6784</v>
      </c>
      <c r="E85" s="17" t="s">
        <v>222</v>
      </c>
      <c r="F85" s="56" t="s">
        <v>6785</v>
      </c>
      <c r="G85" s="17" t="s">
        <v>6786</v>
      </c>
      <c r="H85" s="17" t="s">
        <v>6787</v>
      </c>
      <c r="I85" s="17"/>
      <c r="J85" s="17" t="s">
        <v>6788</v>
      </c>
      <c r="K85" s="17"/>
      <c r="L85" s="17" t="s">
        <v>6789</v>
      </c>
      <c r="M85" s="17"/>
      <c r="N85" s="15" t="s">
        <v>91</v>
      </c>
      <c r="O85" s="17" t="s">
        <v>6677</v>
      </c>
      <c r="P85" s="15" t="n">
        <v>186</v>
      </c>
    </row>
    <row r="86" customFormat="false" ht="22.35" hidden="false" customHeight="false" outlineLevel="0" collapsed="false">
      <c r="A86" s="57" t="s">
        <v>6790</v>
      </c>
      <c r="B86" s="58" t="s">
        <v>6290</v>
      </c>
      <c r="C86" s="58" t="s">
        <v>176</v>
      </c>
      <c r="D86" s="59" t="s">
        <v>6791</v>
      </c>
      <c r="E86" s="58" t="s">
        <v>224</v>
      </c>
      <c r="F86" s="60" t="s">
        <v>6792</v>
      </c>
      <c r="G86" s="58" t="s">
        <v>6793</v>
      </c>
      <c r="H86" s="58"/>
      <c r="I86" s="58"/>
      <c r="J86" s="58"/>
      <c r="K86" s="58"/>
      <c r="L86" s="58" t="s">
        <v>6794</v>
      </c>
      <c r="M86" s="58"/>
      <c r="N86" s="61" t="s">
        <v>91</v>
      </c>
      <c r="O86" s="58" t="s">
        <v>6507</v>
      </c>
      <c r="P86" s="61" t="n">
        <v>20</v>
      </c>
    </row>
    <row r="87" customFormat="false" ht="22.35" hidden="false" customHeight="false" outlineLevel="0" collapsed="false">
      <c r="A87" s="22" t="s">
        <v>6795</v>
      </c>
      <c r="B87" s="17" t="s">
        <v>6290</v>
      </c>
      <c r="C87" s="17" t="s">
        <v>176</v>
      </c>
      <c r="D87" s="55" t="s">
        <v>6796</v>
      </c>
      <c r="E87" s="17" t="s">
        <v>224</v>
      </c>
      <c r="F87" s="56" t="s">
        <v>6797</v>
      </c>
      <c r="G87" s="17" t="s">
        <v>6798</v>
      </c>
      <c r="H87" s="17"/>
      <c r="I87" s="17"/>
      <c r="J87" s="17"/>
      <c r="K87" s="17"/>
      <c r="L87" s="17" t="s">
        <v>6799</v>
      </c>
      <c r="M87" s="17"/>
      <c r="N87" s="15" t="s">
        <v>91</v>
      </c>
      <c r="O87" s="17" t="s">
        <v>6507</v>
      </c>
      <c r="P87" s="15" t="n">
        <v>25</v>
      </c>
    </row>
    <row r="88" customFormat="false" ht="32.8" hidden="false" customHeight="false" outlineLevel="0" collapsed="false">
      <c r="A88" s="57" t="s">
        <v>6800</v>
      </c>
      <c r="B88" s="58" t="s">
        <v>6290</v>
      </c>
      <c r="C88" s="58" t="s">
        <v>176</v>
      </c>
      <c r="D88" s="59" t="s">
        <v>6801</v>
      </c>
      <c r="E88" s="58" t="s">
        <v>224</v>
      </c>
      <c r="F88" s="60" t="s">
        <v>6802</v>
      </c>
      <c r="G88" s="58" t="s">
        <v>6803</v>
      </c>
      <c r="H88" s="58"/>
      <c r="I88" s="58"/>
      <c r="J88" s="58"/>
      <c r="K88" s="58"/>
      <c r="L88" s="58" t="s">
        <v>6804</v>
      </c>
      <c r="M88" s="58" t="s">
        <v>6805</v>
      </c>
      <c r="N88" s="61" t="s">
        <v>91</v>
      </c>
      <c r="O88" s="58" t="s">
        <v>6507</v>
      </c>
      <c r="P88" s="61" t="n">
        <v>30</v>
      </c>
    </row>
    <row r="89" customFormat="false" ht="22.35" hidden="false" customHeight="false" outlineLevel="0" collapsed="false">
      <c r="A89" s="22" t="s">
        <v>6806</v>
      </c>
      <c r="B89" s="17" t="s">
        <v>6290</v>
      </c>
      <c r="C89" s="17" t="s">
        <v>176</v>
      </c>
      <c r="D89" s="55" t="s">
        <v>6807</v>
      </c>
      <c r="E89" s="17" t="s">
        <v>224</v>
      </c>
      <c r="F89" s="56" t="s">
        <v>6808</v>
      </c>
      <c r="G89" s="17" t="s">
        <v>6809</v>
      </c>
      <c r="H89" s="17"/>
      <c r="I89" s="17"/>
      <c r="J89" s="17"/>
      <c r="K89" s="17"/>
      <c r="L89" s="17"/>
      <c r="M89" s="17"/>
      <c r="N89" s="15" t="s">
        <v>91</v>
      </c>
      <c r="O89" s="17" t="s">
        <v>6507</v>
      </c>
      <c r="P89" s="15" t="n">
        <v>35</v>
      </c>
    </row>
    <row r="90" customFormat="false" ht="22.35" hidden="false" customHeight="false" outlineLevel="0" collapsed="false">
      <c r="A90" s="57" t="s">
        <v>6810</v>
      </c>
      <c r="B90" s="58" t="s">
        <v>6290</v>
      </c>
      <c r="C90" s="58" t="s">
        <v>176</v>
      </c>
      <c r="D90" s="59" t="s">
        <v>6811</v>
      </c>
      <c r="E90" s="58" t="s">
        <v>224</v>
      </c>
      <c r="F90" s="60" t="s">
        <v>6812</v>
      </c>
      <c r="G90" s="58" t="s">
        <v>6813</v>
      </c>
      <c r="H90" s="58"/>
      <c r="I90" s="58"/>
      <c r="J90" s="58"/>
      <c r="K90" s="58" t="s">
        <v>6355</v>
      </c>
      <c r="L90" s="58"/>
      <c r="M90" s="58"/>
      <c r="N90" s="61" t="s">
        <v>91</v>
      </c>
      <c r="O90" s="58" t="s">
        <v>6507</v>
      </c>
      <c r="P90" s="61" t="n">
        <v>36</v>
      </c>
    </row>
    <row r="91" customFormat="false" ht="22.35" hidden="false" customHeight="false" outlineLevel="0" collapsed="false">
      <c r="A91" s="22" t="s">
        <v>6814</v>
      </c>
      <c r="B91" s="17" t="s">
        <v>6290</v>
      </c>
      <c r="C91" s="17" t="s">
        <v>176</v>
      </c>
      <c r="D91" s="55" t="s">
        <v>6815</v>
      </c>
      <c r="E91" s="17" t="s">
        <v>224</v>
      </c>
      <c r="F91" s="56" t="s">
        <v>6816</v>
      </c>
      <c r="G91" s="17" t="s">
        <v>6817</v>
      </c>
      <c r="H91" s="17"/>
      <c r="I91" s="17"/>
      <c r="J91" s="17"/>
      <c r="K91" s="17" t="s">
        <v>6355</v>
      </c>
      <c r="L91" s="17"/>
      <c r="M91" s="17"/>
      <c r="N91" s="15" t="s">
        <v>91</v>
      </c>
      <c r="O91" s="17" t="s">
        <v>6507</v>
      </c>
      <c r="P91" s="15" t="n">
        <v>37</v>
      </c>
    </row>
    <row r="92" customFormat="false" ht="22.35" hidden="false" customHeight="false" outlineLevel="0" collapsed="false">
      <c r="A92" s="57" t="s">
        <v>6818</v>
      </c>
      <c r="B92" s="58" t="s">
        <v>6290</v>
      </c>
      <c r="C92" s="58" t="s">
        <v>176</v>
      </c>
      <c r="D92" s="59" t="s">
        <v>6819</v>
      </c>
      <c r="E92" s="58" t="s">
        <v>224</v>
      </c>
      <c r="F92" s="60" t="s">
        <v>6820</v>
      </c>
      <c r="G92" s="58" t="s">
        <v>6821</v>
      </c>
      <c r="H92" s="58"/>
      <c r="I92" s="58"/>
      <c r="J92" s="58"/>
      <c r="K92" s="58"/>
      <c r="L92" s="58"/>
      <c r="M92" s="58" t="s">
        <v>6822</v>
      </c>
      <c r="N92" s="61" t="s">
        <v>91</v>
      </c>
      <c r="O92" s="58" t="s">
        <v>6507</v>
      </c>
      <c r="P92" s="61" t="n">
        <v>38</v>
      </c>
    </row>
    <row r="93" customFormat="false" ht="22.35" hidden="false" customHeight="false" outlineLevel="0" collapsed="false">
      <c r="A93" s="22" t="s">
        <v>6823</v>
      </c>
      <c r="B93" s="17" t="s">
        <v>6290</v>
      </c>
      <c r="C93" s="17" t="s">
        <v>176</v>
      </c>
      <c r="D93" s="55" t="s">
        <v>6824</v>
      </c>
      <c r="E93" s="17" t="s">
        <v>224</v>
      </c>
      <c r="F93" s="56" t="s">
        <v>6825</v>
      </c>
      <c r="G93" s="17" t="s">
        <v>6826</v>
      </c>
      <c r="H93" s="17"/>
      <c r="I93" s="17"/>
      <c r="J93" s="17"/>
      <c r="K93" s="17" t="s">
        <v>1046</v>
      </c>
      <c r="L93" s="17"/>
      <c r="M93" s="17"/>
      <c r="N93" s="15" t="s">
        <v>91</v>
      </c>
      <c r="O93" s="17" t="s">
        <v>6507</v>
      </c>
      <c r="P93" s="15" t="n">
        <v>42</v>
      </c>
    </row>
    <row r="94" customFormat="false" ht="22.35" hidden="false" customHeight="false" outlineLevel="0" collapsed="false">
      <c r="A94" s="57" t="s">
        <v>6827</v>
      </c>
      <c r="B94" s="58" t="s">
        <v>6290</v>
      </c>
      <c r="C94" s="58" t="s">
        <v>176</v>
      </c>
      <c r="D94" s="59" t="s">
        <v>6828</v>
      </c>
      <c r="E94" s="58" t="s">
        <v>224</v>
      </c>
      <c r="F94" s="60" t="s">
        <v>6829</v>
      </c>
      <c r="G94" s="58" t="s">
        <v>6830</v>
      </c>
      <c r="H94" s="58"/>
      <c r="I94" s="58"/>
      <c r="J94" s="58"/>
      <c r="K94" s="58" t="s">
        <v>1046</v>
      </c>
      <c r="L94" s="58"/>
      <c r="M94" s="58"/>
      <c r="N94" s="61" t="s">
        <v>91</v>
      </c>
      <c r="O94" s="58" t="s">
        <v>6507</v>
      </c>
      <c r="P94" s="61" t="n">
        <v>43</v>
      </c>
    </row>
    <row r="95" customFormat="false" ht="22.35" hidden="false" customHeight="false" outlineLevel="0" collapsed="false">
      <c r="A95" s="22" t="s">
        <v>6831</v>
      </c>
      <c r="B95" s="17" t="s">
        <v>6290</v>
      </c>
      <c r="C95" s="17" t="s">
        <v>176</v>
      </c>
      <c r="D95" s="55" t="s">
        <v>6832</v>
      </c>
      <c r="E95" s="17" t="s">
        <v>224</v>
      </c>
      <c r="F95" s="56" t="s">
        <v>6833</v>
      </c>
      <c r="G95" s="17" t="s">
        <v>6834</v>
      </c>
      <c r="H95" s="17"/>
      <c r="I95" s="17"/>
      <c r="J95" s="17"/>
      <c r="K95" s="17" t="s">
        <v>1046</v>
      </c>
      <c r="L95" s="17"/>
      <c r="M95" s="17"/>
      <c r="N95" s="15" t="s">
        <v>91</v>
      </c>
      <c r="O95" s="17" t="s">
        <v>6507</v>
      </c>
      <c r="P95" s="15" t="n">
        <v>44</v>
      </c>
    </row>
    <row r="96" customFormat="false" ht="22.35" hidden="false" customHeight="false" outlineLevel="0" collapsed="false">
      <c r="A96" s="57" t="s">
        <v>6835</v>
      </c>
      <c r="B96" s="58" t="s">
        <v>6290</v>
      </c>
      <c r="C96" s="58" t="s">
        <v>176</v>
      </c>
      <c r="D96" s="59" t="s">
        <v>6836</v>
      </c>
      <c r="E96" s="58" t="s">
        <v>224</v>
      </c>
      <c r="F96" s="60" t="s">
        <v>6837</v>
      </c>
      <c r="G96" s="58" t="s">
        <v>6838</v>
      </c>
      <c r="H96" s="58"/>
      <c r="I96" s="58"/>
      <c r="J96" s="58"/>
      <c r="K96" s="58" t="s">
        <v>1046</v>
      </c>
      <c r="L96" s="58"/>
      <c r="M96" s="58"/>
      <c r="N96" s="61" t="s">
        <v>91</v>
      </c>
      <c r="O96" s="58" t="s">
        <v>6507</v>
      </c>
      <c r="P96" s="61" t="n">
        <v>45</v>
      </c>
    </row>
    <row r="97" customFormat="false" ht="22.35" hidden="false" customHeight="false" outlineLevel="0" collapsed="false">
      <c r="A97" s="22" t="s">
        <v>6839</v>
      </c>
      <c r="B97" s="17" t="s">
        <v>6290</v>
      </c>
      <c r="C97" s="17" t="s">
        <v>176</v>
      </c>
      <c r="D97" s="55" t="s">
        <v>6840</v>
      </c>
      <c r="E97" s="17" t="s">
        <v>224</v>
      </c>
      <c r="F97" s="56" t="s">
        <v>6841</v>
      </c>
      <c r="G97" s="17" t="s">
        <v>6842</v>
      </c>
      <c r="H97" s="17"/>
      <c r="I97" s="17"/>
      <c r="J97" s="17"/>
      <c r="K97" s="17"/>
      <c r="L97" s="17"/>
      <c r="M97" s="17"/>
      <c r="N97" s="15" t="s">
        <v>91</v>
      </c>
      <c r="O97" s="17" t="s">
        <v>6507</v>
      </c>
      <c r="P97" s="15" t="n">
        <v>46</v>
      </c>
    </row>
    <row r="98" customFormat="false" ht="22.35" hidden="false" customHeight="false" outlineLevel="0" collapsed="false">
      <c r="A98" s="57" t="s">
        <v>6843</v>
      </c>
      <c r="B98" s="58" t="s">
        <v>6290</v>
      </c>
      <c r="C98" s="58" t="s">
        <v>176</v>
      </c>
      <c r="D98" s="59" t="s">
        <v>6844</v>
      </c>
      <c r="E98" s="58" t="s">
        <v>224</v>
      </c>
      <c r="F98" s="60" t="s">
        <v>6845</v>
      </c>
      <c r="G98" s="58" t="s">
        <v>6846</v>
      </c>
      <c r="H98" s="58"/>
      <c r="I98" s="58"/>
      <c r="J98" s="58" t="s">
        <v>6847</v>
      </c>
      <c r="K98" s="58"/>
      <c r="L98" s="58"/>
      <c r="M98" s="58"/>
      <c r="N98" s="61" t="s">
        <v>91</v>
      </c>
      <c r="O98" s="58" t="s">
        <v>6507</v>
      </c>
      <c r="P98" s="61" t="n">
        <v>47</v>
      </c>
    </row>
    <row r="99" customFormat="false" ht="22.35" hidden="false" customHeight="false" outlineLevel="0" collapsed="false">
      <c r="A99" s="22" t="s">
        <v>6848</v>
      </c>
      <c r="B99" s="17" t="s">
        <v>6290</v>
      </c>
      <c r="C99" s="17" t="s">
        <v>176</v>
      </c>
      <c r="D99" s="55" t="s">
        <v>6849</v>
      </c>
      <c r="E99" s="17" t="s">
        <v>224</v>
      </c>
      <c r="F99" s="56" t="s">
        <v>6850</v>
      </c>
      <c r="G99" s="17" t="s">
        <v>6851</v>
      </c>
      <c r="H99" s="17"/>
      <c r="I99" s="17"/>
      <c r="J99" s="17"/>
      <c r="K99" s="17"/>
      <c r="L99" s="17"/>
      <c r="M99" s="17"/>
      <c r="N99" s="15" t="s">
        <v>91</v>
      </c>
      <c r="O99" s="17" t="s">
        <v>6507</v>
      </c>
      <c r="P99" s="15" t="n">
        <v>55</v>
      </c>
    </row>
    <row r="100" customFormat="false" ht="22.35" hidden="false" customHeight="false" outlineLevel="0" collapsed="false">
      <c r="A100" s="57" t="s">
        <v>6852</v>
      </c>
      <c r="B100" s="58" t="s">
        <v>6290</v>
      </c>
      <c r="C100" s="58" t="s">
        <v>176</v>
      </c>
      <c r="D100" s="59" t="s">
        <v>6853</v>
      </c>
      <c r="E100" s="58" t="s">
        <v>224</v>
      </c>
      <c r="F100" s="60" t="s">
        <v>6854</v>
      </c>
      <c r="G100" s="58" t="s">
        <v>6855</v>
      </c>
      <c r="H100" s="58"/>
      <c r="I100" s="58"/>
      <c r="J100" s="58"/>
      <c r="K100" s="58"/>
      <c r="L100" s="58"/>
      <c r="M100" s="58"/>
      <c r="N100" s="61" t="s">
        <v>91</v>
      </c>
      <c r="O100" s="58" t="s">
        <v>6507</v>
      </c>
      <c r="P100" s="61" t="n">
        <v>56</v>
      </c>
    </row>
    <row r="101" customFormat="false" ht="22.35" hidden="false" customHeight="false" outlineLevel="0" collapsed="false">
      <c r="A101" s="22" t="s">
        <v>6856</v>
      </c>
      <c r="B101" s="17" t="s">
        <v>6290</v>
      </c>
      <c r="C101" s="17" t="s">
        <v>176</v>
      </c>
      <c r="D101" s="55" t="s">
        <v>6857</v>
      </c>
      <c r="E101" s="17" t="s">
        <v>224</v>
      </c>
      <c r="F101" s="56" t="s">
        <v>6858</v>
      </c>
      <c r="G101" s="17" t="s">
        <v>6859</v>
      </c>
      <c r="H101" s="17"/>
      <c r="I101" s="17"/>
      <c r="J101" s="17"/>
      <c r="K101" s="17"/>
      <c r="L101" s="17"/>
      <c r="M101" s="17"/>
      <c r="N101" s="15" t="s">
        <v>91</v>
      </c>
      <c r="O101" s="17" t="s">
        <v>6507</v>
      </c>
      <c r="P101" s="15" t="n">
        <v>59</v>
      </c>
    </row>
    <row r="102" customFormat="false" ht="43.25" hidden="false" customHeight="false" outlineLevel="0" collapsed="false">
      <c r="A102" s="57" t="s">
        <v>6860</v>
      </c>
      <c r="B102" s="58" t="s">
        <v>6290</v>
      </c>
      <c r="C102" s="58" t="s">
        <v>176</v>
      </c>
      <c r="D102" s="59" t="s">
        <v>6861</v>
      </c>
      <c r="E102" s="58" t="s">
        <v>224</v>
      </c>
      <c r="F102" s="60" t="s">
        <v>6862</v>
      </c>
      <c r="G102" s="58" t="s">
        <v>6863</v>
      </c>
      <c r="H102" s="58" t="s">
        <v>6864</v>
      </c>
      <c r="I102" s="58"/>
      <c r="J102" s="58"/>
      <c r="K102" s="58"/>
      <c r="L102" s="58" t="s">
        <v>6865</v>
      </c>
      <c r="M102" s="58"/>
      <c r="N102" s="61" t="s">
        <v>91</v>
      </c>
      <c r="O102" s="58" t="s">
        <v>6507</v>
      </c>
      <c r="P102" s="61" t="n">
        <v>90</v>
      </c>
    </row>
    <row r="103" customFormat="false" ht="22.35" hidden="false" customHeight="false" outlineLevel="0" collapsed="false">
      <c r="A103" s="22" t="s">
        <v>6866</v>
      </c>
      <c r="B103" s="17" t="s">
        <v>6290</v>
      </c>
      <c r="C103" s="17" t="s">
        <v>176</v>
      </c>
      <c r="D103" s="55" t="s">
        <v>6867</v>
      </c>
      <c r="E103" s="17" t="s">
        <v>224</v>
      </c>
      <c r="F103" s="56" t="s">
        <v>6868</v>
      </c>
      <c r="G103" s="17" t="s">
        <v>6869</v>
      </c>
      <c r="H103" s="17"/>
      <c r="I103" s="17"/>
      <c r="J103" s="17"/>
      <c r="K103" s="17" t="s">
        <v>6355</v>
      </c>
      <c r="L103" s="17"/>
      <c r="M103" s="17"/>
      <c r="N103" s="15" t="s">
        <v>91</v>
      </c>
      <c r="O103" s="17" t="s">
        <v>6507</v>
      </c>
      <c r="P103" s="15" t="n">
        <v>91</v>
      </c>
    </row>
    <row r="104" customFormat="false" ht="22.35" hidden="false" customHeight="false" outlineLevel="0" collapsed="false">
      <c r="A104" s="57" t="s">
        <v>6870</v>
      </c>
      <c r="B104" s="58" t="s">
        <v>6290</v>
      </c>
      <c r="C104" s="58" t="s">
        <v>176</v>
      </c>
      <c r="D104" s="59" t="s">
        <v>6871</v>
      </c>
      <c r="E104" s="58" t="s">
        <v>224</v>
      </c>
      <c r="F104" s="60" t="s">
        <v>6872</v>
      </c>
      <c r="G104" s="58" t="s">
        <v>6873</v>
      </c>
      <c r="H104" s="58"/>
      <c r="I104" s="58"/>
      <c r="J104" s="58"/>
      <c r="K104" s="58"/>
      <c r="L104" s="58"/>
      <c r="M104" s="58"/>
      <c r="N104" s="61" t="s">
        <v>91</v>
      </c>
      <c r="O104" s="58" t="s">
        <v>6507</v>
      </c>
      <c r="P104" s="61" t="n">
        <v>96</v>
      </c>
    </row>
    <row r="105" customFormat="false" ht="22.35" hidden="false" customHeight="false" outlineLevel="0" collapsed="false">
      <c r="A105" s="22" t="s">
        <v>6874</v>
      </c>
      <c r="B105" s="17" t="s">
        <v>6290</v>
      </c>
      <c r="C105" s="17" t="s">
        <v>176</v>
      </c>
      <c r="D105" s="55" t="s">
        <v>6875</v>
      </c>
      <c r="E105" s="17" t="s">
        <v>224</v>
      </c>
      <c r="F105" s="56" t="s">
        <v>6876</v>
      </c>
      <c r="G105" s="17" t="s">
        <v>6877</v>
      </c>
      <c r="H105" s="17"/>
      <c r="I105" s="17"/>
      <c r="J105" s="17"/>
      <c r="K105" s="17"/>
      <c r="L105" s="17"/>
      <c r="M105" s="17"/>
      <c r="N105" s="15" t="s">
        <v>91</v>
      </c>
      <c r="O105" s="17" t="s">
        <v>6507</v>
      </c>
      <c r="P105" s="15" t="n">
        <v>97</v>
      </c>
    </row>
    <row r="106" customFormat="false" ht="22.35" hidden="false" customHeight="false" outlineLevel="0" collapsed="false">
      <c r="A106" s="57" t="s">
        <v>6878</v>
      </c>
      <c r="B106" s="58" t="s">
        <v>6290</v>
      </c>
      <c r="C106" s="58" t="s">
        <v>176</v>
      </c>
      <c r="D106" s="59" t="s">
        <v>6879</v>
      </c>
      <c r="E106" s="58" t="s">
        <v>224</v>
      </c>
      <c r="F106" s="60" t="s">
        <v>6880</v>
      </c>
      <c r="G106" s="58" t="s">
        <v>6881</v>
      </c>
      <c r="H106" s="58"/>
      <c r="I106" s="58"/>
      <c r="J106" s="58"/>
      <c r="K106" s="58"/>
      <c r="L106" s="58"/>
      <c r="M106" s="58"/>
      <c r="N106" s="61" t="s">
        <v>91</v>
      </c>
      <c r="O106" s="58" t="s">
        <v>6507</v>
      </c>
      <c r="P106" s="61" t="n">
        <v>99</v>
      </c>
    </row>
    <row r="107" customFormat="false" ht="22.35" hidden="false" customHeight="false" outlineLevel="0" collapsed="false">
      <c r="A107" s="22" t="s">
        <v>6882</v>
      </c>
      <c r="B107" s="17" t="s">
        <v>6290</v>
      </c>
      <c r="C107" s="17" t="s">
        <v>176</v>
      </c>
      <c r="D107" s="55" t="s">
        <v>6883</v>
      </c>
      <c r="E107" s="17" t="s">
        <v>224</v>
      </c>
      <c r="F107" s="56" t="s">
        <v>6884</v>
      </c>
      <c r="G107" s="17" t="s">
        <v>6885</v>
      </c>
      <c r="H107" s="17"/>
      <c r="I107" s="17"/>
      <c r="J107" s="17"/>
      <c r="K107" s="17"/>
      <c r="L107" s="17" t="s">
        <v>6886</v>
      </c>
      <c r="M107" s="17"/>
      <c r="N107" s="15" t="s">
        <v>91</v>
      </c>
      <c r="O107" s="17" t="s">
        <v>6507</v>
      </c>
      <c r="P107" s="15" t="n">
        <v>102</v>
      </c>
    </row>
    <row r="108" customFormat="false" ht="32.8" hidden="false" customHeight="false" outlineLevel="0" collapsed="false">
      <c r="A108" s="57" t="s">
        <v>6887</v>
      </c>
      <c r="B108" s="58" t="s">
        <v>6290</v>
      </c>
      <c r="C108" s="58" t="s">
        <v>176</v>
      </c>
      <c r="D108" s="59" t="s">
        <v>6888</v>
      </c>
      <c r="E108" s="58" t="s">
        <v>224</v>
      </c>
      <c r="F108" s="60" t="s">
        <v>6889</v>
      </c>
      <c r="G108" s="58" t="s">
        <v>6890</v>
      </c>
      <c r="H108" s="58"/>
      <c r="I108" s="58"/>
      <c r="J108" s="58"/>
      <c r="K108" s="58"/>
      <c r="L108" s="58"/>
      <c r="M108" s="58" t="s">
        <v>6891</v>
      </c>
      <c r="N108" s="61" t="s">
        <v>91</v>
      </c>
      <c r="O108" s="58" t="s">
        <v>6507</v>
      </c>
      <c r="P108" s="61" t="n">
        <v>113</v>
      </c>
    </row>
    <row r="109" customFormat="false" ht="22.35" hidden="false" customHeight="false" outlineLevel="0" collapsed="false">
      <c r="A109" s="22" t="s">
        <v>6892</v>
      </c>
      <c r="B109" s="17" t="s">
        <v>6290</v>
      </c>
      <c r="C109" s="17" t="s">
        <v>176</v>
      </c>
      <c r="D109" s="55" t="s">
        <v>6893</v>
      </c>
      <c r="E109" s="17" t="s">
        <v>224</v>
      </c>
      <c r="F109" s="56" t="s">
        <v>6894</v>
      </c>
      <c r="G109" s="17" t="s">
        <v>6895</v>
      </c>
      <c r="H109" s="17"/>
      <c r="I109" s="17"/>
      <c r="J109" s="17"/>
      <c r="K109" s="17"/>
      <c r="L109" s="17"/>
      <c r="M109" s="17"/>
      <c r="N109" s="15" t="s">
        <v>91</v>
      </c>
      <c r="O109" s="17" t="s">
        <v>6507</v>
      </c>
      <c r="P109" s="15" t="n">
        <v>114</v>
      </c>
    </row>
    <row r="110" customFormat="false" ht="22.35" hidden="false" customHeight="false" outlineLevel="0" collapsed="false">
      <c r="A110" s="57" t="s">
        <v>6896</v>
      </c>
      <c r="B110" s="58" t="s">
        <v>6290</v>
      </c>
      <c r="C110" s="58" t="s">
        <v>176</v>
      </c>
      <c r="D110" s="59" t="s">
        <v>6897</v>
      </c>
      <c r="E110" s="58" t="s">
        <v>224</v>
      </c>
      <c r="F110" s="60" t="s">
        <v>6898</v>
      </c>
      <c r="G110" s="58" t="s">
        <v>6899</v>
      </c>
      <c r="H110" s="58"/>
      <c r="I110" s="58"/>
      <c r="J110" s="58"/>
      <c r="K110" s="58"/>
      <c r="L110" s="58"/>
      <c r="M110" s="58"/>
      <c r="N110" s="61" t="s">
        <v>91</v>
      </c>
      <c r="O110" s="58" t="s">
        <v>6507</v>
      </c>
      <c r="P110" s="61" t="n">
        <v>115</v>
      </c>
    </row>
    <row r="111" customFormat="false" ht="22.35" hidden="false" customHeight="false" outlineLevel="0" collapsed="false">
      <c r="A111" s="22" t="s">
        <v>6900</v>
      </c>
      <c r="B111" s="17" t="s">
        <v>6290</v>
      </c>
      <c r="C111" s="17" t="s">
        <v>176</v>
      </c>
      <c r="D111" s="55" t="s">
        <v>6901</v>
      </c>
      <c r="E111" s="17" t="s">
        <v>224</v>
      </c>
      <c r="F111" s="56" t="s">
        <v>6902</v>
      </c>
      <c r="G111" s="17" t="s">
        <v>6903</v>
      </c>
      <c r="H111" s="17"/>
      <c r="I111" s="17"/>
      <c r="J111" s="17" t="s">
        <v>6904</v>
      </c>
      <c r="K111" s="17" t="s">
        <v>1046</v>
      </c>
      <c r="L111" s="17"/>
      <c r="M111" s="17"/>
      <c r="N111" s="15" t="s">
        <v>91</v>
      </c>
      <c r="O111" s="17" t="s">
        <v>6507</v>
      </c>
      <c r="P111" s="15" t="n">
        <v>117</v>
      </c>
    </row>
    <row r="112" customFormat="false" ht="22.35" hidden="false" customHeight="false" outlineLevel="0" collapsed="false">
      <c r="A112" s="57" t="s">
        <v>6905</v>
      </c>
      <c r="B112" s="58" t="s">
        <v>6290</v>
      </c>
      <c r="C112" s="58" t="s">
        <v>176</v>
      </c>
      <c r="D112" s="59" t="s">
        <v>6906</v>
      </c>
      <c r="E112" s="58" t="s">
        <v>224</v>
      </c>
      <c r="F112" s="60" t="s">
        <v>6907</v>
      </c>
      <c r="G112" s="58" t="s">
        <v>6908</v>
      </c>
      <c r="H112" s="58"/>
      <c r="I112" s="58"/>
      <c r="J112" s="58"/>
      <c r="K112" s="58"/>
      <c r="L112" s="58"/>
      <c r="M112" s="58"/>
      <c r="N112" s="61" t="s">
        <v>91</v>
      </c>
      <c r="O112" s="58" t="s">
        <v>6507</v>
      </c>
      <c r="P112" s="61" t="n">
        <v>119</v>
      </c>
    </row>
    <row r="113" customFormat="false" ht="22.35" hidden="false" customHeight="false" outlineLevel="0" collapsed="false">
      <c r="A113" s="22" t="s">
        <v>6909</v>
      </c>
      <c r="B113" s="17" t="s">
        <v>6290</v>
      </c>
      <c r="C113" s="17" t="s">
        <v>176</v>
      </c>
      <c r="D113" s="55" t="s">
        <v>6910</v>
      </c>
      <c r="E113" s="17" t="s">
        <v>224</v>
      </c>
      <c r="F113" s="56" t="s">
        <v>6911</v>
      </c>
      <c r="G113" s="17" t="s">
        <v>6912</v>
      </c>
      <c r="H113" s="17"/>
      <c r="I113" s="17"/>
      <c r="J113" s="17"/>
      <c r="K113" s="17"/>
      <c r="L113" s="17" t="s">
        <v>6913</v>
      </c>
      <c r="M113" s="17"/>
      <c r="N113" s="15" t="s">
        <v>91</v>
      </c>
      <c r="O113" s="17" t="s">
        <v>6507</v>
      </c>
      <c r="P113" s="15" t="n">
        <v>126</v>
      </c>
    </row>
    <row r="114" customFormat="false" ht="22.35" hidden="false" customHeight="false" outlineLevel="0" collapsed="false">
      <c r="A114" s="57" t="s">
        <v>6914</v>
      </c>
      <c r="B114" s="58" t="s">
        <v>6290</v>
      </c>
      <c r="C114" s="58" t="s">
        <v>176</v>
      </c>
      <c r="D114" s="59" t="s">
        <v>6915</v>
      </c>
      <c r="E114" s="58" t="s">
        <v>224</v>
      </c>
      <c r="F114" s="60" t="s">
        <v>6916</v>
      </c>
      <c r="G114" s="58" t="s">
        <v>6917</v>
      </c>
      <c r="H114" s="58"/>
      <c r="I114" s="58"/>
      <c r="J114" s="58"/>
      <c r="K114" s="58"/>
      <c r="L114" s="58" t="s">
        <v>6918</v>
      </c>
      <c r="M114" s="58"/>
      <c r="N114" s="61" t="s">
        <v>91</v>
      </c>
      <c r="O114" s="58" t="s">
        <v>6919</v>
      </c>
      <c r="P114" s="61" t="n">
        <v>25</v>
      </c>
    </row>
    <row r="115" customFormat="false" ht="22.35" hidden="false" customHeight="false" outlineLevel="0" collapsed="false">
      <c r="A115" s="22" t="s">
        <v>6920</v>
      </c>
      <c r="B115" s="17" t="s">
        <v>6290</v>
      </c>
      <c r="C115" s="17" t="s">
        <v>176</v>
      </c>
      <c r="D115" s="55" t="s">
        <v>6921</v>
      </c>
      <c r="E115" s="17" t="s">
        <v>224</v>
      </c>
      <c r="F115" s="56" t="s">
        <v>6922</v>
      </c>
      <c r="G115" s="17" t="s">
        <v>6923</v>
      </c>
      <c r="H115" s="17"/>
      <c r="I115" s="17"/>
      <c r="J115" s="17"/>
      <c r="K115" s="17"/>
      <c r="L115" s="17" t="s">
        <v>6924</v>
      </c>
      <c r="M115" s="17"/>
      <c r="N115" s="15" t="s">
        <v>91</v>
      </c>
      <c r="O115" s="17" t="s">
        <v>6919</v>
      </c>
      <c r="P115" s="15" t="n">
        <v>30</v>
      </c>
    </row>
    <row r="116" customFormat="false" ht="32.8" hidden="false" customHeight="false" outlineLevel="0" collapsed="false">
      <c r="A116" s="57" t="s">
        <v>6925</v>
      </c>
      <c r="B116" s="58" t="s">
        <v>6290</v>
      </c>
      <c r="C116" s="58" t="s">
        <v>176</v>
      </c>
      <c r="D116" s="59" t="s">
        <v>6926</v>
      </c>
      <c r="E116" s="58" t="s">
        <v>224</v>
      </c>
      <c r="F116" s="60" t="s">
        <v>6927</v>
      </c>
      <c r="G116" s="58" t="s">
        <v>6928</v>
      </c>
      <c r="H116" s="58"/>
      <c r="I116" s="58"/>
      <c r="J116" s="58"/>
      <c r="K116" s="58"/>
      <c r="L116" s="58" t="s">
        <v>6929</v>
      </c>
      <c r="M116" s="58"/>
      <c r="N116" s="61" t="s">
        <v>91</v>
      </c>
      <c r="O116" s="58" t="s">
        <v>6919</v>
      </c>
      <c r="P116" s="61" t="n">
        <v>36</v>
      </c>
    </row>
    <row r="117" customFormat="false" ht="22.35" hidden="false" customHeight="false" outlineLevel="0" collapsed="false">
      <c r="A117" s="22" t="s">
        <v>6930</v>
      </c>
      <c r="B117" s="17" t="s">
        <v>6290</v>
      </c>
      <c r="C117" s="17" t="s">
        <v>176</v>
      </c>
      <c r="D117" s="55" t="s">
        <v>6931</v>
      </c>
      <c r="E117" s="17" t="s">
        <v>222</v>
      </c>
      <c r="F117" s="56" t="s">
        <v>6932</v>
      </c>
      <c r="G117" s="17" t="s">
        <v>6933</v>
      </c>
      <c r="H117" s="17" t="s">
        <v>6934</v>
      </c>
      <c r="I117" s="17" t="s">
        <v>468</v>
      </c>
      <c r="J117" s="17" t="s">
        <v>6935</v>
      </c>
      <c r="K117" s="17"/>
      <c r="L117" s="17"/>
      <c r="M117" s="17"/>
      <c r="N117" s="15" t="s">
        <v>91</v>
      </c>
      <c r="O117" s="17" t="s">
        <v>6936</v>
      </c>
      <c r="P117" s="15" t="n">
        <v>23</v>
      </c>
    </row>
    <row r="118" customFormat="false" ht="43.25" hidden="false" customHeight="false" outlineLevel="0" collapsed="false">
      <c r="A118" s="57" t="s">
        <v>6937</v>
      </c>
      <c r="B118" s="58" t="s">
        <v>6290</v>
      </c>
      <c r="C118" s="58" t="s">
        <v>176</v>
      </c>
      <c r="D118" s="59" t="s">
        <v>6938</v>
      </c>
      <c r="E118" s="58" t="s">
        <v>222</v>
      </c>
      <c r="F118" s="60" t="s">
        <v>6939</v>
      </c>
      <c r="G118" s="58" t="s">
        <v>6940</v>
      </c>
      <c r="H118" s="58" t="s">
        <v>6941</v>
      </c>
      <c r="I118" s="58"/>
      <c r="J118" s="58" t="s">
        <v>6942</v>
      </c>
      <c r="K118" s="58"/>
      <c r="L118" s="58" t="s">
        <v>6943</v>
      </c>
      <c r="M118" s="58"/>
      <c r="N118" s="61" t="s">
        <v>91</v>
      </c>
      <c r="O118" s="58" t="s">
        <v>6936</v>
      </c>
      <c r="P118" s="61" t="n">
        <v>28</v>
      </c>
    </row>
    <row r="119" customFormat="false" ht="22.35" hidden="false" customHeight="false" outlineLevel="0" collapsed="false">
      <c r="A119" s="22" t="s">
        <v>6944</v>
      </c>
      <c r="B119" s="17" t="s">
        <v>6290</v>
      </c>
      <c r="C119" s="17" t="s">
        <v>177</v>
      </c>
      <c r="D119" s="55" t="s">
        <v>6945</v>
      </c>
      <c r="E119" s="17" t="s">
        <v>223</v>
      </c>
      <c r="F119" s="56" t="s">
        <v>6946</v>
      </c>
      <c r="G119" s="17" t="s">
        <v>6947</v>
      </c>
      <c r="H119" s="17" t="s">
        <v>6948</v>
      </c>
      <c r="I119" s="17" t="s">
        <v>6949</v>
      </c>
      <c r="J119" s="17"/>
      <c r="K119" s="17"/>
      <c r="L119" s="17"/>
      <c r="M119" s="17" t="s">
        <v>6950</v>
      </c>
      <c r="N119" s="15" t="s">
        <v>91</v>
      </c>
      <c r="O119" s="17" t="s">
        <v>6951</v>
      </c>
      <c r="P119" s="15" t="n">
        <v>41</v>
      </c>
    </row>
    <row r="120" customFormat="false" ht="22.35" hidden="false" customHeight="false" outlineLevel="0" collapsed="false">
      <c r="A120" s="57" t="s">
        <v>6952</v>
      </c>
      <c r="B120" s="58" t="s">
        <v>6290</v>
      </c>
      <c r="C120" s="58" t="s">
        <v>177</v>
      </c>
      <c r="D120" s="59" t="s">
        <v>6953</v>
      </c>
      <c r="E120" s="58" t="s">
        <v>223</v>
      </c>
      <c r="F120" s="60" t="s">
        <v>6954</v>
      </c>
      <c r="G120" s="58" t="s">
        <v>6955</v>
      </c>
      <c r="H120" s="58"/>
      <c r="I120" s="58" t="s">
        <v>6956</v>
      </c>
      <c r="J120" s="58"/>
      <c r="K120" s="58"/>
      <c r="L120" s="58"/>
      <c r="M120" s="58"/>
      <c r="N120" s="61" t="s">
        <v>91</v>
      </c>
      <c r="O120" s="58" t="s">
        <v>6951</v>
      </c>
      <c r="P120" s="61" t="n">
        <v>45</v>
      </c>
    </row>
    <row r="121" customFormat="false" ht="22.35" hidden="false" customHeight="false" outlineLevel="0" collapsed="false">
      <c r="A121" s="22" t="s">
        <v>6957</v>
      </c>
      <c r="B121" s="17" t="s">
        <v>6290</v>
      </c>
      <c r="C121" s="17" t="s">
        <v>177</v>
      </c>
      <c r="D121" s="55" t="s">
        <v>6958</v>
      </c>
      <c r="E121" s="17" t="s">
        <v>224</v>
      </c>
      <c r="F121" s="56" t="s">
        <v>6959</v>
      </c>
      <c r="G121" s="17" t="s">
        <v>6960</v>
      </c>
      <c r="H121" s="17"/>
      <c r="I121" s="17"/>
      <c r="J121" s="17"/>
      <c r="K121" s="17"/>
      <c r="L121" s="17" t="s">
        <v>6961</v>
      </c>
      <c r="M121" s="17" t="s">
        <v>6962</v>
      </c>
      <c r="N121" s="15" t="s">
        <v>91</v>
      </c>
      <c r="O121" s="17" t="s">
        <v>6951</v>
      </c>
      <c r="P121" s="15" t="n">
        <v>59</v>
      </c>
    </row>
    <row r="122" customFormat="false" ht="32.8" hidden="false" customHeight="false" outlineLevel="0" collapsed="false">
      <c r="A122" s="57" t="s">
        <v>6963</v>
      </c>
      <c r="B122" s="58" t="s">
        <v>6290</v>
      </c>
      <c r="C122" s="58" t="s">
        <v>177</v>
      </c>
      <c r="D122" s="59" t="s">
        <v>6964</v>
      </c>
      <c r="E122" s="58" t="s">
        <v>226</v>
      </c>
      <c r="F122" s="60" t="s">
        <v>6965</v>
      </c>
      <c r="G122" s="58" t="s">
        <v>6966</v>
      </c>
      <c r="H122" s="58" t="s">
        <v>6967</v>
      </c>
      <c r="I122" s="58" t="s">
        <v>6968</v>
      </c>
      <c r="J122" s="58" t="s">
        <v>6969</v>
      </c>
      <c r="K122" s="58" t="s">
        <v>656</v>
      </c>
      <c r="L122" s="58" t="s">
        <v>6970</v>
      </c>
      <c r="M122" s="58"/>
      <c r="N122" s="61" t="s">
        <v>91</v>
      </c>
      <c r="O122" s="58" t="s">
        <v>6951</v>
      </c>
      <c r="P122" s="61" t="n">
        <v>291</v>
      </c>
    </row>
    <row r="123" customFormat="false" ht="43.25" hidden="false" customHeight="false" outlineLevel="0" collapsed="false">
      <c r="A123" s="22" t="s">
        <v>6971</v>
      </c>
      <c r="B123" s="17" t="s">
        <v>6290</v>
      </c>
      <c r="C123" s="17" t="s">
        <v>177</v>
      </c>
      <c r="D123" s="55" t="s">
        <v>6972</v>
      </c>
      <c r="E123" s="17" t="s">
        <v>226</v>
      </c>
      <c r="F123" s="56" t="s">
        <v>6973</v>
      </c>
      <c r="G123" s="17" t="s">
        <v>6974</v>
      </c>
      <c r="H123" s="17" t="s">
        <v>6975</v>
      </c>
      <c r="I123" s="17" t="s">
        <v>6976</v>
      </c>
      <c r="J123" s="17"/>
      <c r="K123" s="17" t="s">
        <v>656</v>
      </c>
      <c r="L123" s="17" t="s">
        <v>6977</v>
      </c>
      <c r="M123" s="17" t="s">
        <v>6978</v>
      </c>
      <c r="N123" s="15" t="s">
        <v>91</v>
      </c>
      <c r="O123" s="17" t="s">
        <v>6951</v>
      </c>
      <c r="P123" s="15" t="n">
        <v>312</v>
      </c>
    </row>
    <row r="124" customFormat="false" ht="43.25" hidden="false" customHeight="false" outlineLevel="0" collapsed="false">
      <c r="A124" s="57" t="s">
        <v>6979</v>
      </c>
      <c r="B124" s="58" t="s">
        <v>6290</v>
      </c>
      <c r="C124" s="58" t="s">
        <v>177</v>
      </c>
      <c r="D124" s="59" t="s">
        <v>6980</v>
      </c>
      <c r="E124" s="58" t="s">
        <v>226</v>
      </c>
      <c r="F124" s="60" t="s">
        <v>6981</v>
      </c>
      <c r="G124" s="58" t="s">
        <v>6982</v>
      </c>
      <c r="H124" s="58" t="s">
        <v>6983</v>
      </c>
      <c r="I124" s="58" t="s">
        <v>6984</v>
      </c>
      <c r="J124" s="58"/>
      <c r="K124" s="58"/>
      <c r="L124" s="58" t="s">
        <v>6985</v>
      </c>
      <c r="M124" s="58" t="s">
        <v>6986</v>
      </c>
      <c r="N124" s="61" t="s">
        <v>91</v>
      </c>
      <c r="O124" s="58" t="s">
        <v>6951</v>
      </c>
      <c r="P124" s="61" t="n">
        <v>335</v>
      </c>
    </row>
    <row r="125" customFormat="false" ht="53.7" hidden="false" customHeight="false" outlineLevel="0" collapsed="false">
      <c r="A125" s="22" t="s">
        <v>6987</v>
      </c>
      <c r="B125" s="17" t="s">
        <v>6290</v>
      </c>
      <c r="C125" s="17" t="s">
        <v>177</v>
      </c>
      <c r="D125" s="55" t="s">
        <v>6988</v>
      </c>
      <c r="E125" s="17" t="s">
        <v>226</v>
      </c>
      <c r="F125" s="56" t="s">
        <v>6989</v>
      </c>
      <c r="G125" s="17" t="s">
        <v>6990</v>
      </c>
      <c r="H125" s="17" t="s">
        <v>6991</v>
      </c>
      <c r="I125" s="17" t="s">
        <v>6992</v>
      </c>
      <c r="J125" s="17"/>
      <c r="K125" s="17"/>
      <c r="L125" s="17" t="s">
        <v>6993</v>
      </c>
      <c r="M125" s="17" t="s">
        <v>6994</v>
      </c>
      <c r="N125" s="15" t="s">
        <v>91</v>
      </c>
      <c r="O125" s="17" t="s">
        <v>6951</v>
      </c>
      <c r="P125" s="15" t="n">
        <v>499</v>
      </c>
    </row>
    <row r="126" customFormat="false" ht="74.6" hidden="false" customHeight="false" outlineLevel="0" collapsed="false">
      <c r="A126" s="57" t="s">
        <v>6995</v>
      </c>
      <c r="B126" s="58" t="s">
        <v>6290</v>
      </c>
      <c r="C126" s="58" t="s">
        <v>177</v>
      </c>
      <c r="D126" s="59" t="s">
        <v>6996</v>
      </c>
      <c r="E126" s="58" t="s">
        <v>226</v>
      </c>
      <c r="F126" s="60" t="s">
        <v>6997</v>
      </c>
      <c r="G126" s="58" t="s">
        <v>6998</v>
      </c>
      <c r="H126" s="58" t="s">
        <v>6999</v>
      </c>
      <c r="I126" s="58" t="s">
        <v>7000</v>
      </c>
      <c r="J126" s="58"/>
      <c r="K126" s="58"/>
      <c r="L126" s="58" t="s">
        <v>7001</v>
      </c>
      <c r="M126" s="58" t="s">
        <v>7002</v>
      </c>
      <c r="N126" s="61" t="s">
        <v>91</v>
      </c>
      <c r="O126" s="58" t="s">
        <v>6951</v>
      </c>
      <c r="P126" s="61" t="n">
        <v>547</v>
      </c>
    </row>
    <row r="127" customFormat="false" ht="43.25" hidden="false" customHeight="false" outlineLevel="0" collapsed="false">
      <c r="A127" s="22" t="s">
        <v>7003</v>
      </c>
      <c r="B127" s="17" t="s">
        <v>6290</v>
      </c>
      <c r="C127" s="17" t="s">
        <v>177</v>
      </c>
      <c r="D127" s="55" t="s">
        <v>6985</v>
      </c>
      <c r="E127" s="17" t="s">
        <v>224</v>
      </c>
      <c r="F127" s="56" t="s">
        <v>7004</v>
      </c>
      <c r="G127" s="17" t="s">
        <v>7005</v>
      </c>
      <c r="H127" s="17" t="s">
        <v>7006</v>
      </c>
      <c r="I127" s="17"/>
      <c r="J127" s="17"/>
      <c r="K127" s="17"/>
      <c r="L127" s="17" t="s">
        <v>7007</v>
      </c>
      <c r="M127" s="17" t="s">
        <v>7008</v>
      </c>
      <c r="N127" s="15" t="s">
        <v>91</v>
      </c>
      <c r="O127" s="17" t="s">
        <v>6951</v>
      </c>
      <c r="P127" s="15" t="n">
        <v>624</v>
      </c>
    </row>
    <row r="128" customFormat="false" ht="22.35" hidden="false" customHeight="false" outlineLevel="0" collapsed="false">
      <c r="A128" s="57" t="s">
        <v>7009</v>
      </c>
      <c r="B128" s="58" t="s">
        <v>6290</v>
      </c>
      <c r="C128" s="58" t="s">
        <v>177</v>
      </c>
      <c r="D128" s="59" t="s">
        <v>7010</v>
      </c>
      <c r="E128" s="58" t="s">
        <v>226</v>
      </c>
      <c r="F128" s="60" t="s">
        <v>7011</v>
      </c>
      <c r="G128" s="58" t="s">
        <v>7012</v>
      </c>
      <c r="H128" s="58"/>
      <c r="I128" s="58"/>
      <c r="J128" s="58"/>
      <c r="K128" s="58"/>
      <c r="L128" s="58" t="s">
        <v>7013</v>
      </c>
      <c r="M128" s="58"/>
      <c r="N128" s="61" t="s">
        <v>91</v>
      </c>
      <c r="O128" s="58" t="s">
        <v>6951</v>
      </c>
      <c r="P128" s="61" t="n">
        <v>634</v>
      </c>
    </row>
    <row r="129" customFormat="false" ht="32.8" hidden="false" customHeight="false" outlineLevel="0" collapsed="false">
      <c r="A129" s="22" t="s">
        <v>7014</v>
      </c>
      <c r="B129" s="17" t="s">
        <v>6290</v>
      </c>
      <c r="C129" s="17" t="s">
        <v>177</v>
      </c>
      <c r="D129" s="55" t="s">
        <v>7015</v>
      </c>
      <c r="E129" s="17" t="s">
        <v>226</v>
      </c>
      <c r="F129" s="56" t="s">
        <v>7016</v>
      </c>
      <c r="G129" s="17" t="s">
        <v>7017</v>
      </c>
      <c r="H129" s="17" t="s">
        <v>7018</v>
      </c>
      <c r="I129" s="17" t="s">
        <v>7019</v>
      </c>
      <c r="J129" s="17" t="s">
        <v>7020</v>
      </c>
      <c r="K129" s="17"/>
      <c r="L129" s="17" t="s">
        <v>6977</v>
      </c>
      <c r="M129" s="17" t="s">
        <v>7021</v>
      </c>
      <c r="N129" s="15" t="s">
        <v>91</v>
      </c>
      <c r="O129" s="17" t="s">
        <v>6951</v>
      </c>
      <c r="P129" s="15" t="n">
        <v>658</v>
      </c>
    </row>
    <row r="130" customFormat="false" ht="32.8" hidden="false" customHeight="false" outlineLevel="0" collapsed="false">
      <c r="A130" s="57" t="s">
        <v>7022</v>
      </c>
      <c r="B130" s="58" t="s">
        <v>6290</v>
      </c>
      <c r="C130" s="58" t="s">
        <v>177</v>
      </c>
      <c r="D130" s="59" t="s">
        <v>7023</v>
      </c>
      <c r="E130" s="58" t="s">
        <v>226</v>
      </c>
      <c r="F130" s="60" t="s">
        <v>7024</v>
      </c>
      <c r="G130" s="58" t="s">
        <v>7025</v>
      </c>
      <c r="H130" s="58"/>
      <c r="I130" s="58" t="s">
        <v>7026</v>
      </c>
      <c r="J130" s="58"/>
      <c r="K130" s="58"/>
      <c r="L130" s="58" t="s">
        <v>6977</v>
      </c>
      <c r="M130" s="58" t="s">
        <v>7027</v>
      </c>
      <c r="N130" s="61" t="s">
        <v>91</v>
      </c>
      <c r="O130" s="58" t="s">
        <v>6951</v>
      </c>
      <c r="P130" s="61" t="n">
        <v>737</v>
      </c>
    </row>
    <row r="131" customFormat="false" ht="22.35" hidden="false" customHeight="false" outlineLevel="0" collapsed="false">
      <c r="A131" s="22" t="s">
        <v>7028</v>
      </c>
      <c r="B131" s="17" t="s">
        <v>6290</v>
      </c>
      <c r="C131" s="17" t="s">
        <v>177</v>
      </c>
      <c r="D131" s="55" t="s">
        <v>7029</v>
      </c>
      <c r="E131" s="17" t="s">
        <v>226</v>
      </c>
      <c r="F131" s="56" t="s">
        <v>7030</v>
      </c>
      <c r="G131" s="17" t="s">
        <v>7031</v>
      </c>
      <c r="H131" s="17"/>
      <c r="I131" s="17"/>
      <c r="J131" s="17"/>
      <c r="K131" s="17"/>
      <c r="L131" s="17" t="s">
        <v>7013</v>
      </c>
      <c r="M131" s="17"/>
      <c r="N131" s="15" t="s">
        <v>91</v>
      </c>
      <c r="O131" s="17" t="s">
        <v>6951</v>
      </c>
      <c r="P131" s="15" t="n">
        <v>780</v>
      </c>
    </row>
    <row r="132" customFormat="false" ht="64.15" hidden="false" customHeight="false" outlineLevel="0" collapsed="false">
      <c r="A132" s="57" t="s">
        <v>7032</v>
      </c>
      <c r="B132" s="58" t="s">
        <v>6290</v>
      </c>
      <c r="C132" s="58" t="s">
        <v>177</v>
      </c>
      <c r="D132" s="59" t="s">
        <v>7033</v>
      </c>
      <c r="E132" s="58" t="s">
        <v>226</v>
      </c>
      <c r="F132" s="60" t="s">
        <v>7034</v>
      </c>
      <c r="G132" s="58" t="s">
        <v>7035</v>
      </c>
      <c r="H132" s="58" t="s">
        <v>7036</v>
      </c>
      <c r="I132" s="58" t="s">
        <v>7037</v>
      </c>
      <c r="J132" s="58"/>
      <c r="K132" s="58"/>
      <c r="L132" s="58" t="s">
        <v>7038</v>
      </c>
      <c r="M132" s="58" t="s">
        <v>7039</v>
      </c>
      <c r="N132" s="61" t="s">
        <v>91</v>
      </c>
      <c r="O132" s="58" t="s">
        <v>6951</v>
      </c>
      <c r="P132" s="61" t="n">
        <v>796</v>
      </c>
    </row>
    <row r="133" customFormat="false" ht="22.35" hidden="false" customHeight="false" outlineLevel="0" collapsed="false">
      <c r="A133" s="22" t="s">
        <v>7040</v>
      </c>
      <c r="B133" s="17" t="s">
        <v>6290</v>
      </c>
      <c r="C133" s="17" t="s">
        <v>177</v>
      </c>
      <c r="D133" s="55" t="s">
        <v>7041</v>
      </c>
      <c r="E133" s="17" t="s">
        <v>223</v>
      </c>
      <c r="F133" s="56" t="s">
        <v>7042</v>
      </c>
      <c r="G133" s="17" t="s">
        <v>7043</v>
      </c>
      <c r="H133" s="17"/>
      <c r="I133" s="17" t="s">
        <v>7041</v>
      </c>
      <c r="J133" s="17"/>
      <c r="K133" s="17"/>
      <c r="L133" s="17" t="s">
        <v>7044</v>
      </c>
      <c r="M133" s="17" t="s">
        <v>7045</v>
      </c>
      <c r="N133" s="15" t="s">
        <v>91</v>
      </c>
      <c r="O133" s="17" t="s">
        <v>6951</v>
      </c>
      <c r="P133" s="15" t="n">
        <v>886</v>
      </c>
    </row>
    <row r="134" customFormat="false" ht="22.35" hidden="false" customHeight="false" outlineLevel="0" collapsed="false">
      <c r="A134" s="57" t="s">
        <v>7046</v>
      </c>
      <c r="B134" s="58" t="s">
        <v>6290</v>
      </c>
      <c r="C134" s="58" t="s">
        <v>177</v>
      </c>
      <c r="D134" s="59" t="s">
        <v>7047</v>
      </c>
      <c r="E134" s="58" t="s">
        <v>223</v>
      </c>
      <c r="F134" s="60" t="s">
        <v>7048</v>
      </c>
      <c r="G134" s="58" t="s">
        <v>7049</v>
      </c>
      <c r="H134" s="58"/>
      <c r="I134" s="58" t="s">
        <v>7047</v>
      </c>
      <c r="J134" s="58"/>
      <c r="K134" s="58"/>
      <c r="L134" s="58" t="s">
        <v>7050</v>
      </c>
      <c r="M134" s="58" t="s">
        <v>7051</v>
      </c>
      <c r="N134" s="61" t="s">
        <v>91</v>
      </c>
      <c r="O134" s="58" t="s">
        <v>6951</v>
      </c>
      <c r="P134" s="61" t="n">
        <v>912</v>
      </c>
    </row>
    <row r="135" customFormat="false" ht="22.35" hidden="false" customHeight="false" outlineLevel="0" collapsed="false">
      <c r="A135" s="22" t="s">
        <v>7052</v>
      </c>
      <c r="B135" s="17" t="s">
        <v>6290</v>
      </c>
      <c r="C135" s="17" t="s">
        <v>177</v>
      </c>
      <c r="D135" s="55" t="s">
        <v>7053</v>
      </c>
      <c r="E135" s="17" t="s">
        <v>226</v>
      </c>
      <c r="F135" s="56" t="s">
        <v>7054</v>
      </c>
      <c r="G135" s="17" t="s">
        <v>7055</v>
      </c>
      <c r="H135" s="17" t="s">
        <v>7056</v>
      </c>
      <c r="I135" s="17"/>
      <c r="J135" s="17"/>
      <c r="K135" s="17"/>
      <c r="L135" s="17" t="s">
        <v>7057</v>
      </c>
      <c r="M135" s="17"/>
      <c r="N135" s="15" t="s">
        <v>91</v>
      </c>
      <c r="O135" s="17" t="s">
        <v>6951</v>
      </c>
      <c r="P135" s="15" t="n">
        <v>948</v>
      </c>
    </row>
    <row r="136" customFormat="false" ht="22.35" hidden="false" customHeight="false" outlineLevel="0" collapsed="false">
      <c r="A136" s="57" t="s">
        <v>7058</v>
      </c>
      <c r="B136" s="58" t="s">
        <v>6290</v>
      </c>
      <c r="C136" s="58" t="s">
        <v>177</v>
      </c>
      <c r="D136" s="59" t="s">
        <v>7059</v>
      </c>
      <c r="E136" s="58" t="s">
        <v>224</v>
      </c>
      <c r="F136" s="60" t="s">
        <v>7060</v>
      </c>
      <c r="G136" s="58" t="s">
        <v>7061</v>
      </c>
      <c r="H136" s="58" t="s">
        <v>7062</v>
      </c>
      <c r="I136" s="58"/>
      <c r="J136" s="58"/>
      <c r="K136" s="58"/>
      <c r="L136" s="58" t="s">
        <v>7063</v>
      </c>
      <c r="M136" s="58"/>
      <c r="N136" s="61" t="s">
        <v>91</v>
      </c>
      <c r="O136" s="58" t="s">
        <v>6951</v>
      </c>
      <c r="P136" s="61" t="n">
        <v>976</v>
      </c>
    </row>
    <row r="137" customFormat="false" ht="22.35" hidden="false" customHeight="false" outlineLevel="0" collapsed="false">
      <c r="A137" s="22" t="s">
        <v>7064</v>
      </c>
      <c r="B137" s="17" t="s">
        <v>6290</v>
      </c>
      <c r="C137" s="17" t="s">
        <v>177</v>
      </c>
      <c r="D137" s="55" t="s">
        <v>7065</v>
      </c>
      <c r="E137" s="17" t="s">
        <v>226</v>
      </c>
      <c r="F137" s="56" t="s">
        <v>7066</v>
      </c>
      <c r="G137" s="17" t="s">
        <v>7067</v>
      </c>
      <c r="H137" s="17"/>
      <c r="I137" s="17" t="s">
        <v>7068</v>
      </c>
      <c r="J137" s="17"/>
      <c r="K137" s="17"/>
      <c r="L137" s="17"/>
      <c r="M137" s="17" t="s">
        <v>7069</v>
      </c>
      <c r="N137" s="15" t="s">
        <v>91</v>
      </c>
      <c r="O137" s="17" t="s">
        <v>6951</v>
      </c>
      <c r="P137" s="15" t="n">
        <v>983</v>
      </c>
    </row>
    <row r="138" customFormat="false" ht="22.35" hidden="false" customHeight="false" outlineLevel="0" collapsed="false">
      <c r="A138" s="57" t="s">
        <v>7070</v>
      </c>
      <c r="B138" s="58" t="s">
        <v>6290</v>
      </c>
      <c r="C138" s="58" t="s">
        <v>177</v>
      </c>
      <c r="D138" s="59" t="s">
        <v>7071</v>
      </c>
      <c r="E138" s="58" t="s">
        <v>226</v>
      </c>
      <c r="F138" s="60" t="s">
        <v>7072</v>
      </c>
      <c r="G138" s="58" t="s">
        <v>7073</v>
      </c>
      <c r="H138" s="58"/>
      <c r="I138" s="58"/>
      <c r="J138" s="58"/>
      <c r="K138" s="58"/>
      <c r="L138" s="58"/>
      <c r="M138" s="58"/>
      <c r="N138" s="61" t="s">
        <v>91</v>
      </c>
      <c r="O138" s="58" t="s">
        <v>6951</v>
      </c>
      <c r="P138" s="61" t="n">
        <v>1000</v>
      </c>
    </row>
    <row r="139" customFormat="false" ht="22.35" hidden="false" customHeight="false" outlineLevel="0" collapsed="false">
      <c r="A139" s="22" t="s">
        <v>7074</v>
      </c>
      <c r="B139" s="17" t="s">
        <v>6290</v>
      </c>
      <c r="C139" s="17" t="s">
        <v>178</v>
      </c>
      <c r="D139" s="55" t="s">
        <v>7075</v>
      </c>
      <c r="E139" s="17" t="s">
        <v>223</v>
      </c>
      <c r="F139" s="56" t="s">
        <v>7076</v>
      </c>
      <c r="G139" s="17" t="s">
        <v>7077</v>
      </c>
      <c r="H139" s="17"/>
      <c r="I139" s="17" t="s">
        <v>7078</v>
      </c>
      <c r="J139" s="17" t="s">
        <v>7079</v>
      </c>
      <c r="K139" s="17" t="s">
        <v>6355</v>
      </c>
      <c r="L139" s="17" t="s">
        <v>6581</v>
      </c>
      <c r="M139" s="17"/>
      <c r="N139" s="15" t="s">
        <v>91</v>
      </c>
      <c r="O139" s="17" t="s">
        <v>6298</v>
      </c>
      <c r="P139" s="15" t="n">
        <v>57</v>
      </c>
    </row>
    <row r="140" customFormat="false" ht="32.8" hidden="false" customHeight="false" outlineLevel="0" collapsed="false">
      <c r="A140" s="57" t="s">
        <v>7080</v>
      </c>
      <c r="B140" s="58" t="s">
        <v>6290</v>
      </c>
      <c r="C140" s="58" t="s">
        <v>178</v>
      </c>
      <c r="D140" s="59" t="s">
        <v>7081</v>
      </c>
      <c r="E140" s="58" t="s">
        <v>223</v>
      </c>
      <c r="F140" s="60" t="s">
        <v>7082</v>
      </c>
      <c r="G140" s="58" t="s">
        <v>7083</v>
      </c>
      <c r="H140" s="58"/>
      <c r="I140" s="58" t="s">
        <v>7084</v>
      </c>
      <c r="J140" s="58"/>
      <c r="K140" s="58" t="s">
        <v>656</v>
      </c>
      <c r="L140" s="58" t="s">
        <v>7085</v>
      </c>
      <c r="M140" s="58"/>
      <c r="N140" s="61" t="s">
        <v>91</v>
      </c>
      <c r="O140" s="58" t="s">
        <v>6298</v>
      </c>
      <c r="P140" s="61" t="n">
        <v>70</v>
      </c>
    </row>
    <row r="141" customFormat="false" ht="32.8" hidden="false" customHeight="false" outlineLevel="0" collapsed="false">
      <c r="A141" s="22" t="s">
        <v>7086</v>
      </c>
      <c r="B141" s="17" t="s">
        <v>6290</v>
      </c>
      <c r="C141" s="17" t="s">
        <v>178</v>
      </c>
      <c r="D141" s="55" t="s">
        <v>7087</v>
      </c>
      <c r="E141" s="17" t="s">
        <v>223</v>
      </c>
      <c r="F141" s="56" t="s">
        <v>7088</v>
      </c>
      <c r="G141" s="17" t="s">
        <v>7089</v>
      </c>
      <c r="H141" s="17"/>
      <c r="I141" s="17" t="s">
        <v>7090</v>
      </c>
      <c r="J141" s="17"/>
      <c r="K141" s="17" t="s">
        <v>656</v>
      </c>
      <c r="L141" s="17" t="s">
        <v>7085</v>
      </c>
      <c r="M141" s="17" t="s">
        <v>7091</v>
      </c>
      <c r="N141" s="15" t="s">
        <v>91</v>
      </c>
      <c r="O141" s="17" t="s">
        <v>6298</v>
      </c>
      <c r="P141" s="15" t="n">
        <v>71</v>
      </c>
    </row>
    <row r="142" customFormat="false" ht="22.35" hidden="false" customHeight="false" outlineLevel="0" collapsed="false">
      <c r="A142" s="57" t="s">
        <v>7092</v>
      </c>
      <c r="B142" s="58" t="s">
        <v>6290</v>
      </c>
      <c r="C142" s="58" t="s">
        <v>178</v>
      </c>
      <c r="D142" s="59" t="s">
        <v>7093</v>
      </c>
      <c r="E142" s="58" t="s">
        <v>223</v>
      </c>
      <c r="F142" s="60" t="s">
        <v>7094</v>
      </c>
      <c r="G142" s="58" t="s">
        <v>7095</v>
      </c>
      <c r="H142" s="58"/>
      <c r="I142" s="58" t="s">
        <v>2801</v>
      </c>
      <c r="J142" s="58"/>
      <c r="K142" s="58"/>
      <c r="L142" s="58"/>
      <c r="M142" s="58" t="s">
        <v>7096</v>
      </c>
      <c r="N142" s="61" t="s">
        <v>91</v>
      </c>
      <c r="O142" s="58" t="s">
        <v>6298</v>
      </c>
      <c r="P142" s="61" t="n">
        <v>74</v>
      </c>
    </row>
    <row r="143" customFormat="false" ht="22.35" hidden="false" customHeight="false" outlineLevel="0" collapsed="false">
      <c r="A143" s="22" t="s">
        <v>7097</v>
      </c>
      <c r="B143" s="17" t="s">
        <v>6290</v>
      </c>
      <c r="C143" s="17" t="s">
        <v>178</v>
      </c>
      <c r="D143" s="55" t="s">
        <v>7098</v>
      </c>
      <c r="E143" s="17" t="s">
        <v>226</v>
      </c>
      <c r="F143" s="56" t="s">
        <v>7099</v>
      </c>
      <c r="G143" s="17" t="s">
        <v>7100</v>
      </c>
      <c r="H143" s="17" t="s">
        <v>7101</v>
      </c>
      <c r="I143" s="17" t="s">
        <v>7102</v>
      </c>
      <c r="J143" s="17"/>
      <c r="K143" s="17" t="s">
        <v>4210</v>
      </c>
      <c r="L143" s="17" t="s">
        <v>7103</v>
      </c>
      <c r="M143" s="17" t="s">
        <v>7104</v>
      </c>
      <c r="N143" s="15" t="s">
        <v>91</v>
      </c>
      <c r="O143" s="17" t="s">
        <v>6298</v>
      </c>
      <c r="P143" s="15" t="n">
        <v>155</v>
      </c>
    </row>
    <row r="144" customFormat="false" ht="53.7" hidden="false" customHeight="false" outlineLevel="0" collapsed="false">
      <c r="A144" s="57" t="s">
        <v>7105</v>
      </c>
      <c r="B144" s="58" t="s">
        <v>6290</v>
      </c>
      <c r="C144" s="58" t="s">
        <v>178</v>
      </c>
      <c r="D144" s="59" t="s">
        <v>7106</v>
      </c>
      <c r="E144" s="58" t="s">
        <v>226</v>
      </c>
      <c r="F144" s="60" t="s">
        <v>7107</v>
      </c>
      <c r="G144" s="58" t="s">
        <v>7108</v>
      </c>
      <c r="H144" s="58" t="s">
        <v>7109</v>
      </c>
      <c r="I144" s="58" t="s">
        <v>6383</v>
      </c>
      <c r="J144" s="58" t="s">
        <v>7110</v>
      </c>
      <c r="K144" s="58"/>
      <c r="L144" s="58" t="s">
        <v>7111</v>
      </c>
      <c r="M144" s="58" t="s">
        <v>7112</v>
      </c>
      <c r="N144" s="61" t="s">
        <v>91</v>
      </c>
      <c r="O144" s="58" t="s">
        <v>6298</v>
      </c>
      <c r="P144" s="61" t="n">
        <v>182</v>
      </c>
    </row>
    <row r="145" customFormat="false" ht="22.35" hidden="false" customHeight="false" outlineLevel="0" collapsed="false">
      <c r="A145" s="22" t="s">
        <v>7113</v>
      </c>
      <c r="B145" s="17" t="s">
        <v>6290</v>
      </c>
      <c r="C145" s="17" t="s">
        <v>178</v>
      </c>
      <c r="D145" s="55" t="s">
        <v>7114</v>
      </c>
      <c r="E145" s="17" t="s">
        <v>226</v>
      </c>
      <c r="F145" s="56" t="s">
        <v>7115</v>
      </c>
      <c r="G145" s="17" t="s">
        <v>7116</v>
      </c>
      <c r="H145" s="17" t="s">
        <v>6406</v>
      </c>
      <c r="I145" s="17"/>
      <c r="J145" s="17"/>
      <c r="K145" s="17"/>
      <c r="L145" s="17" t="s">
        <v>7117</v>
      </c>
      <c r="M145" s="17"/>
      <c r="N145" s="15" t="s">
        <v>91</v>
      </c>
      <c r="O145" s="17" t="s">
        <v>6298</v>
      </c>
      <c r="P145" s="15" t="n">
        <v>241</v>
      </c>
    </row>
    <row r="146" customFormat="false" ht="95.5" hidden="false" customHeight="false" outlineLevel="0" collapsed="false">
      <c r="A146" s="57" t="s">
        <v>7118</v>
      </c>
      <c r="B146" s="58" t="s">
        <v>6290</v>
      </c>
      <c r="C146" s="58" t="s">
        <v>178</v>
      </c>
      <c r="D146" s="59" t="s">
        <v>7119</v>
      </c>
      <c r="E146" s="58" t="s">
        <v>226</v>
      </c>
      <c r="F146" s="60" t="s">
        <v>7120</v>
      </c>
      <c r="G146" s="58" t="s">
        <v>7121</v>
      </c>
      <c r="H146" s="58" t="s">
        <v>6373</v>
      </c>
      <c r="I146" s="58" t="s">
        <v>7122</v>
      </c>
      <c r="J146" s="58" t="s">
        <v>7123</v>
      </c>
      <c r="K146" s="58" t="s">
        <v>656</v>
      </c>
      <c r="L146" s="58" t="s">
        <v>7124</v>
      </c>
      <c r="M146" s="58" t="s">
        <v>7125</v>
      </c>
      <c r="N146" s="61" t="s">
        <v>91</v>
      </c>
      <c r="O146" s="58" t="s">
        <v>6298</v>
      </c>
      <c r="P146" s="61" t="n">
        <v>270</v>
      </c>
    </row>
    <row r="147" customFormat="false" ht="74.6" hidden="false" customHeight="false" outlineLevel="0" collapsed="false">
      <c r="A147" s="22" t="s">
        <v>7126</v>
      </c>
      <c r="B147" s="17" t="s">
        <v>6290</v>
      </c>
      <c r="C147" s="17" t="s">
        <v>178</v>
      </c>
      <c r="D147" s="55" t="s">
        <v>7127</v>
      </c>
      <c r="E147" s="17" t="s">
        <v>226</v>
      </c>
      <c r="F147" s="56" t="s">
        <v>7128</v>
      </c>
      <c r="G147" s="17" t="s">
        <v>7129</v>
      </c>
      <c r="H147" s="17" t="s">
        <v>7130</v>
      </c>
      <c r="I147" s="17" t="s">
        <v>7131</v>
      </c>
      <c r="J147" s="17" t="s">
        <v>7132</v>
      </c>
      <c r="K147" s="17" t="s">
        <v>6355</v>
      </c>
      <c r="L147" s="17" t="s">
        <v>7133</v>
      </c>
      <c r="M147" s="17" t="s">
        <v>7134</v>
      </c>
      <c r="N147" s="15" t="s">
        <v>91</v>
      </c>
      <c r="O147" s="17" t="s">
        <v>6298</v>
      </c>
      <c r="P147" s="15" t="n">
        <v>324</v>
      </c>
    </row>
    <row r="148" customFormat="false" ht="105.95" hidden="false" customHeight="false" outlineLevel="0" collapsed="false">
      <c r="A148" s="57" t="s">
        <v>7135</v>
      </c>
      <c r="B148" s="58" t="s">
        <v>6290</v>
      </c>
      <c r="C148" s="58" t="s">
        <v>178</v>
      </c>
      <c r="D148" s="59" t="s">
        <v>7136</v>
      </c>
      <c r="E148" s="58" t="s">
        <v>222</v>
      </c>
      <c r="F148" s="60" t="s">
        <v>7137</v>
      </c>
      <c r="G148" s="58" t="s">
        <v>7138</v>
      </c>
      <c r="H148" s="58" t="s">
        <v>7139</v>
      </c>
      <c r="I148" s="58" t="s">
        <v>7140</v>
      </c>
      <c r="J148" s="58" t="s">
        <v>7141</v>
      </c>
      <c r="K148" s="58"/>
      <c r="L148" s="58" t="s">
        <v>7142</v>
      </c>
      <c r="M148" s="58" t="s">
        <v>7143</v>
      </c>
      <c r="N148" s="61" t="s">
        <v>91</v>
      </c>
      <c r="O148" s="58" t="s">
        <v>6298</v>
      </c>
      <c r="P148" s="61" t="n">
        <v>554</v>
      </c>
    </row>
    <row r="149" customFormat="false" ht="22.35" hidden="false" customHeight="false" outlineLevel="0" collapsed="false">
      <c r="A149" s="22" t="s">
        <v>7144</v>
      </c>
      <c r="B149" s="17" t="s">
        <v>6290</v>
      </c>
      <c r="C149" s="17" t="s">
        <v>178</v>
      </c>
      <c r="D149" s="55" t="s">
        <v>7145</v>
      </c>
      <c r="E149" s="17" t="s">
        <v>223</v>
      </c>
      <c r="F149" s="56" t="s">
        <v>7146</v>
      </c>
      <c r="G149" s="17" t="s">
        <v>7147</v>
      </c>
      <c r="H149" s="17"/>
      <c r="I149" s="17" t="s">
        <v>7148</v>
      </c>
      <c r="J149" s="17" t="s">
        <v>7149</v>
      </c>
      <c r="K149" s="17"/>
      <c r="L149" s="17" t="s">
        <v>7133</v>
      </c>
      <c r="M149" s="17"/>
      <c r="N149" s="15" t="s">
        <v>91</v>
      </c>
      <c r="O149" s="17" t="s">
        <v>6298</v>
      </c>
      <c r="P149" s="15" t="n">
        <v>563</v>
      </c>
    </row>
    <row r="150" customFormat="false" ht="43.25" hidden="false" customHeight="false" outlineLevel="0" collapsed="false">
      <c r="A150" s="57" t="s">
        <v>7150</v>
      </c>
      <c r="B150" s="58" t="s">
        <v>6290</v>
      </c>
      <c r="C150" s="58" t="s">
        <v>178</v>
      </c>
      <c r="D150" s="59" t="s">
        <v>7151</v>
      </c>
      <c r="E150" s="58" t="s">
        <v>222</v>
      </c>
      <c r="F150" s="60" t="s">
        <v>7152</v>
      </c>
      <c r="G150" s="58" t="s">
        <v>7153</v>
      </c>
      <c r="H150" s="58" t="s">
        <v>7154</v>
      </c>
      <c r="I150" s="58" t="s">
        <v>6441</v>
      </c>
      <c r="J150" s="58" t="s">
        <v>7155</v>
      </c>
      <c r="K150" s="58" t="s">
        <v>6355</v>
      </c>
      <c r="L150" s="58" t="s">
        <v>7156</v>
      </c>
      <c r="M150" s="58" t="s">
        <v>7157</v>
      </c>
      <c r="N150" s="61" t="s">
        <v>91</v>
      </c>
      <c r="O150" s="58" t="s">
        <v>6298</v>
      </c>
      <c r="P150" s="61" t="n">
        <v>1116</v>
      </c>
    </row>
    <row r="151" customFormat="false" ht="22.35" hidden="false" customHeight="false" outlineLevel="0" collapsed="false">
      <c r="A151" s="22" t="s">
        <v>7158</v>
      </c>
      <c r="B151" s="17" t="s">
        <v>6290</v>
      </c>
      <c r="C151" s="17" t="s">
        <v>178</v>
      </c>
      <c r="D151" s="55" t="s">
        <v>7159</v>
      </c>
      <c r="E151" s="17" t="s">
        <v>222</v>
      </c>
      <c r="F151" s="56" t="s">
        <v>7160</v>
      </c>
      <c r="G151" s="17" t="s">
        <v>7161</v>
      </c>
      <c r="H151" s="17" t="s">
        <v>6390</v>
      </c>
      <c r="I151" s="17"/>
      <c r="J151" s="17"/>
      <c r="K151" s="17"/>
      <c r="L151" s="17" t="s">
        <v>7162</v>
      </c>
      <c r="M151" s="17"/>
      <c r="N151" s="15" t="s">
        <v>91</v>
      </c>
      <c r="O151" s="17" t="s">
        <v>6298</v>
      </c>
      <c r="P151" s="15" t="n">
        <v>1190</v>
      </c>
    </row>
    <row r="152" customFormat="false" ht="43.25" hidden="false" customHeight="false" outlineLevel="0" collapsed="false">
      <c r="A152" s="57" t="s">
        <v>7163</v>
      </c>
      <c r="B152" s="58" t="s">
        <v>6290</v>
      </c>
      <c r="C152" s="58" t="s">
        <v>178</v>
      </c>
      <c r="D152" s="59" t="s">
        <v>7164</v>
      </c>
      <c r="E152" s="58" t="s">
        <v>223</v>
      </c>
      <c r="F152" s="60" t="s">
        <v>7165</v>
      </c>
      <c r="G152" s="58" t="s">
        <v>7166</v>
      </c>
      <c r="H152" s="58"/>
      <c r="I152" s="58"/>
      <c r="J152" s="58" t="s">
        <v>7167</v>
      </c>
      <c r="K152" s="58" t="s">
        <v>1046</v>
      </c>
      <c r="L152" s="58" t="s">
        <v>7168</v>
      </c>
      <c r="M152" s="58" t="s">
        <v>7169</v>
      </c>
      <c r="N152" s="61" t="s">
        <v>91</v>
      </c>
      <c r="O152" s="58" t="s">
        <v>6298</v>
      </c>
      <c r="P152" s="61" t="n">
        <v>2004</v>
      </c>
    </row>
    <row r="153" customFormat="false" ht="85.05" hidden="false" customHeight="false" outlineLevel="0" collapsed="false">
      <c r="A153" s="22" t="s">
        <v>7170</v>
      </c>
      <c r="B153" s="17" t="s">
        <v>6290</v>
      </c>
      <c r="C153" s="17" t="s">
        <v>178</v>
      </c>
      <c r="D153" s="55" t="s">
        <v>7171</v>
      </c>
      <c r="E153" s="17" t="s">
        <v>222</v>
      </c>
      <c r="F153" s="56" t="s">
        <v>7172</v>
      </c>
      <c r="G153" s="17" t="s">
        <v>7173</v>
      </c>
      <c r="H153" s="17" t="s">
        <v>6348</v>
      </c>
      <c r="I153" s="17" t="s">
        <v>6383</v>
      </c>
      <c r="J153" s="17"/>
      <c r="K153" s="17"/>
      <c r="L153" s="17" t="s">
        <v>7174</v>
      </c>
      <c r="M153" s="17" t="s">
        <v>7175</v>
      </c>
      <c r="N153" s="15" t="s">
        <v>91</v>
      </c>
      <c r="O153" s="17" t="s">
        <v>6298</v>
      </c>
      <c r="P153" s="15" t="n">
        <v>2561</v>
      </c>
    </row>
    <row r="154" customFormat="false" ht="32.8" hidden="false" customHeight="false" outlineLevel="0" collapsed="false">
      <c r="A154" s="57" t="s">
        <v>7176</v>
      </c>
      <c r="B154" s="58" t="s">
        <v>6290</v>
      </c>
      <c r="C154" s="58" t="s">
        <v>178</v>
      </c>
      <c r="D154" s="59" t="s">
        <v>7177</v>
      </c>
      <c r="E154" s="58" t="s">
        <v>222</v>
      </c>
      <c r="F154" s="60" t="s">
        <v>7178</v>
      </c>
      <c r="G154" s="58" t="s">
        <v>7179</v>
      </c>
      <c r="H154" s="58" t="s">
        <v>6348</v>
      </c>
      <c r="I154" s="58" t="s">
        <v>6383</v>
      </c>
      <c r="J154" s="58"/>
      <c r="K154" s="58"/>
      <c r="L154" s="58" t="s">
        <v>7180</v>
      </c>
      <c r="M154" s="58" t="s">
        <v>7181</v>
      </c>
      <c r="N154" s="61" t="s">
        <v>91</v>
      </c>
      <c r="O154" s="58" t="s">
        <v>6298</v>
      </c>
      <c r="P154" s="61" t="n">
        <v>2586</v>
      </c>
    </row>
    <row r="155" customFormat="false" ht="22.35" hidden="false" customHeight="false" outlineLevel="0" collapsed="false">
      <c r="A155" s="22" t="s">
        <v>7182</v>
      </c>
      <c r="B155" s="17" t="s">
        <v>6290</v>
      </c>
      <c r="C155" s="17" t="s">
        <v>179</v>
      </c>
      <c r="D155" s="55" t="s">
        <v>7183</v>
      </c>
      <c r="E155" s="17" t="s">
        <v>223</v>
      </c>
      <c r="F155" s="56" t="s">
        <v>7184</v>
      </c>
      <c r="G155" s="17" t="s">
        <v>7185</v>
      </c>
      <c r="H155" s="17"/>
      <c r="I155" s="17" t="s">
        <v>6682</v>
      </c>
      <c r="J155" s="17"/>
      <c r="K155" s="17"/>
      <c r="L155" s="17" t="s">
        <v>7186</v>
      </c>
      <c r="M155" s="17"/>
      <c r="N155" s="15" t="s">
        <v>91</v>
      </c>
      <c r="O155" s="17" t="s">
        <v>6617</v>
      </c>
      <c r="P155" s="15" t="n">
        <v>28</v>
      </c>
    </row>
    <row r="156" customFormat="false" ht="22.35" hidden="false" customHeight="false" outlineLevel="0" collapsed="false">
      <c r="A156" s="57" t="s">
        <v>7187</v>
      </c>
      <c r="B156" s="58" t="s">
        <v>6290</v>
      </c>
      <c r="C156" s="58" t="s">
        <v>179</v>
      </c>
      <c r="D156" s="59" t="s">
        <v>7188</v>
      </c>
      <c r="E156" s="58" t="s">
        <v>223</v>
      </c>
      <c r="F156" s="60" t="s">
        <v>7189</v>
      </c>
      <c r="G156" s="58" t="s">
        <v>7190</v>
      </c>
      <c r="H156" s="58"/>
      <c r="I156" s="58" t="s">
        <v>7191</v>
      </c>
      <c r="J156" s="58"/>
      <c r="K156" s="58"/>
      <c r="L156" s="58" t="s">
        <v>7186</v>
      </c>
      <c r="M156" s="58"/>
      <c r="N156" s="61" t="s">
        <v>91</v>
      </c>
      <c r="O156" s="58" t="s">
        <v>6617</v>
      </c>
      <c r="P156" s="61" t="n">
        <v>29</v>
      </c>
    </row>
    <row r="157" customFormat="false" ht="22.35" hidden="false" customHeight="false" outlineLevel="0" collapsed="false">
      <c r="A157" s="22" t="s">
        <v>7192</v>
      </c>
      <c r="B157" s="17" t="s">
        <v>6290</v>
      </c>
      <c r="C157" s="17" t="s">
        <v>179</v>
      </c>
      <c r="D157" s="55" t="s">
        <v>7193</v>
      </c>
      <c r="E157" s="17" t="s">
        <v>223</v>
      </c>
      <c r="F157" s="56" t="s">
        <v>7194</v>
      </c>
      <c r="G157" s="17" t="s">
        <v>7195</v>
      </c>
      <c r="H157" s="17"/>
      <c r="I157" s="17" t="s">
        <v>1404</v>
      </c>
      <c r="J157" s="17"/>
      <c r="K157" s="17"/>
      <c r="L157" s="17" t="s">
        <v>7186</v>
      </c>
      <c r="M157" s="17"/>
      <c r="N157" s="15" t="s">
        <v>91</v>
      </c>
      <c r="O157" s="17" t="s">
        <v>6617</v>
      </c>
      <c r="P157" s="15" t="n">
        <v>30</v>
      </c>
    </row>
    <row r="158" customFormat="false" ht="22.35" hidden="false" customHeight="false" outlineLevel="0" collapsed="false">
      <c r="A158" s="57" t="s">
        <v>7196</v>
      </c>
      <c r="B158" s="58" t="s">
        <v>6290</v>
      </c>
      <c r="C158" s="58" t="s">
        <v>179</v>
      </c>
      <c r="D158" s="59" t="s">
        <v>7197</v>
      </c>
      <c r="E158" s="58" t="s">
        <v>223</v>
      </c>
      <c r="F158" s="60" t="s">
        <v>7198</v>
      </c>
      <c r="G158" s="58" t="s">
        <v>7199</v>
      </c>
      <c r="H158" s="58"/>
      <c r="I158" s="58" t="s">
        <v>7200</v>
      </c>
      <c r="J158" s="58"/>
      <c r="K158" s="58"/>
      <c r="L158" s="58" t="s">
        <v>7186</v>
      </c>
      <c r="M158" s="58"/>
      <c r="N158" s="61" t="s">
        <v>91</v>
      </c>
      <c r="O158" s="58" t="s">
        <v>6617</v>
      </c>
      <c r="P158" s="61" t="n">
        <v>31</v>
      </c>
    </row>
    <row r="159" customFormat="false" ht="22.35" hidden="false" customHeight="false" outlineLevel="0" collapsed="false">
      <c r="A159" s="22" t="s">
        <v>7201</v>
      </c>
      <c r="B159" s="17" t="s">
        <v>6290</v>
      </c>
      <c r="C159" s="17" t="s">
        <v>179</v>
      </c>
      <c r="D159" s="55" t="s">
        <v>7202</v>
      </c>
      <c r="E159" s="17" t="s">
        <v>223</v>
      </c>
      <c r="F159" s="56" t="s">
        <v>7203</v>
      </c>
      <c r="G159" s="17" t="s">
        <v>7204</v>
      </c>
      <c r="H159" s="17"/>
      <c r="I159" s="17" t="s">
        <v>7205</v>
      </c>
      <c r="J159" s="17"/>
      <c r="K159" s="17"/>
      <c r="L159" s="17"/>
      <c r="M159" s="17" t="s">
        <v>7206</v>
      </c>
      <c r="N159" s="15" t="s">
        <v>91</v>
      </c>
      <c r="O159" s="17" t="s">
        <v>6617</v>
      </c>
      <c r="P159" s="15" t="n">
        <v>32</v>
      </c>
    </row>
    <row r="160" customFormat="false" ht="22.35" hidden="false" customHeight="false" outlineLevel="0" collapsed="false">
      <c r="A160" s="57" t="s">
        <v>7207</v>
      </c>
      <c r="B160" s="58" t="s">
        <v>6290</v>
      </c>
      <c r="C160" s="58" t="s">
        <v>179</v>
      </c>
      <c r="D160" s="59" t="s">
        <v>7208</v>
      </c>
      <c r="E160" s="58" t="s">
        <v>223</v>
      </c>
      <c r="F160" s="60" t="s">
        <v>7209</v>
      </c>
      <c r="G160" s="58" t="s">
        <v>7210</v>
      </c>
      <c r="H160" s="58"/>
      <c r="I160" s="58" t="s">
        <v>7211</v>
      </c>
      <c r="J160" s="58"/>
      <c r="K160" s="58"/>
      <c r="L160" s="58" t="s">
        <v>7186</v>
      </c>
      <c r="M160" s="58"/>
      <c r="N160" s="61" t="s">
        <v>91</v>
      </c>
      <c r="O160" s="58" t="s">
        <v>6617</v>
      </c>
      <c r="P160" s="61" t="n">
        <v>33</v>
      </c>
    </row>
    <row r="161" customFormat="false" ht="22.35" hidden="false" customHeight="false" outlineLevel="0" collapsed="false">
      <c r="A161" s="22" t="s">
        <v>7212</v>
      </c>
      <c r="B161" s="17" t="s">
        <v>6290</v>
      </c>
      <c r="C161" s="17" t="s">
        <v>179</v>
      </c>
      <c r="D161" s="55" t="s">
        <v>7213</v>
      </c>
      <c r="E161" s="17" t="s">
        <v>223</v>
      </c>
      <c r="F161" s="56" t="s">
        <v>7214</v>
      </c>
      <c r="G161" s="17" t="s">
        <v>7215</v>
      </c>
      <c r="H161" s="17"/>
      <c r="I161" s="17" t="s">
        <v>7216</v>
      </c>
      <c r="J161" s="17"/>
      <c r="K161" s="17"/>
      <c r="L161" s="17" t="s">
        <v>7186</v>
      </c>
      <c r="M161" s="17"/>
      <c r="N161" s="15" t="s">
        <v>91</v>
      </c>
      <c r="O161" s="17" t="s">
        <v>6617</v>
      </c>
      <c r="P161" s="15" t="n">
        <v>34</v>
      </c>
    </row>
    <row r="162" customFormat="false" ht="22.35" hidden="false" customHeight="false" outlineLevel="0" collapsed="false">
      <c r="A162" s="57" t="s">
        <v>7217</v>
      </c>
      <c r="B162" s="58" t="s">
        <v>6290</v>
      </c>
      <c r="C162" s="58" t="s">
        <v>179</v>
      </c>
      <c r="D162" s="59" t="s">
        <v>7218</v>
      </c>
      <c r="E162" s="58" t="s">
        <v>223</v>
      </c>
      <c r="F162" s="60" t="s">
        <v>7219</v>
      </c>
      <c r="G162" s="58" t="s">
        <v>7220</v>
      </c>
      <c r="H162" s="58"/>
      <c r="I162" s="58" t="s">
        <v>7211</v>
      </c>
      <c r="J162" s="58"/>
      <c r="K162" s="58"/>
      <c r="L162" s="58" t="s">
        <v>7186</v>
      </c>
      <c r="M162" s="58"/>
      <c r="N162" s="61" t="s">
        <v>91</v>
      </c>
      <c r="O162" s="58" t="s">
        <v>6617</v>
      </c>
      <c r="P162" s="61" t="n">
        <v>35</v>
      </c>
    </row>
    <row r="163" customFormat="false" ht="22.35" hidden="false" customHeight="false" outlineLevel="0" collapsed="false">
      <c r="A163" s="22" t="s">
        <v>7221</v>
      </c>
      <c r="B163" s="17" t="s">
        <v>6290</v>
      </c>
      <c r="C163" s="17" t="s">
        <v>179</v>
      </c>
      <c r="D163" s="55" t="s">
        <v>7222</v>
      </c>
      <c r="E163" s="17" t="s">
        <v>223</v>
      </c>
      <c r="F163" s="56" t="s">
        <v>7223</v>
      </c>
      <c r="G163" s="17" t="s">
        <v>7224</v>
      </c>
      <c r="H163" s="17"/>
      <c r="I163" s="17" t="s">
        <v>1716</v>
      </c>
      <c r="J163" s="17"/>
      <c r="K163" s="17"/>
      <c r="L163" s="17"/>
      <c r="M163" s="17" t="s">
        <v>7225</v>
      </c>
      <c r="N163" s="15" t="s">
        <v>91</v>
      </c>
      <c r="O163" s="17" t="s">
        <v>6617</v>
      </c>
      <c r="P163" s="15" t="n">
        <v>36</v>
      </c>
    </row>
    <row r="164" customFormat="false" ht="22.35" hidden="false" customHeight="false" outlineLevel="0" collapsed="false">
      <c r="A164" s="57" t="s">
        <v>7226</v>
      </c>
      <c r="B164" s="58" t="s">
        <v>6290</v>
      </c>
      <c r="C164" s="58" t="s">
        <v>179</v>
      </c>
      <c r="D164" s="59" t="s">
        <v>7227</v>
      </c>
      <c r="E164" s="58" t="s">
        <v>223</v>
      </c>
      <c r="F164" s="60" t="s">
        <v>7228</v>
      </c>
      <c r="G164" s="58" t="s">
        <v>7229</v>
      </c>
      <c r="H164" s="58"/>
      <c r="I164" s="58" t="s">
        <v>7230</v>
      </c>
      <c r="J164" s="58"/>
      <c r="K164" s="58"/>
      <c r="L164" s="58" t="s">
        <v>7186</v>
      </c>
      <c r="M164" s="58"/>
      <c r="N164" s="61" t="s">
        <v>91</v>
      </c>
      <c r="O164" s="58" t="s">
        <v>6617</v>
      </c>
      <c r="P164" s="61" t="n">
        <v>37</v>
      </c>
    </row>
    <row r="165" customFormat="false" ht="22.35" hidden="false" customHeight="false" outlineLevel="0" collapsed="false">
      <c r="A165" s="22" t="s">
        <v>7231</v>
      </c>
      <c r="B165" s="17" t="s">
        <v>6290</v>
      </c>
      <c r="C165" s="17" t="s">
        <v>179</v>
      </c>
      <c r="D165" s="55" t="s">
        <v>7232</v>
      </c>
      <c r="E165" s="17" t="s">
        <v>223</v>
      </c>
      <c r="F165" s="56" t="s">
        <v>7233</v>
      </c>
      <c r="G165" s="17" t="s">
        <v>7234</v>
      </c>
      <c r="H165" s="17"/>
      <c r="I165" s="17" t="s">
        <v>7235</v>
      </c>
      <c r="J165" s="17"/>
      <c r="K165" s="17"/>
      <c r="L165" s="17" t="s">
        <v>7186</v>
      </c>
      <c r="M165" s="17"/>
      <c r="N165" s="15" t="s">
        <v>91</v>
      </c>
      <c r="O165" s="17" t="s">
        <v>6617</v>
      </c>
      <c r="P165" s="15" t="n">
        <v>38</v>
      </c>
    </row>
    <row r="166" customFormat="false" ht="22.35" hidden="false" customHeight="false" outlineLevel="0" collapsed="false">
      <c r="A166" s="57" t="s">
        <v>7236</v>
      </c>
      <c r="B166" s="58" t="s">
        <v>6290</v>
      </c>
      <c r="C166" s="58" t="s">
        <v>179</v>
      </c>
      <c r="D166" s="59" t="s">
        <v>7237</v>
      </c>
      <c r="E166" s="58" t="s">
        <v>223</v>
      </c>
      <c r="F166" s="60" t="s">
        <v>7238</v>
      </c>
      <c r="G166" s="58" t="s">
        <v>7239</v>
      </c>
      <c r="H166" s="58"/>
      <c r="I166" s="58" t="s">
        <v>6515</v>
      </c>
      <c r="J166" s="58"/>
      <c r="K166" s="58"/>
      <c r="L166" s="58" t="s">
        <v>7186</v>
      </c>
      <c r="M166" s="58"/>
      <c r="N166" s="61" t="s">
        <v>91</v>
      </c>
      <c r="O166" s="58" t="s">
        <v>6617</v>
      </c>
      <c r="P166" s="61" t="n">
        <v>39</v>
      </c>
    </row>
    <row r="167" customFormat="false" ht="22.35" hidden="false" customHeight="false" outlineLevel="0" collapsed="false">
      <c r="A167" s="22" t="s">
        <v>7240</v>
      </c>
      <c r="B167" s="17" t="s">
        <v>6290</v>
      </c>
      <c r="C167" s="17" t="s">
        <v>179</v>
      </c>
      <c r="D167" s="55" t="s">
        <v>7241</v>
      </c>
      <c r="E167" s="17" t="s">
        <v>223</v>
      </c>
      <c r="F167" s="56" t="s">
        <v>7242</v>
      </c>
      <c r="G167" s="17" t="s">
        <v>7243</v>
      </c>
      <c r="H167" s="17"/>
      <c r="I167" s="17" t="s">
        <v>7244</v>
      </c>
      <c r="J167" s="17"/>
      <c r="K167" s="17"/>
      <c r="L167" s="17" t="s">
        <v>7186</v>
      </c>
      <c r="M167" s="17"/>
      <c r="N167" s="15" t="s">
        <v>91</v>
      </c>
      <c r="O167" s="17" t="s">
        <v>6617</v>
      </c>
      <c r="P167" s="15" t="n">
        <v>40</v>
      </c>
    </row>
    <row r="168" customFormat="false" ht="32.8" hidden="false" customHeight="false" outlineLevel="0" collapsed="false">
      <c r="A168" s="57" t="s">
        <v>7245</v>
      </c>
      <c r="B168" s="58" t="s">
        <v>6290</v>
      </c>
      <c r="C168" s="58" t="s">
        <v>179</v>
      </c>
      <c r="D168" s="59" t="s">
        <v>7246</v>
      </c>
      <c r="E168" s="58" t="s">
        <v>223</v>
      </c>
      <c r="F168" s="60" t="s">
        <v>7247</v>
      </c>
      <c r="G168" s="58" t="s">
        <v>7248</v>
      </c>
      <c r="H168" s="58"/>
      <c r="I168" s="58" t="s">
        <v>7249</v>
      </c>
      <c r="J168" s="58" t="s">
        <v>7250</v>
      </c>
      <c r="K168" s="58" t="s">
        <v>7251</v>
      </c>
      <c r="L168" s="58" t="s">
        <v>7252</v>
      </c>
      <c r="M168" s="58"/>
      <c r="N168" s="61" t="s">
        <v>91</v>
      </c>
      <c r="O168" s="58" t="s">
        <v>6617</v>
      </c>
      <c r="P168" s="61" t="n">
        <v>45</v>
      </c>
    </row>
    <row r="169" customFormat="false" ht="32.8" hidden="false" customHeight="false" outlineLevel="0" collapsed="false">
      <c r="A169" s="22" t="s">
        <v>7253</v>
      </c>
      <c r="B169" s="17" t="s">
        <v>6290</v>
      </c>
      <c r="C169" s="17" t="s">
        <v>179</v>
      </c>
      <c r="D169" s="55" t="s">
        <v>7254</v>
      </c>
      <c r="E169" s="17" t="s">
        <v>223</v>
      </c>
      <c r="F169" s="56" t="s">
        <v>7255</v>
      </c>
      <c r="G169" s="17" t="s">
        <v>7256</v>
      </c>
      <c r="H169" s="17"/>
      <c r="I169" s="17" t="s">
        <v>7257</v>
      </c>
      <c r="J169" s="17" t="s">
        <v>7258</v>
      </c>
      <c r="K169" s="17" t="s">
        <v>1046</v>
      </c>
      <c r="L169" s="17" t="s">
        <v>7259</v>
      </c>
      <c r="M169" s="17"/>
      <c r="N169" s="15" t="s">
        <v>91</v>
      </c>
      <c r="O169" s="17" t="s">
        <v>6617</v>
      </c>
      <c r="P169" s="15" t="n">
        <v>50</v>
      </c>
    </row>
    <row r="170" customFormat="false" ht="32.8" hidden="false" customHeight="false" outlineLevel="0" collapsed="false">
      <c r="A170" s="57" t="s">
        <v>7260</v>
      </c>
      <c r="B170" s="58" t="s">
        <v>6290</v>
      </c>
      <c r="C170" s="58" t="s">
        <v>179</v>
      </c>
      <c r="D170" s="59" t="s">
        <v>7261</v>
      </c>
      <c r="E170" s="58" t="s">
        <v>223</v>
      </c>
      <c r="F170" s="60" t="s">
        <v>7262</v>
      </c>
      <c r="G170" s="58" t="s">
        <v>7263</v>
      </c>
      <c r="H170" s="58"/>
      <c r="I170" s="58" t="s">
        <v>7264</v>
      </c>
      <c r="J170" s="58" t="s">
        <v>7265</v>
      </c>
      <c r="K170" s="58" t="s">
        <v>7266</v>
      </c>
      <c r="L170" s="58" t="s">
        <v>7186</v>
      </c>
      <c r="M170" s="58"/>
      <c r="N170" s="61" t="s">
        <v>91</v>
      </c>
      <c r="O170" s="58" t="s">
        <v>6617</v>
      </c>
      <c r="P170" s="61" t="n">
        <v>55</v>
      </c>
    </row>
    <row r="171" customFormat="false" ht="22.35" hidden="false" customHeight="false" outlineLevel="0" collapsed="false">
      <c r="A171" s="22" t="s">
        <v>7267</v>
      </c>
      <c r="B171" s="17" t="s">
        <v>6290</v>
      </c>
      <c r="C171" s="17" t="s">
        <v>179</v>
      </c>
      <c r="D171" s="55" t="s">
        <v>7268</v>
      </c>
      <c r="E171" s="17" t="s">
        <v>223</v>
      </c>
      <c r="F171" s="56" t="s">
        <v>7269</v>
      </c>
      <c r="G171" s="17" t="s">
        <v>7270</v>
      </c>
      <c r="H171" s="17"/>
      <c r="I171" s="17" t="s">
        <v>7271</v>
      </c>
      <c r="J171" s="17" t="s">
        <v>7272</v>
      </c>
      <c r="K171" s="17" t="s">
        <v>7273</v>
      </c>
      <c r="L171" s="17" t="s">
        <v>7186</v>
      </c>
      <c r="M171" s="17"/>
      <c r="N171" s="15" t="s">
        <v>91</v>
      </c>
      <c r="O171" s="17" t="s">
        <v>6617</v>
      </c>
      <c r="P171" s="15" t="n">
        <v>60</v>
      </c>
    </row>
    <row r="172" customFormat="false" ht="22.35" hidden="false" customHeight="false" outlineLevel="0" collapsed="false">
      <c r="A172" s="57" t="s">
        <v>7274</v>
      </c>
      <c r="B172" s="58" t="s">
        <v>6290</v>
      </c>
      <c r="C172" s="58" t="s">
        <v>179</v>
      </c>
      <c r="D172" s="59" t="s">
        <v>7275</v>
      </c>
      <c r="E172" s="58" t="s">
        <v>222</v>
      </c>
      <c r="F172" s="60" t="s">
        <v>7276</v>
      </c>
      <c r="G172" s="58" t="s">
        <v>7277</v>
      </c>
      <c r="H172" s="58" t="s">
        <v>7278</v>
      </c>
      <c r="I172" s="58" t="s">
        <v>7279</v>
      </c>
      <c r="J172" s="58"/>
      <c r="K172" s="58" t="s">
        <v>7251</v>
      </c>
      <c r="L172" s="58" t="s">
        <v>7280</v>
      </c>
      <c r="M172" s="58"/>
      <c r="N172" s="61" t="s">
        <v>91</v>
      </c>
      <c r="O172" s="58" t="s">
        <v>6617</v>
      </c>
      <c r="P172" s="61" t="n">
        <v>65</v>
      </c>
    </row>
    <row r="173" customFormat="false" ht="22.35" hidden="false" customHeight="false" outlineLevel="0" collapsed="false">
      <c r="A173" s="22" t="s">
        <v>7281</v>
      </c>
      <c r="B173" s="17" t="s">
        <v>6290</v>
      </c>
      <c r="C173" s="17" t="s">
        <v>179</v>
      </c>
      <c r="D173" s="55" t="s">
        <v>7282</v>
      </c>
      <c r="E173" s="17" t="s">
        <v>222</v>
      </c>
      <c r="F173" s="56" t="s">
        <v>7283</v>
      </c>
      <c r="G173" s="17" t="s">
        <v>7284</v>
      </c>
      <c r="H173" s="17" t="s">
        <v>7278</v>
      </c>
      <c r="I173" s="17" t="s">
        <v>7285</v>
      </c>
      <c r="J173" s="17"/>
      <c r="K173" s="17" t="s">
        <v>1046</v>
      </c>
      <c r="L173" s="17" t="s">
        <v>7286</v>
      </c>
      <c r="M173" s="17"/>
      <c r="N173" s="15" t="s">
        <v>91</v>
      </c>
      <c r="O173" s="17" t="s">
        <v>6617</v>
      </c>
      <c r="P173" s="15" t="n">
        <v>70</v>
      </c>
    </row>
    <row r="174" customFormat="false" ht="22.35" hidden="false" customHeight="false" outlineLevel="0" collapsed="false">
      <c r="A174" s="57" t="s">
        <v>7287</v>
      </c>
      <c r="B174" s="58" t="s">
        <v>6290</v>
      </c>
      <c r="C174" s="58" t="s">
        <v>179</v>
      </c>
      <c r="D174" s="59" t="s">
        <v>7288</v>
      </c>
      <c r="E174" s="58" t="s">
        <v>222</v>
      </c>
      <c r="F174" s="60" t="s">
        <v>7289</v>
      </c>
      <c r="G174" s="58" t="s">
        <v>7290</v>
      </c>
      <c r="H174" s="58" t="s">
        <v>7291</v>
      </c>
      <c r="I174" s="58" t="s">
        <v>7292</v>
      </c>
      <c r="J174" s="58" t="s">
        <v>7293</v>
      </c>
      <c r="K174" s="58"/>
      <c r="L174" s="58" t="s">
        <v>7294</v>
      </c>
      <c r="M174" s="58"/>
      <c r="N174" s="61" t="s">
        <v>91</v>
      </c>
      <c r="O174" s="58" t="s">
        <v>6617</v>
      </c>
      <c r="P174" s="61" t="n">
        <v>75</v>
      </c>
    </row>
    <row r="175" customFormat="false" ht="53.7" hidden="false" customHeight="false" outlineLevel="0" collapsed="false">
      <c r="A175" s="22" t="s">
        <v>7295</v>
      </c>
      <c r="B175" s="17" t="s">
        <v>6290</v>
      </c>
      <c r="C175" s="17" t="s">
        <v>179</v>
      </c>
      <c r="D175" s="55" t="s">
        <v>7296</v>
      </c>
      <c r="E175" s="17" t="s">
        <v>226</v>
      </c>
      <c r="F175" s="56" t="s">
        <v>7297</v>
      </c>
      <c r="G175" s="17" t="s">
        <v>7298</v>
      </c>
      <c r="H175" s="17" t="s">
        <v>7299</v>
      </c>
      <c r="I175" s="17"/>
      <c r="J175" s="17" t="s">
        <v>7300</v>
      </c>
      <c r="K175" s="17"/>
      <c r="L175" s="17" t="s">
        <v>7301</v>
      </c>
      <c r="M175" s="17" t="s">
        <v>7302</v>
      </c>
      <c r="N175" s="15" t="s">
        <v>91</v>
      </c>
      <c r="O175" s="17" t="s">
        <v>6617</v>
      </c>
      <c r="P175" s="15" t="n">
        <v>94</v>
      </c>
    </row>
    <row r="176" customFormat="false" ht="43.25" hidden="false" customHeight="false" outlineLevel="0" collapsed="false">
      <c r="A176" s="57" t="s">
        <v>7303</v>
      </c>
      <c r="B176" s="58" t="s">
        <v>6290</v>
      </c>
      <c r="C176" s="58" t="s">
        <v>179</v>
      </c>
      <c r="D176" s="59" t="s">
        <v>7304</v>
      </c>
      <c r="E176" s="58" t="s">
        <v>222</v>
      </c>
      <c r="F176" s="60" t="s">
        <v>7305</v>
      </c>
      <c r="G176" s="58" t="s">
        <v>7306</v>
      </c>
      <c r="H176" s="58" t="s">
        <v>6975</v>
      </c>
      <c r="I176" s="58" t="s">
        <v>7307</v>
      </c>
      <c r="J176" s="58" t="s">
        <v>7308</v>
      </c>
      <c r="K176" s="58"/>
      <c r="L176" s="58" t="s">
        <v>7309</v>
      </c>
      <c r="M176" s="58" t="s">
        <v>7310</v>
      </c>
      <c r="N176" s="61" t="s">
        <v>91</v>
      </c>
      <c r="O176" s="58" t="s">
        <v>6617</v>
      </c>
      <c r="P176" s="61" t="n">
        <v>195</v>
      </c>
    </row>
    <row r="177" customFormat="false" ht="22.35" hidden="false" customHeight="false" outlineLevel="0" collapsed="false">
      <c r="A177" s="22" t="s">
        <v>7311</v>
      </c>
      <c r="B177" s="17" t="s">
        <v>6290</v>
      </c>
      <c r="C177" s="17" t="s">
        <v>179</v>
      </c>
      <c r="D177" s="55" t="s">
        <v>7312</v>
      </c>
      <c r="E177" s="17" t="s">
        <v>222</v>
      </c>
      <c r="F177" s="56" t="s">
        <v>7313</v>
      </c>
      <c r="G177" s="17" t="s">
        <v>7314</v>
      </c>
      <c r="H177" s="17" t="s">
        <v>6975</v>
      </c>
      <c r="I177" s="17"/>
      <c r="J177" s="17"/>
      <c r="K177" s="17"/>
      <c r="L177" s="17" t="s">
        <v>7315</v>
      </c>
      <c r="M177" s="17"/>
      <c r="N177" s="15" t="s">
        <v>91</v>
      </c>
      <c r="O177" s="17" t="s">
        <v>6617</v>
      </c>
      <c r="P177" s="15" t="n">
        <v>247</v>
      </c>
    </row>
    <row r="178" customFormat="false" ht="74.6" hidden="false" customHeight="false" outlineLevel="0" collapsed="false">
      <c r="A178" s="57" t="s">
        <v>7316</v>
      </c>
      <c r="B178" s="58" t="s">
        <v>6290</v>
      </c>
      <c r="C178" s="58" t="s">
        <v>179</v>
      </c>
      <c r="D178" s="59" t="s">
        <v>7317</v>
      </c>
      <c r="E178" s="58" t="s">
        <v>222</v>
      </c>
      <c r="F178" s="60" t="s">
        <v>7318</v>
      </c>
      <c r="G178" s="58" t="s">
        <v>7319</v>
      </c>
      <c r="H178" s="58" t="s">
        <v>6975</v>
      </c>
      <c r="I178" s="58" t="s">
        <v>7320</v>
      </c>
      <c r="J178" s="58"/>
      <c r="K178" s="58" t="s">
        <v>7321</v>
      </c>
      <c r="L178" s="58" t="s">
        <v>7322</v>
      </c>
      <c r="M178" s="58" t="s">
        <v>7323</v>
      </c>
      <c r="N178" s="61" t="s">
        <v>91</v>
      </c>
      <c r="O178" s="58" t="s">
        <v>6617</v>
      </c>
      <c r="P178" s="61" t="n">
        <v>262</v>
      </c>
    </row>
    <row r="179" customFormat="false" ht="32.8" hidden="false" customHeight="false" outlineLevel="0" collapsed="false">
      <c r="A179" s="22" t="s">
        <v>7324</v>
      </c>
      <c r="B179" s="17" t="s">
        <v>6290</v>
      </c>
      <c r="C179" s="17" t="s">
        <v>179</v>
      </c>
      <c r="D179" s="55" t="s">
        <v>7325</v>
      </c>
      <c r="E179" s="17" t="s">
        <v>222</v>
      </c>
      <c r="F179" s="56" t="s">
        <v>7326</v>
      </c>
      <c r="G179" s="17" t="s">
        <v>7327</v>
      </c>
      <c r="H179" s="17" t="s">
        <v>7328</v>
      </c>
      <c r="I179" s="17" t="s">
        <v>7329</v>
      </c>
      <c r="J179" s="17"/>
      <c r="K179" s="17"/>
      <c r="L179" s="17"/>
      <c r="M179" s="17" t="s">
        <v>7330</v>
      </c>
      <c r="N179" s="15" t="s">
        <v>91</v>
      </c>
      <c r="O179" s="17" t="s">
        <v>6617</v>
      </c>
      <c r="P179" s="15" t="n">
        <v>633</v>
      </c>
    </row>
    <row r="180" customFormat="false" ht="53.7" hidden="false" customHeight="false" outlineLevel="0" collapsed="false">
      <c r="A180" s="57" t="s">
        <v>7331</v>
      </c>
      <c r="B180" s="58" t="s">
        <v>6290</v>
      </c>
      <c r="C180" s="58" t="s">
        <v>179</v>
      </c>
      <c r="D180" s="59" t="s">
        <v>7332</v>
      </c>
      <c r="E180" s="58" t="s">
        <v>222</v>
      </c>
      <c r="F180" s="60" t="s">
        <v>7333</v>
      </c>
      <c r="G180" s="58" t="s">
        <v>7334</v>
      </c>
      <c r="H180" s="58" t="s">
        <v>6975</v>
      </c>
      <c r="I180" s="58"/>
      <c r="J180" s="58"/>
      <c r="K180" s="58"/>
      <c r="L180" s="58"/>
      <c r="M180" s="58" t="s">
        <v>7335</v>
      </c>
      <c r="N180" s="61" t="s">
        <v>91</v>
      </c>
      <c r="O180" s="58" t="s">
        <v>6617</v>
      </c>
      <c r="P180" s="61" t="n">
        <v>892</v>
      </c>
    </row>
    <row r="181" customFormat="false" ht="22.35" hidden="false" customHeight="false" outlineLevel="0" collapsed="false">
      <c r="A181" s="22" t="s">
        <v>7336</v>
      </c>
      <c r="B181" s="17" t="s">
        <v>6290</v>
      </c>
      <c r="C181" s="17" t="s">
        <v>180</v>
      </c>
      <c r="D181" s="55" t="s">
        <v>7337</v>
      </c>
      <c r="E181" s="17" t="s">
        <v>239</v>
      </c>
      <c r="F181" s="56" t="s">
        <v>7338</v>
      </c>
      <c r="G181" s="17" t="s">
        <v>7339</v>
      </c>
      <c r="H181" s="17"/>
      <c r="I181" s="17"/>
      <c r="J181" s="17"/>
      <c r="K181" s="17"/>
      <c r="L181" s="17" t="s">
        <v>7340</v>
      </c>
      <c r="M181" s="17" t="s">
        <v>7341</v>
      </c>
      <c r="N181" s="15" t="s">
        <v>91</v>
      </c>
      <c r="O181" s="17" t="s">
        <v>7342</v>
      </c>
      <c r="P181" s="15" t="n">
        <v>65</v>
      </c>
    </row>
    <row r="182" customFormat="false" ht="22.35" hidden="false" customHeight="false" outlineLevel="0" collapsed="false">
      <c r="A182" s="57" t="s">
        <v>7343</v>
      </c>
      <c r="B182" s="58" t="s">
        <v>6290</v>
      </c>
      <c r="C182" s="58" t="s">
        <v>180</v>
      </c>
      <c r="D182" s="59" t="s">
        <v>7344</v>
      </c>
      <c r="E182" s="58" t="s">
        <v>239</v>
      </c>
      <c r="F182" s="60" t="s">
        <v>7345</v>
      </c>
      <c r="G182" s="58" t="s">
        <v>7346</v>
      </c>
      <c r="H182" s="58"/>
      <c r="I182" s="58"/>
      <c r="J182" s="58"/>
      <c r="K182" s="58"/>
      <c r="L182" s="58" t="s">
        <v>7340</v>
      </c>
      <c r="M182" s="58" t="s">
        <v>7347</v>
      </c>
      <c r="N182" s="61" t="s">
        <v>91</v>
      </c>
      <c r="O182" s="58" t="s">
        <v>7342</v>
      </c>
      <c r="P182" s="61" t="n">
        <v>66</v>
      </c>
    </row>
    <row r="183" customFormat="false" ht="22.35" hidden="false" customHeight="false" outlineLevel="0" collapsed="false">
      <c r="A183" s="22" t="s">
        <v>7348</v>
      </c>
      <c r="B183" s="17" t="s">
        <v>6290</v>
      </c>
      <c r="C183" s="17" t="s">
        <v>180</v>
      </c>
      <c r="D183" s="55" t="s">
        <v>7349</v>
      </c>
      <c r="E183" s="17" t="s">
        <v>239</v>
      </c>
      <c r="F183" s="56" t="s">
        <v>7350</v>
      </c>
      <c r="G183" s="17" t="s">
        <v>7351</v>
      </c>
      <c r="H183" s="17"/>
      <c r="I183" s="17"/>
      <c r="J183" s="17"/>
      <c r="K183" s="17"/>
      <c r="L183" s="17" t="s">
        <v>7340</v>
      </c>
      <c r="M183" s="17" t="s">
        <v>7347</v>
      </c>
      <c r="N183" s="15" t="s">
        <v>91</v>
      </c>
      <c r="O183" s="17" t="s">
        <v>7342</v>
      </c>
      <c r="P183" s="15" t="n">
        <v>67</v>
      </c>
    </row>
    <row r="184" customFormat="false" ht="22.35" hidden="false" customHeight="false" outlineLevel="0" collapsed="false">
      <c r="A184" s="57" t="s">
        <v>7352</v>
      </c>
      <c r="B184" s="58" t="s">
        <v>6290</v>
      </c>
      <c r="C184" s="58" t="s">
        <v>180</v>
      </c>
      <c r="D184" s="59" t="s">
        <v>7353</v>
      </c>
      <c r="E184" s="58" t="s">
        <v>239</v>
      </c>
      <c r="F184" s="60" t="s">
        <v>7354</v>
      </c>
      <c r="G184" s="58" t="s">
        <v>7355</v>
      </c>
      <c r="H184" s="58"/>
      <c r="I184" s="58"/>
      <c r="J184" s="58"/>
      <c r="K184" s="58"/>
      <c r="L184" s="58" t="s">
        <v>7340</v>
      </c>
      <c r="M184" s="58" t="s">
        <v>7356</v>
      </c>
      <c r="N184" s="61" t="s">
        <v>91</v>
      </c>
      <c r="O184" s="58" t="s">
        <v>7342</v>
      </c>
      <c r="P184" s="61" t="n">
        <v>68</v>
      </c>
    </row>
    <row r="185" customFormat="false" ht="22.35" hidden="false" customHeight="false" outlineLevel="0" collapsed="false">
      <c r="A185" s="22" t="s">
        <v>7357</v>
      </c>
      <c r="B185" s="17" t="s">
        <v>6290</v>
      </c>
      <c r="C185" s="17" t="s">
        <v>180</v>
      </c>
      <c r="D185" s="55" t="s">
        <v>7337</v>
      </c>
      <c r="E185" s="17" t="s">
        <v>239</v>
      </c>
      <c r="F185" s="56" t="s">
        <v>7338</v>
      </c>
      <c r="G185" s="17" t="s">
        <v>7358</v>
      </c>
      <c r="H185" s="17"/>
      <c r="I185" s="17"/>
      <c r="J185" s="17"/>
      <c r="K185" s="17"/>
      <c r="L185" s="17" t="s">
        <v>7359</v>
      </c>
      <c r="M185" s="17" t="s">
        <v>7360</v>
      </c>
      <c r="N185" s="15" t="s">
        <v>91</v>
      </c>
      <c r="O185" s="17" t="s">
        <v>7361</v>
      </c>
      <c r="P185" s="15" t="n">
        <v>121</v>
      </c>
    </row>
    <row r="186" customFormat="false" ht="32.8" hidden="false" customHeight="false" outlineLevel="0" collapsed="false">
      <c r="A186" s="57" t="s">
        <v>7362</v>
      </c>
      <c r="B186" s="58" t="s">
        <v>6290</v>
      </c>
      <c r="C186" s="58" t="s">
        <v>180</v>
      </c>
      <c r="D186" s="59" t="s">
        <v>7353</v>
      </c>
      <c r="E186" s="58" t="s">
        <v>239</v>
      </c>
      <c r="F186" s="60" t="s">
        <v>7354</v>
      </c>
      <c r="G186" s="58" t="s">
        <v>7363</v>
      </c>
      <c r="H186" s="58"/>
      <c r="I186" s="58"/>
      <c r="J186" s="58"/>
      <c r="K186" s="58"/>
      <c r="L186" s="58" t="s">
        <v>7359</v>
      </c>
      <c r="M186" s="58" t="s">
        <v>7364</v>
      </c>
      <c r="N186" s="61" t="s">
        <v>91</v>
      </c>
      <c r="O186" s="58" t="s">
        <v>7361</v>
      </c>
      <c r="P186" s="61" t="n">
        <v>122</v>
      </c>
    </row>
    <row r="187" customFormat="false" ht="32.8" hidden="false" customHeight="false" outlineLevel="0" collapsed="false">
      <c r="A187" s="22" t="s">
        <v>7365</v>
      </c>
      <c r="B187" s="17" t="s">
        <v>6290</v>
      </c>
      <c r="C187" s="17" t="s">
        <v>180</v>
      </c>
      <c r="D187" s="55" t="s">
        <v>6970</v>
      </c>
      <c r="E187" s="17" t="s">
        <v>239</v>
      </c>
      <c r="F187" s="56" t="s">
        <v>7366</v>
      </c>
      <c r="G187" s="17" t="s">
        <v>7367</v>
      </c>
      <c r="H187" s="17"/>
      <c r="I187" s="17"/>
      <c r="J187" s="17"/>
      <c r="K187" s="17"/>
      <c r="L187" s="17" t="s">
        <v>7359</v>
      </c>
      <c r="M187" s="17" t="s">
        <v>7368</v>
      </c>
      <c r="N187" s="15" t="s">
        <v>91</v>
      </c>
      <c r="O187" s="17" t="s">
        <v>7361</v>
      </c>
      <c r="P187" s="15" t="n">
        <v>123</v>
      </c>
    </row>
    <row r="188" customFormat="false" ht="32.8" hidden="false" customHeight="false" outlineLevel="0" collapsed="false">
      <c r="A188" s="57" t="s">
        <v>7369</v>
      </c>
      <c r="B188" s="58" t="s">
        <v>6290</v>
      </c>
      <c r="C188" s="58" t="s">
        <v>180</v>
      </c>
      <c r="D188" s="59" t="s">
        <v>7337</v>
      </c>
      <c r="E188" s="58" t="s">
        <v>239</v>
      </c>
      <c r="F188" s="60" t="s">
        <v>7338</v>
      </c>
      <c r="G188" s="58" t="s">
        <v>7370</v>
      </c>
      <c r="H188" s="58"/>
      <c r="I188" s="58"/>
      <c r="J188" s="58"/>
      <c r="K188" s="58"/>
      <c r="L188" s="58" t="s">
        <v>7371</v>
      </c>
      <c r="M188" s="58" t="s">
        <v>7372</v>
      </c>
      <c r="N188" s="61" t="s">
        <v>91</v>
      </c>
      <c r="O188" s="58" t="s">
        <v>6677</v>
      </c>
      <c r="P188" s="61" t="n">
        <v>58</v>
      </c>
    </row>
    <row r="189" customFormat="false" ht="32.8" hidden="false" customHeight="false" outlineLevel="0" collapsed="false">
      <c r="A189" s="22" t="s">
        <v>7373</v>
      </c>
      <c r="B189" s="17" t="s">
        <v>6290</v>
      </c>
      <c r="C189" s="17" t="s">
        <v>180</v>
      </c>
      <c r="D189" s="55" t="s">
        <v>7344</v>
      </c>
      <c r="E189" s="17" t="s">
        <v>239</v>
      </c>
      <c r="F189" s="56" t="s">
        <v>7345</v>
      </c>
      <c r="G189" s="17" t="s">
        <v>7374</v>
      </c>
      <c r="H189" s="17"/>
      <c r="I189" s="17"/>
      <c r="J189" s="17"/>
      <c r="K189" s="17"/>
      <c r="L189" s="17" t="s">
        <v>7371</v>
      </c>
      <c r="M189" s="17" t="s">
        <v>7375</v>
      </c>
      <c r="N189" s="15" t="s">
        <v>91</v>
      </c>
      <c r="O189" s="17" t="s">
        <v>6677</v>
      </c>
      <c r="P189" s="15" t="n">
        <v>59</v>
      </c>
    </row>
    <row r="190" customFormat="false" ht="32.8" hidden="false" customHeight="false" outlineLevel="0" collapsed="false">
      <c r="A190" s="57" t="s">
        <v>7376</v>
      </c>
      <c r="B190" s="58" t="s">
        <v>6290</v>
      </c>
      <c r="C190" s="58" t="s">
        <v>180</v>
      </c>
      <c r="D190" s="59" t="s">
        <v>7349</v>
      </c>
      <c r="E190" s="58" t="s">
        <v>239</v>
      </c>
      <c r="F190" s="60" t="s">
        <v>7350</v>
      </c>
      <c r="G190" s="58" t="s">
        <v>7377</v>
      </c>
      <c r="H190" s="58"/>
      <c r="I190" s="58"/>
      <c r="J190" s="58"/>
      <c r="K190" s="58"/>
      <c r="L190" s="58" t="s">
        <v>7371</v>
      </c>
      <c r="M190" s="58" t="s">
        <v>7375</v>
      </c>
      <c r="N190" s="61" t="s">
        <v>91</v>
      </c>
      <c r="O190" s="58" t="s">
        <v>6677</v>
      </c>
      <c r="P190" s="61" t="n">
        <v>60</v>
      </c>
    </row>
    <row r="191" customFormat="false" ht="32.8" hidden="false" customHeight="false" outlineLevel="0" collapsed="false">
      <c r="A191" s="22" t="s">
        <v>7378</v>
      </c>
      <c r="B191" s="17" t="s">
        <v>6290</v>
      </c>
      <c r="C191" s="17" t="s">
        <v>180</v>
      </c>
      <c r="D191" s="55" t="s">
        <v>7353</v>
      </c>
      <c r="E191" s="17" t="s">
        <v>239</v>
      </c>
      <c r="F191" s="56" t="s">
        <v>7354</v>
      </c>
      <c r="G191" s="17" t="s">
        <v>7379</v>
      </c>
      <c r="H191" s="17"/>
      <c r="I191" s="17"/>
      <c r="J191" s="17"/>
      <c r="K191" s="17"/>
      <c r="L191" s="17" t="s">
        <v>7371</v>
      </c>
      <c r="M191" s="17" t="s">
        <v>7372</v>
      </c>
      <c r="N191" s="15" t="s">
        <v>91</v>
      </c>
      <c r="O191" s="17" t="s">
        <v>6677</v>
      </c>
      <c r="P191" s="15" t="n">
        <v>61</v>
      </c>
    </row>
    <row r="192" customFormat="false" ht="43.25" hidden="false" customHeight="false" outlineLevel="0" collapsed="false">
      <c r="A192" s="57" t="s">
        <v>7380</v>
      </c>
      <c r="B192" s="58" t="s">
        <v>6290</v>
      </c>
      <c r="C192" s="58" t="s">
        <v>180</v>
      </c>
      <c r="D192" s="59" t="s">
        <v>6970</v>
      </c>
      <c r="E192" s="58" t="s">
        <v>239</v>
      </c>
      <c r="F192" s="60" t="s">
        <v>7381</v>
      </c>
      <c r="G192" s="58" t="s">
        <v>7382</v>
      </c>
      <c r="H192" s="58"/>
      <c r="I192" s="58"/>
      <c r="J192" s="58"/>
      <c r="K192" s="58"/>
      <c r="L192" s="58" t="s">
        <v>7371</v>
      </c>
      <c r="M192" s="58" t="s">
        <v>7372</v>
      </c>
      <c r="N192" s="61" t="s">
        <v>91</v>
      </c>
      <c r="O192" s="58" t="s">
        <v>6677</v>
      </c>
      <c r="P192" s="61" t="n">
        <v>63</v>
      </c>
    </row>
    <row r="193" customFormat="false" ht="53.7" hidden="false" customHeight="false" outlineLevel="0" collapsed="false">
      <c r="A193" s="22" t="s">
        <v>7383</v>
      </c>
      <c r="B193" s="17" t="s">
        <v>6290</v>
      </c>
      <c r="C193" s="17" t="s">
        <v>180</v>
      </c>
      <c r="D193" s="55" t="s">
        <v>7384</v>
      </c>
      <c r="E193" s="17" t="s">
        <v>223</v>
      </c>
      <c r="F193" s="56" t="s">
        <v>7385</v>
      </c>
      <c r="G193" s="17" t="s">
        <v>7386</v>
      </c>
      <c r="H193" s="17"/>
      <c r="I193" s="17" t="s">
        <v>7387</v>
      </c>
      <c r="J193" s="17"/>
      <c r="K193" s="17"/>
      <c r="L193" s="17" t="s">
        <v>7388</v>
      </c>
      <c r="M193" s="17" t="s">
        <v>7389</v>
      </c>
      <c r="N193" s="15" t="s">
        <v>91</v>
      </c>
      <c r="O193" s="17" t="s">
        <v>7390</v>
      </c>
      <c r="P193" s="15" t="n">
        <v>50</v>
      </c>
    </row>
    <row r="194" customFormat="false" ht="74.6" hidden="false" customHeight="false" outlineLevel="0" collapsed="false">
      <c r="A194" s="57" t="s">
        <v>7391</v>
      </c>
      <c r="B194" s="58" t="s">
        <v>6290</v>
      </c>
      <c r="C194" s="58" t="s">
        <v>180</v>
      </c>
      <c r="D194" s="59" t="s">
        <v>7337</v>
      </c>
      <c r="E194" s="58" t="s">
        <v>239</v>
      </c>
      <c r="F194" s="60" t="s">
        <v>7338</v>
      </c>
      <c r="G194" s="58" t="s">
        <v>7392</v>
      </c>
      <c r="H194" s="58" t="s">
        <v>7393</v>
      </c>
      <c r="I194" s="58" t="s">
        <v>7394</v>
      </c>
      <c r="J194" s="58" t="s">
        <v>7395</v>
      </c>
      <c r="K194" s="58" t="s">
        <v>7396</v>
      </c>
      <c r="L194" s="58" t="s">
        <v>7397</v>
      </c>
      <c r="M194" s="58" t="s">
        <v>7398</v>
      </c>
      <c r="N194" s="61" t="s">
        <v>91</v>
      </c>
      <c r="O194" s="58" t="s">
        <v>7390</v>
      </c>
      <c r="P194" s="61" t="n">
        <v>51</v>
      </c>
    </row>
    <row r="195" customFormat="false" ht="64.15" hidden="false" customHeight="false" outlineLevel="0" collapsed="false">
      <c r="A195" s="22" t="s">
        <v>7399</v>
      </c>
      <c r="B195" s="17" t="s">
        <v>6290</v>
      </c>
      <c r="C195" s="17" t="s">
        <v>180</v>
      </c>
      <c r="D195" s="55" t="s">
        <v>7344</v>
      </c>
      <c r="E195" s="17" t="s">
        <v>239</v>
      </c>
      <c r="F195" s="56" t="s">
        <v>7345</v>
      </c>
      <c r="G195" s="17" t="s">
        <v>7400</v>
      </c>
      <c r="H195" s="17"/>
      <c r="I195" s="17" t="s">
        <v>7401</v>
      </c>
      <c r="J195" s="17" t="s">
        <v>7402</v>
      </c>
      <c r="K195" s="17"/>
      <c r="L195" s="17" t="s">
        <v>7403</v>
      </c>
      <c r="M195" s="17" t="s">
        <v>7404</v>
      </c>
      <c r="N195" s="15" t="s">
        <v>91</v>
      </c>
      <c r="O195" s="17" t="s">
        <v>7390</v>
      </c>
      <c r="P195" s="15" t="n">
        <v>52</v>
      </c>
    </row>
    <row r="196" customFormat="false" ht="32.8" hidden="false" customHeight="false" outlineLevel="0" collapsed="false">
      <c r="A196" s="57" t="s">
        <v>7405</v>
      </c>
      <c r="B196" s="58" t="s">
        <v>6290</v>
      </c>
      <c r="C196" s="58" t="s">
        <v>180</v>
      </c>
      <c r="D196" s="59" t="s">
        <v>7349</v>
      </c>
      <c r="E196" s="58" t="s">
        <v>239</v>
      </c>
      <c r="F196" s="60" t="s">
        <v>7350</v>
      </c>
      <c r="G196" s="58" t="s">
        <v>7406</v>
      </c>
      <c r="H196" s="58"/>
      <c r="I196" s="58" t="s">
        <v>7401</v>
      </c>
      <c r="J196" s="58" t="s">
        <v>7407</v>
      </c>
      <c r="K196" s="58"/>
      <c r="L196" s="58" t="s">
        <v>7403</v>
      </c>
      <c r="M196" s="58" t="s">
        <v>7408</v>
      </c>
      <c r="N196" s="61" t="s">
        <v>91</v>
      </c>
      <c r="O196" s="58" t="s">
        <v>7390</v>
      </c>
      <c r="P196" s="61" t="n">
        <v>53</v>
      </c>
    </row>
    <row r="197" customFormat="false" ht="95.5" hidden="false" customHeight="false" outlineLevel="0" collapsed="false">
      <c r="A197" s="22" t="s">
        <v>7409</v>
      </c>
      <c r="B197" s="17" t="s">
        <v>6290</v>
      </c>
      <c r="C197" s="17" t="s">
        <v>180</v>
      </c>
      <c r="D197" s="55" t="s">
        <v>7353</v>
      </c>
      <c r="E197" s="17" t="s">
        <v>239</v>
      </c>
      <c r="F197" s="56" t="s">
        <v>7354</v>
      </c>
      <c r="G197" s="17" t="s">
        <v>7410</v>
      </c>
      <c r="H197" s="17" t="s">
        <v>7411</v>
      </c>
      <c r="I197" s="17" t="s">
        <v>7412</v>
      </c>
      <c r="J197" s="17" t="s">
        <v>7413</v>
      </c>
      <c r="K197" s="17" t="s">
        <v>1046</v>
      </c>
      <c r="L197" s="17" t="s">
        <v>7414</v>
      </c>
      <c r="M197" s="17" t="s">
        <v>7415</v>
      </c>
      <c r="N197" s="15" t="s">
        <v>91</v>
      </c>
      <c r="O197" s="17" t="s">
        <v>7390</v>
      </c>
      <c r="P197" s="15" t="n">
        <v>54</v>
      </c>
    </row>
    <row r="198" customFormat="false" ht="32.8" hidden="false" customHeight="false" outlineLevel="0" collapsed="false">
      <c r="A198" s="57" t="s">
        <v>7416</v>
      </c>
      <c r="B198" s="58" t="s">
        <v>6290</v>
      </c>
      <c r="C198" s="58" t="s">
        <v>180</v>
      </c>
      <c r="D198" s="59" t="s">
        <v>6970</v>
      </c>
      <c r="E198" s="58" t="s">
        <v>239</v>
      </c>
      <c r="F198" s="60" t="s">
        <v>7381</v>
      </c>
      <c r="G198" s="58" t="s">
        <v>7417</v>
      </c>
      <c r="H198" s="58"/>
      <c r="I198" s="58" t="s">
        <v>7418</v>
      </c>
      <c r="J198" s="58" t="s">
        <v>7419</v>
      </c>
      <c r="K198" s="58" t="s">
        <v>7420</v>
      </c>
      <c r="L198" s="58" t="s">
        <v>7421</v>
      </c>
      <c r="M198" s="58" t="s">
        <v>7422</v>
      </c>
      <c r="N198" s="61" t="s">
        <v>91</v>
      </c>
      <c r="O198" s="58" t="s">
        <v>7390</v>
      </c>
      <c r="P198" s="61" t="n">
        <v>55</v>
      </c>
    </row>
    <row r="199" customFormat="false" ht="64.15" hidden="false" customHeight="false" outlineLevel="0" collapsed="false">
      <c r="A199" s="22" t="s">
        <v>7423</v>
      </c>
      <c r="B199" s="17" t="s">
        <v>6290</v>
      </c>
      <c r="C199" s="17" t="s">
        <v>181</v>
      </c>
      <c r="D199" s="55" t="s">
        <v>7337</v>
      </c>
      <c r="E199" s="17" t="s">
        <v>239</v>
      </c>
      <c r="F199" s="56" t="s">
        <v>7424</v>
      </c>
      <c r="G199" s="17" t="s">
        <v>7425</v>
      </c>
      <c r="H199" s="17" t="s">
        <v>7426</v>
      </c>
      <c r="I199" s="17" t="s">
        <v>7427</v>
      </c>
      <c r="J199" s="17" t="s">
        <v>7428</v>
      </c>
      <c r="K199" s="17"/>
      <c r="L199" s="17" t="s">
        <v>7429</v>
      </c>
      <c r="M199" s="17" t="s">
        <v>7430</v>
      </c>
      <c r="N199" s="15" t="s">
        <v>91</v>
      </c>
      <c r="O199" s="17" t="s">
        <v>6951</v>
      </c>
      <c r="P199" s="15" t="n">
        <v>343</v>
      </c>
    </row>
    <row r="200" customFormat="false" ht="43.25" hidden="false" customHeight="false" outlineLevel="0" collapsed="false">
      <c r="A200" s="57" t="s">
        <v>7431</v>
      </c>
      <c r="B200" s="58" t="s">
        <v>6290</v>
      </c>
      <c r="C200" s="58" t="s">
        <v>181</v>
      </c>
      <c r="D200" s="59" t="s">
        <v>7353</v>
      </c>
      <c r="E200" s="58" t="s">
        <v>239</v>
      </c>
      <c r="F200" s="60" t="s">
        <v>7432</v>
      </c>
      <c r="G200" s="58" t="s">
        <v>7433</v>
      </c>
      <c r="H200" s="58" t="s">
        <v>7434</v>
      </c>
      <c r="I200" s="58" t="s">
        <v>7435</v>
      </c>
      <c r="J200" s="58"/>
      <c r="K200" s="58"/>
      <c r="L200" s="58" t="s">
        <v>7429</v>
      </c>
      <c r="M200" s="58" t="s">
        <v>7436</v>
      </c>
      <c r="N200" s="61" t="s">
        <v>91</v>
      </c>
      <c r="O200" s="58" t="s">
        <v>6951</v>
      </c>
      <c r="P200" s="61" t="n">
        <v>390</v>
      </c>
    </row>
    <row r="201" customFormat="false" ht="22.35" hidden="false" customHeight="false" outlineLevel="0" collapsed="false">
      <c r="A201" s="22" t="s">
        <v>7437</v>
      </c>
      <c r="B201" s="17" t="s">
        <v>6290</v>
      </c>
      <c r="C201" s="17" t="s">
        <v>181</v>
      </c>
      <c r="D201" s="55" t="s">
        <v>6970</v>
      </c>
      <c r="E201" s="17" t="s">
        <v>239</v>
      </c>
      <c r="F201" s="56" t="s">
        <v>7438</v>
      </c>
      <c r="G201" s="17" t="s">
        <v>7439</v>
      </c>
      <c r="H201" s="17"/>
      <c r="I201" s="17" t="s">
        <v>7440</v>
      </c>
      <c r="J201" s="17"/>
      <c r="K201" s="17"/>
      <c r="L201" s="17" t="s">
        <v>7429</v>
      </c>
      <c r="M201" s="17"/>
      <c r="N201" s="15" t="s">
        <v>91</v>
      </c>
      <c r="O201" s="17" t="s">
        <v>6951</v>
      </c>
      <c r="P201" s="15" t="n">
        <v>480</v>
      </c>
    </row>
    <row r="202" customFormat="false" ht="43.25" hidden="false" customHeight="false" outlineLevel="0" collapsed="false">
      <c r="A202" s="57" t="s">
        <v>7441</v>
      </c>
      <c r="B202" s="58" t="s">
        <v>6290</v>
      </c>
      <c r="C202" s="58" t="s">
        <v>182</v>
      </c>
      <c r="D202" s="59" t="s">
        <v>7442</v>
      </c>
      <c r="E202" s="58" t="s">
        <v>222</v>
      </c>
      <c r="F202" s="60" t="s">
        <v>7443</v>
      </c>
      <c r="G202" s="58" t="s">
        <v>7444</v>
      </c>
      <c r="H202" s="58" t="s">
        <v>7445</v>
      </c>
      <c r="I202" s="58"/>
      <c r="J202" s="58"/>
      <c r="K202" s="58"/>
      <c r="L202" s="58" t="s">
        <v>7446</v>
      </c>
      <c r="M202" s="58"/>
      <c r="N202" s="61" t="s">
        <v>91</v>
      </c>
      <c r="O202" s="58" t="s">
        <v>6617</v>
      </c>
      <c r="P202" s="61" t="n">
        <v>283</v>
      </c>
    </row>
    <row r="203" customFormat="false" ht="22.35" hidden="false" customHeight="false" outlineLevel="0" collapsed="false">
      <c r="A203" s="22" t="s">
        <v>7447</v>
      </c>
      <c r="B203" s="17" t="s">
        <v>6290</v>
      </c>
      <c r="C203" s="17" t="s">
        <v>182</v>
      </c>
      <c r="D203" s="55" t="s">
        <v>7448</v>
      </c>
      <c r="E203" s="17" t="s">
        <v>222</v>
      </c>
      <c r="F203" s="56" t="s">
        <v>7449</v>
      </c>
      <c r="G203" s="17" t="s">
        <v>7450</v>
      </c>
      <c r="H203" s="17" t="s">
        <v>7451</v>
      </c>
      <c r="I203" s="17"/>
      <c r="J203" s="17"/>
      <c r="K203" s="17"/>
      <c r="L203" s="17" t="s">
        <v>7452</v>
      </c>
      <c r="M203" s="17" t="s">
        <v>7453</v>
      </c>
      <c r="N203" s="15" t="s">
        <v>91</v>
      </c>
      <c r="O203" s="17" t="s">
        <v>6617</v>
      </c>
      <c r="P203" s="15" t="n">
        <v>315</v>
      </c>
    </row>
    <row r="204" customFormat="false" ht="53.7" hidden="false" customHeight="false" outlineLevel="0" collapsed="false">
      <c r="A204" s="57" t="s">
        <v>7454</v>
      </c>
      <c r="B204" s="58" t="s">
        <v>6290</v>
      </c>
      <c r="C204" s="58" t="s">
        <v>182</v>
      </c>
      <c r="D204" s="59" t="s">
        <v>7455</v>
      </c>
      <c r="E204" s="58" t="s">
        <v>222</v>
      </c>
      <c r="F204" s="60" t="s">
        <v>7456</v>
      </c>
      <c r="G204" s="58" t="s">
        <v>7457</v>
      </c>
      <c r="H204" s="58" t="s">
        <v>7458</v>
      </c>
      <c r="I204" s="58"/>
      <c r="J204" s="58"/>
      <c r="K204" s="58"/>
      <c r="L204" s="58" t="s">
        <v>7459</v>
      </c>
      <c r="M204" s="58"/>
      <c r="N204" s="61" t="s">
        <v>91</v>
      </c>
      <c r="O204" s="58" t="s">
        <v>6617</v>
      </c>
      <c r="P204" s="61" t="n">
        <v>322</v>
      </c>
    </row>
    <row r="205" customFormat="false" ht="22.35" hidden="false" customHeight="false" outlineLevel="0" collapsed="false">
      <c r="A205" s="22" t="s">
        <v>7460</v>
      </c>
      <c r="B205" s="17" t="s">
        <v>6290</v>
      </c>
      <c r="C205" s="17" t="s">
        <v>182</v>
      </c>
      <c r="D205" s="55" t="s">
        <v>7461</v>
      </c>
      <c r="E205" s="17" t="s">
        <v>223</v>
      </c>
      <c r="F205" s="56" t="s">
        <v>7462</v>
      </c>
      <c r="G205" s="17" t="s">
        <v>7463</v>
      </c>
      <c r="H205" s="17"/>
      <c r="I205" s="17" t="s">
        <v>1716</v>
      </c>
      <c r="J205" s="17"/>
      <c r="K205" s="17" t="s">
        <v>1046</v>
      </c>
      <c r="L205" s="17"/>
      <c r="M205" s="17"/>
      <c r="N205" s="15" t="s">
        <v>91</v>
      </c>
      <c r="O205" s="17" t="s">
        <v>7464</v>
      </c>
      <c r="P205" s="15" t="n">
        <v>25</v>
      </c>
    </row>
    <row r="206" customFormat="false" ht="32.8" hidden="false" customHeight="false" outlineLevel="0" collapsed="false">
      <c r="A206" s="57" t="s">
        <v>7465</v>
      </c>
      <c r="B206" s="58" t="s">
        <v>6290</v>
      </c>
      <c r="C206" s="58" t="s">
        <v>182</v>
      </c>
      <c r="D206" s="59" t="s">
        <v>7466</v>
      </c>
      <c r="E206" s="58" t="s">
        <v>226</v>
      </c>
      <c r="F206" s="60" t="s">
        <v>7467</v>
      </c>
      <c r="G206" s="58" t="s">
        <v>7468</v>
      </c>
      <c r="H206" s="58" t="s">
        <v>7469</v>
      </c>
      <c r="I206" s="58" t="s">
        <v>7470</v>
      </c>
      <c r="J206" s="58" t="s">
        <v>7471</v>
      </c>
      <c r="K206" s="58"/>
      <c r="L206" s="58" t="s">
        <v>7472</v>
      </c>
      <c r="M206" s="58" t="s">
        <v>7473</v>
      </c>
      <c r="N206" s="61" t="s">
        <v>91</v>
      </c>
      <c r="O206" s="58" t="s">
        <v>7464</v>
      </c>
      <c r="P206" s="61" t="n">
        <v>29</v>
      </c>
    </row>
    <row r="207" customFormat="false" ht="22.35" hidden="false" customHeight="false" outlineLevel="0" collapsed="false">
      <c r="A207" s="22" t="s">
        <v>7474</v>
      </c>
      <c r="B207" s="17" t="s">
        <v>6290</v>
      </c>
      <c r="C207" s="17" t="s">
        <v>182</v>
      </c>
      <c r="D207" s="55" t="s">
        <v>7475</v>
      </c>
      <c r="E207" s="17" t="s">
        <v>226</v>
      </c>
      <c r="F207" s="56" t="s">
        <v>7476</v>
      </c>
      <c r="G207" s="17" t="s">
        <v>7477</v>
      </c>
      <c r="H207" s="17"/>
      <c r="I207" s="17" t="s">
        <v>7478</v>
      </c>
      <c r="J207" s="17"/>
      <c r="K207" s="17"/>
      <c r="L207" s="17" t="s">
        <v>7479</v>
      </c>
      <c r="M207" s="17"/>
      <c r="N207" s="15" t="s">
        <v>91</v>
      </c>
      <c r="O207" s="17" t="s">
        <v>7464</v>
      </c>
      <c r="P207" s="15" t="n">
        <v>68</v>
      </c>
    </row>
    <row r="208" customFormat="false" ht="43.25" hidden="false" customHeight="false" outlineLevel="0" collapsed="false">
      <c r="A208" s="57" t="s">
        <v>7480</v>
      </c>
      <c r="B208" s="58" t="s">
        <v>6290</v>
      </c>
      <c r="C208" s="58" t="s">
        <v>182</v>
      </c>
      <c r="D208" s="59" t="s">
        <v>7481</v>
      </c>
      <c r="E208" s="58" t="s">
        <v>226</v>
      </c>
      <c r="F208" s="60" t="s">
        <v>7482</v>
      </c>
      <c r="G208" s="58" t="s">
        <v>7483</v>
      </c>
      <c r="H208" s="58" t="s">
        <v>7484</v>
      </c>
      <c r="I208" s="58" t="s">
        <v>7470</v>
      </c>
      <c r="J208" s="58" t="s">
        <v>7485</v>
      </c>
      <c r="K208" s="58"/>
      <c r="L208" s="58"/>
      <c r="M208" s="58" t="s">
        <v>7486</v>
      </c>
      <c r="N208" s="61" t="s">
        <v>91</v>
      </c>
      <c r="O208" s="58" t="s">
        <v>7464</v>
      </c>
      <c r="P208" s="61" t="n">
        <v>74</v>
      </c>
    </row>
    <row r="209" customFormat="false" ht="22.35" hidden="false" customHeight="false" outlineLevel="0" collapsed="false">
      <c r="A209" s="22" t="s">
        <v>7487</v>
      </c>
      <c r="B209" s="17" t="s">
        <v>6290</v>
      </c>
      <c r="C209" s="17" t="s">
        <v>182</v>
      </c>
      <c r="D209" s="55" t="s">
        <v>7488</v>
      </c>
      <c r="E209" s="17" t="s">
        <v>226</v>
      </c>
      <c r="F209" s="56" t="s">
        <v>7489</v>
      </c>
      <c r="G209" s="17" t="s">
        <v>7490</v>
      </c>
      <c r="H209" s="17"/>
      <c r="I209" s="17" t="s">
        <v>7478</v>
      </c>
      <c r="J209" s="17"/>
      <c r="K209" s="17"/>
      <c r="L209" s="17" t="s">
        <v>7491</v>
      </c>
      <c r="M209" s="17"/>
      <c r="N209" s="15" t="s">
        <v>91</v>
      </c>
      <c r="O209" s="17" t="s">
        <v>7464</v>
      </c>
      <c r="P209" s="15" t="n">
        <v>128</v>
      </c>
    </row>
    <row r="210" customFormat="false" ht="43.25" hidden="false" customHeight="false" outlineLevel="0" collapsed="false">
      <c r="A210" s="57" t="s">
        <v>7492</v>
      </c>
      <c r="B210" s="58" t="s">
        <v>6290</v>
      </c>
      <c r="C210" s="58" t="s">
        <v>182</v>
      </c>
      <c r="D210" s="59" t="s">
        <v>7493</v>
      </c>
      <c r="E210" s="58" t="s">
        <v>226</v>
      </c>
      <c r="F210" s="60" t="s">
        <v>7494</v>
      </c>
      <c r="G210" s="58" t="s">
        <v>7495</v>
      </c>
      <c r="H210" s="58" t="s">
        <v>7484</v>
      </c>
      <c r="I210" s="58" t="s">
        <v>7496</v>
      </c>
      <c r="J210" s="58"/>
      <c r="K210" s="58"/>
      <c r="L210" s="58"/>
      <c r="M210" s="58"/>
      <c r="N210" s="61" t="s">
        <v>91</v>
      </c>
      <c r="O210" s="58" t="s">
        <v>7464</v>
      </c>
      <c r="P210" s="61" t="n">
        <v>133</v>
      </c>
    </row>
    <row r="211" customFormat="false" ht="22.35" hidden="false" customHeight="false" outlineLevel="0" collapsed="false">
      <c r="A211" s="22" t="s">
        <v>7497</v>
      </c>
      <c r="B211" s="17" t="s">
        <v>6290</v>
      </c>
      <c r="C211" s="17" t="s">
        <v>182</v>
      </c>
      <c r="D211" s="55" t="s">
        <v>7498</v>
      </c>
      <c r="E211" s="17" t="s">
        <v>226</v>
      </c>
      <c r="F211" s="56" t="s">
        <v>7499</v>
      </c>
      <c r="G211" s="17" t="s">
        <v>7500</v>
      </c>
      <c r="H211" s="17" t="s">
        <v>7501</v>
      </c>
      <c r="I211" s="17"/>
      <c r="J211" s="17"/>
      <c r="K211" s="17"/>
      <c r="L211" s="17" t="s">
        <v>7502</v>
      </c>
      <c r="M211" s="17"/>
      <c r="N211" s="15" t="s">
        <v>91</v>
      </c>
      <c r="O211" s="17" t="s">
        <v>7464</v>
      </c>
      <c r="P211" s="15" t="n">
        <v>189</v>
      </c>
    </row>
    <row r="212" customFormat="false" ht="22.35" hidden="false" customHeight="false" outlineLevel="0" collapsed="false">
      <c r="A212" s="57" t="s">
        <v>7503</v>
      </c>
      <c r="B212" s="58" t="s">
        <v>6290</v>
      </c>
      <c r="C212" s="58" t="s">
        <v>182</v>
      </c>
      <c r="D212" s="59" t="s">
        <v>7504</v>
      </c>
      <c r="E212" s="58" t="s">
        <v>226</v>
      </c>
      <c r="F212" s="60" t="s">
        <v>7505</v>
      </c>
      <c r="G212" s="58" t="s">
        <v>7506</v>
      </c>
      <c r="H212" s="58" t="s">
        <v>7501</v>
      </c>
      <c r="I212" s="58" t="s">
        <v>7507</v>
      </c>
      <c r="J212" s="58"/>
      <c r="K212" s="58"/>
      <c r="L212" s="58" t="s">
        <v>7446</v>
      </c>
      <c r="M212" s="58" t="s">
        <v>7508</v>
      </c>
      <c r="N212" s="61" t="s">
        <v>91</v>
      </c>
      <c r="O212" s="58" t="s">
        <v>7464</v>
      </c>
      <c r="P212" s="61" t="n">
        <v>209</v>
      </c>
    </row>
    <row r="213" customFormat="false" ht="22.35" hidden="false" customHeight="false" outlineLevel="0" collapsed="false">
      <c r="A213" s="22" t="s">
        <v>7509</v>
      </c>
      <c r="B213" s="17" t="s">
        <v>6290</v>
      </c>
      <c r="C213" s="17" t="s">
        <v>182</v>
      </c>
      <c r="D213" s="55" t="s">
        <v>7510</v>
      </c>
      <c r="E213" s="17" t="s">
        <v>226</v>
      </c>
      <c r="F213" s="56" t="s">
        <v>7511</v>
      </c>
      <c r="G213" s="17" t="s">
        <v>7512</v>
      </c>
      <c r="H213" s="17" t="s">
        <v>6975</v>
      </c>
      <c r="I213" s="17" t="s">
        <v>7513</v>
      </c>
      <c r="J213" s="17" t="s">
        <v>7514</v>
      </c>
      <c r="K213" s="17" t="s">
        <v>7515</v>
      </c>
      <c r="L213" s="17" t="s">
        <v>7516</v>
      </c>
      <c r="M213" s="17"/>
      <c r="N213" s="15" t="s">
        <v>91</v>
      </c>
      <c r="O213" s="17" t="s">
        <v>7464</v>
      </c>
      <c r="P213" s="15" t="n">
        <v>253</v>
      </c>
    </row>
    <row r="214" customFormat="false" ht="22.35" hidden="false" customHeight="false" outlineLevel="0" collapsed="false">
      <c r="A214" s="57" t="s">
        <v>7517</v>
      </c>
      <c r="B214" s="58" t="s">
        <v>6290</v>
      </c>
      <c r="C214" s="58" t="s">
        <v>182</v>
      </c>
      <c r="D214" s="59" t="s">
        <v>7518</v>
      </c>
      <c r="E214" s="58" t="s">
        <v>226</v>
      </c>
      <c r="F214" s="60" t="s">
        <v>7519</v>
      </c>
      <c r="G214" s="58" t="s">
        <v>7520</v>
      </c>
      <c r="H214" s="58" t="s">
        <v>6975</v>
      </c>
      <c r="I214" s="58"/>
      <c r="J214" s="58"/>
      <c r="K214" s="58"/>
      <c r="L214" s="58" t="s">
        <v>7516</v>
      </c>
      <c r="M214" s="58"/>
      <c r="N214" s="61" t="s">
        <v>91</v>
      </c>
      <c r="O214" s="58" t="s">
        <v>7464</v>
      </c>
      <c r="P214" s="61" t="n">
        <v>287</v>
      </c>
    </row>
    <row r="215" customFormat="false" ht="22.35" hidden="false" customHeight="false" outlineLevel="0" collapsed="false">
      <c r="A215" s="22" t="s">
        <v>7521</v>
      </c>
      <c r="B215" s="17" t="s">
        <v>6290</v>
      </c>
      <c r="C215" s="17" t="s">
        <v>182</v>
      </c>
      <c r="D215" s="55" t="s">
        <v>7522</v>
      </c>
      <c r="E215" s="17" t="s">
        <v>222</v>
      </c>
      <c r="F215" s="56" t="s">
        <v>7523</v>
      </c>
      <c r="G215" s="17" t="s">
        <v>7524</v>
      </c>
      <c r="H215" s="17" t="s">
        <v>6975</v>
      </c>
      <c r="I215" s="17" t="s">
        <v>7525</v>
      </c>
      <c r="J215" s="17"/>
      <c r="K215" s="17"/>
      <c r="L215" s="17" t="s">
        <v>6977</v>
      </c>
      <c r="M215" s="17"/>
      <c r="N215" s="15" t="s">
        <v>91</v>
      </c>
      <c r="O215" s="17" t="s">
        <v>7464</v>
      </c>
      <c r="P215" s="15" t="n">
        <v>295</v>
      </c>
    </row>
    <row r="216" customFormat="false" ht="22.35" hidden="false" customHeight="false" outlineLevel="0" collapsed="false">
      <c r="A216" s="57" t="s">
        <v>7526</v>
      </c>
      <c r="B216" s="58" t="s">
        <v>6290</v>
      </c>
      <c r="C216" s="58" t="s">
        <v>182</v>
      </c>
      <c r="D216" s="59" t="s">
        <v>7527</v>
      </c>
      <c r="E216" s="58" t="s">
        <v>222</v>
      </c>
      <c r="F216" s="60" t="s">
        <v>7528</v>
      </c>
      <c r="G216" s="58" t="s">
        <v>7529</v>
      </c>
      <c r="H216" s="58" t="s">
        <v>6975</v>
      </c>
      <c r="I216" s="58"/>
      <c r="J216" s="58"/>
      <c r="K216" s="58"/>
      <c r="L216" s="58" t="s">
        <v>7013</v>
      </c>
      <c r="M216" s="58"/>
      <c r="N216" s="61" t="s">
        <v>91</v>
      </c>
      <c r="O216" s="58" t="s">
        <v>7464</v>
      </c>
      <c r="P216" s="61" t="n">
        <v>306</v>
      </c>
    </row>
    <row r="217" customFormat="false" ht="32.8" hidden="false" customHeight="false" outlineLevel="0" collapsed="false">
      <c r="A217" s="22" t="s">
        <v>7530</v>
      </c>
      <c r="B217" s="17" t="s">
        <v>6290</v>
      </c>
      <c r="C217" s="17" t="s">
        <v>182</v>
      </c>
      <c r="D217" s="55" t="s">
        <v>7531</v>
      </c>
      <c r="E217" s="17" t="s">
        <v>222</v>
      </c>
      <c r="F217" s="56" t="s">
        <v>7532</v>
      </c>
      <c r="G217" s="17" t="s">
        <v>7533</v>
      </c>
      <c r="H217" s="17" t="s">
        <v>6975</v>
      </c>
      <c r="I217" s="17" t="s">
        <v>7534</v>
      </c>
      <c r="J217" s="17"/>
      <c r="K217" s="17"/>
      <c r="L217" s="17" t="s">
        <v>6977</v>
      </c>
      <c r="M217" s="17" t="s">
        <v>7535</v>
      </c>
      <c r="N217" s="15" t="s">
        <v>91</v>
      </c>
      <c r="O217" s="17" t="s">
        <v>7464</v>
      </c>
      <c r="P217" s="15" t="n">
        <v>314</v>
      </c>
    </row>
    <row r="218" customFormat="false" ht="22.35" hidden="false" customHeight="false" outlineLevel="0" collapsed="false">
      <c r="A218" s="57" t="s">
        <v>7536</v>
      </c>
      <c r="B218" s="58" t="s">
        <v>6290</v>
      </c>
      <c r="C218" s="58" t="s">
        <v>182</v>
      </c>
      <c r="D218" s="59" t="s">
        <v>7537</v>
      </c>
      <c r="E218" s="58" t="s">
        <v>222</v>
      </c>
      <c r="F218" s="60" t="s">
        <v>7538</v>
      </c>
      <c r="G218" s="58" t="s">
        <v>7539</v>
      </c>
      <c r="H218" s="58" t="s">
        <v>6975</v>
      </c>
      <c r="I218" s="58"/>
      <c r="J218" s="58"/>
      <c r="K218" s="58"/>
      <c r="L218" s="58" t="s">
        <v>7013</v>
      </c>
      <c r="M218" s="58"/>
      <c r="N218" s="61" t="s">
        <v>91</v>
      </c>
      <c r="O218" s="58" t="s">
        <v>7464</v>
      </c>
      <c r="P218" s="61" t="n">
        <v>367</v>
      </c>
    </row>
    <row r="219" customFormat="false" ht="22.35" hidden="false" customHeight="false" outlineLevel="0" collapsed="false">
      <c r="A219" s="22" t="s">
        <v>7540</v>
      </c>
      <c r="B219" s="17" t="s">
        <v>6290</v>
      </c>
      <c r="C219" s="17" t="s">
        <v>182</v>
      </c>
      <c r="D219" s="55" t="s">
        <v>7541</v>
      </c>
      <c r="E219" s="17" t="s">
        <v>223</v>
      </c>
      <c r="F219" s="56" t="s">
        <v>7542</v>
      </c>
      <c r="G219" s="17" t="s">
        <v>7543</v>
      </c>
      <c r="H219" s="17"/>
      <c r="I219" s="17" t="s">
        <v>7544</v>
      </c>
      <c r="J219" s="17"/>
      <c r="K219" s="17"/>
      <c r="L219" s="17"/>
      <c r="M219" s="17"/>
      <c r="N219" s="15" t="s">
        <v>91</v>
      </c>
      <c r="O219" s="17" t="s">
        <v>7545</v>
      </c>
      <c r="P219" s="15" t="n">
        <v>20</v>
      </c>
    </row>
    <row r="220" customFormat="false" ht="32.8" hidden="false" customHeight="false" outlineLevel="0" collapsed="false">
      <c r="A220" s="57" t="s">
        <v>7546</v>
      </c>
      <c r="B220" s="58" t="s">
        <v>6290</v>
      </c>
      <c r="C220" s="58" t="s">
        <v>182</v>
      </c>
      <c r="D220" s="59" t="s">
        <v>7547</v>
      </c>
      <c r="E220" s="58" t="s">
        <v>223</v>
      </c>
      <c r="F220" s="60" t="s">
        <v>7548</v>
      </c>
      <c r="G220" s="58" t="s">
        <v>7549</v>
      </c>
      <c r="H220" s="58"/>
      <c r="I220" s="58"/>
      <c r="J220" s="58"/>
      <c r="K220" s="58"/>
      <c r="L220" s="58" t="s">
        <v>7550</v>
      </c>
      <c r="M220" s="58"/>
      <c r="N220" s="61" t="s">
        <v>91</v>
      </c>
      <c r="O220" s="58" t="s">
        <v>7545</v>
      </c>
      <c r="P220" s="61" t="n">
        <v>22</v>
      </c>
    </row>
    <row r="221" customFormat="false" ht="22.35" hidden="false" customHeight="false" outlineLevel="0" collapsed="false">
      <c r="A221" s="22" t="s">
        <v>7551</v>
      </c>
      <c r="B221" s="17" t="s">
        <v>6290</v>
      </c>
      <c r="C221" s="17" t="s">
        <v>182</v>
      </c>
      <c r="D221" s="55" t="s">
        <v>7552</v>
      </c>
      <c r="E221" s="17" t="s">
        <v>224</v>
      </c>
      <c r="F221" s="56" t="s">
        <v>7553</v>
      </c>
      <c r="G221" s="17" t="s">
        <v>7554</v>
      </c>
      <c r="H221" s="17"/>
      <c r="I221" s="17"/>
      <c r="J221" s="17"/>
      <c r="K221" s="17"/>
      <c r="L221" s="17" t="s">
        <v>7550</v>
      </c>
      <c r="M221" s="17"/>
      <c r="N221" s="15" t="s">
        <v>91</v>
      </c>
      <c r="O221" s="17" t="s">
        <v>7545</v>
      </c>
      <c r="P221" s="15" t="n">
        <v>41</v>
      </c>
    </row>
    <row r="222" customFormat="false" ht="22.35" hidden="false" customHeight="false" outlineLevel="0" collapsed="false">
      <c r="A222" s="57" t="s">
        <v>7555</v>
      </c>
      <c r="B222" s="58" t="s">
        <v>6290</v>
      </c>
      <c r="C222" s="58" t="s">
        <v>183</v>
      </c>
      <c r="D222" s="59" t="s">
        <v>7556</v>
      </c>
      <c r="E222" s="58" t="s">
        <v>222</v>
      </c>
      <c r="F222" s="60" t="s">
        <v>7557</v>
      </c>
      <c r="G222" s="58" t="s">
        <v>7558</v>
      </c>
      <c r="H222" s="58"/>
      <c r="I222" s="58" t="s">
        <v>7559</v>
      </c>
      <c r="J222" s="58"/>
      <c r="K222" s="58"/>
      <c r="L222" s="58" t="s">
        <v>7560</v>
      </c>
      <c r="M222" s="58" t="s">
        <v>7561</v>
      </c>
      <c r="N222" s="61" t="s">
        <v>91</v>
      </c>
      <c r="O222" s="58" t="s">
        <v>6298</v>
      </c>
      <c r="P222" s="61" t="n">
        <v>542</v>
      </c>
    </row>
    <row r="223" customFormat="false" ht="85.05" hidden="false" customHeight="false" outlineLevel="0" collapsed="false">
      <c r="A223" s="22" t="s">
        <v>7562</v>
      </c>
      <c r="B223" s="17" t="s">
        <v>6290</v>
      </c>
      <c r="C223" s="17" t="s">
        <v>183</v>
      </c>
      <c r="D223" s="55" t="s">
        <v>7563</v>
      </c>
      <c r="E223" s="17" t="s">
        <v>226</v>
      </c>
      <c r="F223" s="56" t="s">
        <v>7564</v>
      </c>
      <c r="G223" s="17" t="s">
        <v>7565</v>
      </c>
      <c r="H223" s="17" t="s">
        <v>7566</v>
      </c>
      <c r="I223" s="17" t="s">
        <v>7567</v>
      </c>
      <c r="J223" s="17"/>
      <c r="K223" s="17" t="s">
        <v>7568</v>
      </c>
      <c r="L223" s="17" t="s">
        <v>6416</v>
      </c>
      <c r="M223" s="17" t="s">
        <v>7569</v>
      </c>
      <c r="N223" s="15" t="s">
        <v>91</v>
      </c>
      <c r="O223" s="17" t="s">
        <v>6298</v>
      </c>
      <c r="P223" s="15" t="n">
        <v>876</v>
      </c>
    </row>
    <row r="224" customFormat="false" ht="74.6" hidden="false" customHeight="false" outlineLevel="0" collapsed="false">
      <c r="A224" s="57" t="s">
        <v>7570</v>
      </c>
      <c r="B224" s="58" t="s">
        <v>6290</v>
      </c>
      <c r="C224" s="58" t="s">
        <v>183</v>
      </c>
      <c r="D224" s="59" t="s">
        <v>7571</v>
      </c>
      <c r="E224" s="58" t="s">
        <v>226</v>
      </c>
      <c r="F224" s="60" t="s">
        <v>7572</v>
      </c>
      <c r="G224" s="58" t="s">
        <v>7573</v>
      </c>
      <c r="H224" s="58"/>
      <c r="I224" s="58"/>
      <c r="J224" s="58" t="s">
        <v>7574</v>
      </c>
      <c r="K224" s="58" t="s">
        <v>4210</v>
      </c>
      <c r="L224" s="58" t="s">
        <v>7575</v>
      </c>
      <c r="M224" s="58" t="s">
        <v>7576</v>
      </c>
      <c r="N224" s="61" t="s">
        <v>91</v>
      </c>
      <c r="O224" s="58" t="s">
        <v>6298</v>
      </c>
      <c r="P224" s="61" t="n">
        <v>905</v>
      </c>
    </row>
    <row r="225" customFormat="false" ht="53.7" hidden="false" customHeight="false" outlineLevel="0" collapsed="false">
      <c r="A225" s="22" t="s">
        <v>7577</v>
      </c>
      <c r="B225" s="17" t="s">
        <v>6290</v>
      </c>
      <c r="C225" s="17" t="s">
        <v>183</v>
      </c>
      <c r="D225" s="55" t="s">
        <v>7578</v>
      </c>
      <c r="E225" s="17" t="s">
        <v>231</v>
      </c>
      <c r="F225" s="56" t="s">
        <v>7579</v>
      </c>
      <c r="G225" s="17" t="s">
        <v>7580</v>
      </c>
      <c r="H225" s="17"/>
      <c r="I225" s="17" t="s">
        <v>7581</v>
      </c>
      <c r="J225" s="17"/>
      <c r="K225" s="17"/>
      <c r="L225" s="17" t="s">
        <v>6416</v>
      </c>
      <c r="M225" s="17" t="s">
        <v>7582</v>
      </c>
      <c r="N225" s="15" t="s">
        <v>91</v>
      </c>
      <c r="O225" s="17" t="s">
        <v>6298</v>
      </c>
      <c r="P225" s="15" t="n">
        <v>918</v>
      </c>
    </row>
    <row r="226" customFormat="false" ht="85.05" hidden="false" customHeight="false" outlineLevel="0" collapsed="false">
      <c r="A226" s="57" t="s">
        <v>7583</v>
      </c>
      <c r="B226" s="58" t="s">
        <v>6290</v>
      </c>
      <c r="C226" s="58" t="s">
        <v>183</v>
      </c>
      <c r="D226" s="59" t="s">
        <v>7584</v>
      </c>
      <c r="E226" s="58" t="s">
        <v>226</v>
      </c>
      <c r="F226" s="60" t="s">
        <v>7585</v>
      </c>
      <c r="G226" s="58" t="s">
        <v>7586</v>
      </c>
      <c r="H226" s="58"/>
      <c r="I226" s="58"/>
      <c r="J226" s="58"/>
      <c r="K226" s="58"/>
      <c r="L226" s="58" t="s">
        <v>7575</v>
      </c>
      <c r="M226" s="58" t="s">
        <v>7587</v>
      </c>
      <c r="N226" s="61" t="s">
        <v>91</v>
      </c>
      <c r="O226" s="58" t="s">
        <v>6298</v>
      </c>
      <c r="P226" s="61" t="n">
        <v>924</v>
      </c>
    </row>
    <row r="227" customFormat="false" ht="32.8" hidden="false" customHeight="false" outlineLevel="0" collapsed="false">
      <c r="A227" s="22" t="s">
        <v>7588</v>
      </c>
      <c r="B227" s="17" t="s">
        <v>6290</v>
      </c>
      <c r="C227" s="17" t="s">
        <v>183</v>
      </c>
      <c r="D227" s="55" t="s">
        <v>7589</v>
      </c>
      <c r="E227" s="17" t="s">
        <v>226</v>
      </c>
      <c r="F227" s="56" t="s">
        <v>7590</v>
      </c>
      <c r="G227" s="17" t="s">
        <v>7591</v>
      </c>
      <c r="H227" s="17"/>
      <c r="I227" s="17"/>
      <c r="J227" s="17"/>
      <c r="K227" s="17" t="s">
        <v>4210</v>
      </c>
      <c r="L227" s="17" t="s">
        <v>7575</v>
      </c>
      <c r="M227" s="17" t="s">
        <v>7592</v>
      </c>
      <c r="N227" s="15" t="s">
        <v>91</v>
      </c>
      <c r="O227" s="17" t="s">
        <v>6298</v>
      </c>
      <c r="P227" s="15" t="n">
        <v>932</v>
      </c>
    </row>
    <row r="228" customFormat="false" ht="32.8" hidden="false" customHeight="false" outlineLevel="0" collapsed="false">
      <c r="A228" s="57" t="s">
        <v>7593</v>
      </c>
      <c r="B228" s="58" t="s">
        <v>6290</v>
      </c>
      <c r="C228" s="58" t="s">
        <v>183</v>
      </c>
      <c r="D228" s="59" t="s">
        <v>7594</v>
      </c>
      <c r="E228" s="58" t="s">
        <v>226</v>
      </c>
      <c r="F228" s="60" t="s">
        <v>7595</v>
      </c>
      <c r="G228" s="58" t="s">
        <v>7596</v>
      </c>
      <c r="H228" s="58"/>
      <c r="I228" s="58"/>
      <c r="J228" s="58"/>
      <c r="K228" s="58"/>
      <c r="L228" s="58" t="s">
        <v>7575</v>
      </c>
      <c r="M228" s="58" t="s">
        <v>7597</v>
      </c>
      <c r="N228" s="61" t="s">
        <v>91</v>
      </c>
      <c r="O228" s="58" t="s">
        <v>6298</v>
      </c>
      <c r="P228" s="61" t="n">
        <v>940</v>
      </c>
    </row>
    <row r="229" customFormat="false" ht="53.7" hidden="false" customHeight="false" outlineLevel="0" collapsed="false">
      <c r="A229" s="22" t="s">
        <v>7598</v>
      </c>
      <c r="B229" s="17" t="s">
        <v>6290</v>
      </c>
      <c r="C229" s="17" t="s">
        <v>183</v>
      </c>
      <c r="D229" s="55" t="s">
        <v>7599</v>
      </c>
      <c r="E229" s="17" t="s">
        <v>226</v>
      </c>
      <c r="F229" s="56" t="s">
        <v>7600</v>
      </c>
      <c r="G229" s="17" t="s">
        <v>7601</v>
      </c>
      <c r="H229" s="17"/>
      <c r="I229" s="17"/>
      <c r="J229" s="17"/>
      <c r="K229" s="17" t="s">
        <v>4210</v>
      </c>
      <c r="L229" s="17" t="s">
        <v>7575</v>
      </c>
      <c r="M229" s="17" t="s">
        <v>7602</v>
      </c>
      <c r="N229" s="15" t="s">
        <v>91</v>
      </c>
      <c r="O229" s="17" t="s">
        <v>6298</v>
      </c>
      <c r="P229" s="15" t="n">
        <v>952</v>
      </c>
    </row>
    <row r="230" customFormat="false" ht="43.25" hidden="false" customHeight="false" outlineLevel="0" collapsed="false">
      <c r="A230" s="57" t="s">
        <v>7603</v>
      </c>
      <c r="B230" s="58" t="s">
        <v>6290</v>
      </c>
      <c r="C230" s="58" t="s">
        <v>184</v>
      </c>
      <c r="D230" s="59" t="s">
        <v>7604</v>
      </c>
      <c r="E230" s="58" t="s">
        <v>222</v>
      </c>
      <c r="F230" s="60" t="s">
        <v>7605</v>
      </c>
      <c r="G230" s="58" t="s">
        <v>7606</v>
      </c>
      <c r="H230" s="58" t="s">
        <v>7607</v>
      </c>
      <c r="I230" s="58" t="s">
        <v>7608</v>
      </c>
      <c r="J230" s="58"/>
      <c r="K230" s="58"/>
      <c r="L230" s="58" t="s">
        <v>7609</v>
      </c>
      <c r="M230" s="58" t="s">
        <v>7610</v>
      </c>
      <c r="N230" s="61" t="s">
        <v>91</v>
      </c>
      <c r="O230" s="58" t="s">
        <v>6617</v>
      </c>
      <c r="P230" s="61" t="n">
        <v>374</v>
      </c>
    </row>
    <row r="231" customFormat="false" ht="64.15" hidden="false" customHeight="false" outlineLevel="0" collapsed="false">
      <c r="A231" s="22" t="s">
        <v>7611</v>
      </c>
      <c r="B231" s="17" t="s">
        <v>6290</v>
      </c>
      <c r="C231" s="17" t="s">
        <v>184</v>
      </c>
      <c r="D231" s="55" t="s">
        <v>7612</v>
      </c>
      <c r="E231" s="17" t="s">
        <v>222</v>
      </c>
      <c r="F231" s="56" t="s">
        <v>7613</v>
      </c>
      <c r="G231" s="17" t="s">
        <v>7614</v>
      </c>
      <c r="H231" s="17" t="s">
        <v>7615</v>
      </c>
      <c r="I231" s="17" t="s">
        <v>7616</v>
      </c>
      <c r="J231" s="17"/>
      <c r="K231" s="17"/>
      <c r="L231" s="17" t="s">
        <v>7617</v>
      </c>
      <c r="M231" s="17" t="s">
        <v>7618</v>
      </c>
      <c r="N231" s="15" t="s">
        <v>91</v>
      </c>
      <c r="O231" s="17" t="s">
        <v>6617</v>
      </c>
      <c r="P231" s="15" t="n">
        <v>425</v>
      </c>
    </row>
    <row r="232" customFormat="false" ht="22.35" hidden="false" customHeight="false" outlineLevel="0" collapsed="false">
      <c r="A232" s="57" t="s">
        <v>7619</v>
      </c>
      <c r="B232" s="58" t="s">
        <v>6290</v>
      </c>
      <c r="C232" s="58" t="s">
        <v>184</v>
      </c>
      <c r="D232" s="59" t="s">
        <v>7620</v>
      </c>
      <c r="E232" s="58" t="s">
        <v>222</v>
      </c>
      <c r="F232" s="60" t="s">
        <v>7621</v>
      </c>
      <c r="G232" s="58" t="s">
        <v>7622</v>
      </c>
      <c r="H232" s="58" t="s">
        <v>7623</v>
      </c>
      <c r="I232" s="58"/>
      <c r="J232" s="58"/>
      <c r="K232" s="58"/>
      <c r="L232" s="58" t="s">
        <v>7624</v>
      </c>
      <c r="M232" s="58"/>
      <c r="N232" s="61" t="s">
        <v>91</v>
      </c>
      <c r="O232" s="58" t="s">
        <v>6617</v>
      </c>
      <c r="P232" s="61" t="n">
        <v>509</v>
      </c>
    </row>
    <row r="233" customFormat="false" ht="22.35" hidden="false" customHeight="false" outlineLevel="0" collapsed="false">
      <c r="A233" s="22" t="s">
        <v>7625</v>
      </c>
      <c r="B233" s="17" t="s">
        <v>6290</v>
      </c>
      <c r="C233" s="17" t="s">
        <v>184</v>
      </c>
      <c r="D233" s="55" t="s">
        <v>7626</v>
      </c>
      <c r="E233" s="17" t="s">
        <v>222</v>
      </c>
      <c r="F233" s="56" t="s">
        <v>7627</v>
      </c>
      <c r="G233" s="17" t="s">
        <v>7628</v>
      </c>
      <c r="H233" s="17" t="s">
        <v>7623</v>
      </c>
      <c r="I233" s="17"/>
      <c r="J233" s="17"/>
      <c r="K233" s="17"/>
      <c r="L233" s="17" t="s">
        <v>7629</v>
      </c>
      <c r="M233" s="17"/>
      <c r="N233" s="15" t="s">
        <v>91</v>
      </c>
      <c r="O233" s="17" t="s">
        <v>6617</v>
      </c>
      <c r="P233" s="15" t="n">
        <v>522</v>
      </c>
    </row>
    <row r="234" customFormat="false" ht="32.8" hidden="false" customHeight="false" outlineLevel="0" collapsed="false">
      <c r="A234" s="57" t="s">
        <v>7630</v>
      </c>
      <c r="B234" s="58" t="s">
        <v>6290</v>
      </c>
      <c r="C234" s="58" t="s">
        <v>184</v>
      </c>
      <c r="D234" s="59" t="s">
        <v>7631</v>
      </c>
      <c r="E234" s="58" t="s">
        <v>223</v>
      </c>
      <c r="F234" s="60" t="s">
        <v>7632</v>
      </c>
      <c r="G234" s="58" t="s">
        <v>7633</v>
      </c>
      <c r="H234" s="58"/>
      <c r="I234" s="58"/>
      <c r="J234" s="58"/>
      <c r="K234" s="58"/>
      <c r="L234" s="58" t="s">
        <v>7634</v>
      </c>
      <c r="M234" s="58" t="s">
        <v>7635</v>
      </c>
      <c r="N234" s="61" t="s">
        <v>91</v>
      </c>
      <c r="O234" s="58" t="s">
        <v>7636</v>
      </c>
      <c r="P234" s="61" t="n">
        <v>22</v>
      </c>
    </row>
    <row r="235" customFormat="false" ht="22.35" hidden="false" customHeight="false" outlineLevel="0" collapsed="false">
      <c r="A235" s="22" t="s">
        <v>7637</v>
      </c>
      <c r="B235" s="17" t="s">
        <v>6290</v>
      </c>
      <c r="C235" s="17" t="s">
        <v>184</v>
      </c>
      <c r="D235" s="55" t="s">
        <v>7638</v>
      </c>
      <c r="E235" s="17" t="s">
        <v>226</v>
      </c>
      <c r="F235" s="56" t="s">
        <v>7639</v>
      </c>
      <c r="G235" s="17" t="s">
        <v>7640</v>
      </c>
      <c r="H235" s="17" t="s">
        <v>7641</v>
      </c>
      <c r="I235" s="17"/>
      <c r="J235" s="17" t="s">
        <v>7642</v>
      </c>
      <c r="K235" s="17"/>
      <c r="L235" s="17" t="s">
        <v>7643</v>
      </c>
      <c r="M235" s="17"/>
      <c r="N235" s="15" t="s">
        <v>91</v>
      </c>
      <c r="O235" s="17" t="s">
        <v>7636</v>
      </c>
      <c r="P235" s="15" t="n">
        <v>32</v>
      </c>
    </row>
    <row r="236" customFormat="false" ht="43.25" hidden="false" customHeight="false" outlineLevel="0" collapsed="false">
      <c r="A236" s="57" t="s">
        <v>7644</v>
      </c>
      <c r="B236" s="58" t="s">
        <v>6290</v>
      </c>
      <c r="C236" s="58" t="s">
        <v>184</v>
      </c>
      <c r="D236" s="59" t="s">
        <v>7645</v>
      </c>
      <c r="E236" s="58" t="s">
        <v>226</v>
      </c>
      <c r="F236" s="60" t="s">
        <v>7646</v>
      </c>
      <c r="G236" s="58" t="s">
        <v>7647</v>
      </c>
      <c r="H236" s="58" t="s">
        <v>7648</v>
      </c>
      <c r="I236" s="58" t="s">
        <v>7649</v>
      </c>
      <c r="J236" s="58" t="s">
        <v>7650</v>
      </c>
      <c r="K236" s="58" t="s">
        <v>4210</v>
      </c>
      <c r="L236" s="58" t="s">
        <v>7651</v>
      </c>
      <c r="M236" s="58" t="s">
        <v>7652</v>
      </c>
      <c r="N236" s="61" t="s">
        <v>91</v>
      </c>
      <c r="O236" s="58" t="s">
        <v>7636</v>
      </c>
      <c r="P236" s="61" t="n">
        <v>53</v>
      </c>
    </row>
    <row r="237" customFormat="false" ht="43.25" hidden="false" customHeight="false" outlineLevel="0" collapsed="false">
      <c r="A237" s="22" t="s">
        <v>7653</v>
      </c>
      <c r="B237" s="17" t="s">
        <v>6290</v>
      </c>
      <c r="C237" s="17" t="s">
        <v>184</v>
      </c>
      <c r="D237" s="55" t="s">
        <v>7654</v>
      </c>
      <c r="E237" s="17" t="s">
        <v>222</v>
      </c>
      <c r="F237" s="56" t="s">
        <v>7655</v>
      </c>
      <c r="G237" s="17" t="s">
        <v>7656</v>
      </c>
      <c r="H237" s="17"/>
      <c r="I237" s="17" t="s">
        <v>7657</v>
      </c>
      <c r="J237" s="17"/>
      <c r="K237" s="17"/>
      <c r="L237" s="17" t="s">
        <v>7658</v>
      </c>
      <c r="M237" s="17"/>
      <c r="N237" s="15" t="s">
        <v>91</v>
      </c>
      <c r="O237" s="17" t="s">
        <v>7636</v>
      </c>
      <c r="P237" s="15" t="n">
        <v>111</v>
      </c>
    </row>
    <row r="238" customFormat="false" ht="22.35" hidden="false" customHeight="false" outlineLevel="0" collapsed="false">
      <c r="A238" s="57" t="s">
        <v>7659</v>
      </c>
      <c r="B238" s="58" t="s">
        <v>6290</v>
      </c>
      <c r="C238" s="58" t="s">
        <v>184</v>
      </c>
      <c r="D238" s="59" t="s">
        <v>7660</v>
      </c>
      <c r="E238" s="58" t="s">
        <v>222</v>
      </c>
      <c r="F238" s="60" t="s">
        <v>7661</v>
      </c>
      <c r="G238" s="58" t="s">
        <v>7662</v>
      </c>
      <c r="H238" s="58"/>
      <c r="I238" s="58" t="s">
        <v>7657</v>
      </c>
      <c r="J238" s="58"/>
      <c r="K238" s="58"/>
      <c r="L238" s="58" t="s">
        <v>7663</v>
      </c>
      <c r="M238" s="58"/>
      <c r="N238" s="61" t="s">
        <v>91</v>
      </c>
      <c r="O238" s="58" t="s">
        <v>7636</v>
      </c>
      <c r="P238" s="61" t="n">
        <v>168</v>
      </c>
    </row>
    <row r="239" customFormat="false" ht="22.35" hidden="false" customHeight="false" outlineLevel="0" collapsed="false">
      <c r="A239" s="22" t="s">
        <v>7664</v>
      </c>
      <c r="B239" s="17" t="s">
        <v>6290</v>
      </c>
      <c r="C239" s="17" t="s">
        <v>184</v>
      </c>
      <c r="D239" s="55" t="s">
        <v>7665</v>
      </c>
      <c r="E239" s="17" t="s">
        <v>222</v>
      </c>
      <c r="F239" s="56" t="s">
        <v>7666</v>
      </c>
      <c r="G239" s="17" t="s">
        <v>7667</v>
      </c>
      <c r="H239" s="17"/>
      <c r="I239" s="17" t="s">
        <v>7657</v>
      </c>
      <c r="J239" s="17"/>
      <c r="K239" s="17"/>
      <c r="L239" s="17" t="s">
        <v>7668</v>
      </c>
      <c r="M239" s="17"/>
      <c r="N239" s="15" t="s">
        <v>91</v>
      </c>
      <c r="O239" s="17" t="s">
        <v>7636</v>
      </c>
      <c r="P239" s="15" t="n">
        <v>181</v>
      </c>
    </row>
    <row r="240" customFormat="false" ht="22.35" hidden="false" customHeight="false" outlineLevel="0" collapsed="false">
      <c r="A240" s="57" t="s">
        <v>7669</v>
      </c>
      <c r="B240" s="58" t="s">
        <v>6290</v>
      </c>
      <c r="C240" s="58" t="s">
        <v>184</v>
      </c>
      <c r="D240" s="59" t="s">
        <v>7670</v>
      </c>
      <c r="E240" s="58" t="s">
        <v>222</v>
      </c>
      <c r="F240" s="60" t="s">
        <v>7671</v>
      </c>
      <c r="G240" s="58" t="s">
        <v>7672</v>
      </c>
      <c r="H240" s="58"/>
      <c r="I240" s="58" t="s">
        <v>7657</v>
      </c>
      <c r="J240" s="58"/>
      <c r="K240" s="58"/>
      <c r="L240" s="58" t="s">
        <v>7663</v>
      </c>
      <c r="M240" s="58"/>
      <c r="N240" s="61" t="s">
        <v>91</v>
      </c>
      <c r="O240" s="58" t="s">
        <v>7636</v>
      </c>
      <c r="P240" s="61" t="n">
        <v>194</v>
      </c>
    </row>
    <row r="241" customFormat="false" ht="22.35" hidden="false" customHeight="false" outlineLevel="0" collapsed="false">
      <c r="A241" s="22" t="s">
        <v>7673</v>
      </c>
      <c r="B241" s="17" t="s">
        <v>6290</v>
      </c>
      <c r="C241" s="17" t="s">
        <v>184</v>
      </c>
      <c r="D241" s="55" t="s">
        <v>7674</v>
      </c>
      <c r="E241" s="17" t="s">
        <v>222</v>
      </c>
      <c r="F241" s="56" t="s">
        <v>7675</v>
      </c>
      <c r="G241" s="17" t="s">
        <v>7676</v>
      </c>
      <c r="H241" s="17"/>
      <c r="I241" s="17" t="s">
        <v>7657</v>
      </c>
      <c r="J241" s="17"/>
      <c r="K241" s="17"/>
      <c r="L241" s="17" t="s">
        <v>7677</v>
      </c>
      <c r="M241" s="17"/>
      <c r="N241" s="15" t="s">
        <v>91</v>
      </c>
      <c r="O241" s="17" t="s">
        <v>7636</v>
      </c>
      <c r="P241" s="15" t="n">
        <v>207</v>
      </c>
    </row>
    <row r="242" customFormat="false" ht="22.35" hidden="false" customHeight="false" outlineLevel="0" collapsed="false">
      <c r="A242" s="57" t="s">
        <v>7678</v>
      </c>
      <c r="B242" s="58" t="s">
        <v>6290</v>
      </c>
      <c r="C242" s="58" t="s">
        <v>184</v>
      </c>
      <c r="D242" s="59" t="s">
        <v>7679</v>
      </c>
      <c r="E242" s="58" t="s">
        <v>222</v>
      </c>
      <c r="F242" s="60" t="s">
        <v>7680</v>
      </c>
      <c r="G242" s="58" t="s">
        <v>7681</v>
      </c>
      <c r="H242" s="58"/>
      <c r="I242" s="58" t="s">
        <v>7657</v>
      </c>
      <c r="J242" s="58"/>
      <c r="K242" s="58"/>
      <c r="L242" s="58" t="s">
        <v>7663</v>
      </c>
      <c r="M242" s="58"/>
      <c r="N242" s="61" t="s">
        <v>91</v>
      </c>
      <c r="O242" s="58" t="s">
        <v>7636</v>
      </c>
      <c r="P242" s="61" t="n">
        <v>220</v>
      </c>
    </row>
    <row r="243" customFormat="false" ht="22.35" hidden="false" customHeight="false" outlineLevel="0" collapsed="false">
      <c r="A243" s="22" t="s">
        <v>7682</v>
      </c>
      <c r="B243" s="17" t="s">
        <v>6290</v>
      </c>
      <c r="C243" s="17" t="s">
        <v>184</v>
      </c>
      <c r="D243" s="55" t="s">
        <v>7683</v>
      </c>
      <c r="E243" s="17" t="s">
        <v>222</v>
      </c>
      <c r="F243" s="56" t="s">
        <v>7684</v>
      </c>
      <c r="G243" s="17" t="s">
        <v>7685</v>
      </c>
      <c r="H243" s="17"/>
      <c r="I243" s="17" t="s">
        <v>7657</v>
      </c>
      <c r="J243" s="17"/>
      <c r="K243" s="17"/>
      <c r="L243" s="17" t="s">
        <v>7677</v>
      </c>
      <c r="M243" s="17"/>
      <c r="N243" s="15" t="s">
        <v>91</v>
      </c>
      <c r="O243" s="17" t="s">
        <v>7636</v>
      </c>
      <c r="P243" s="15" t="n">
        <v>233</v>
      </c>
    </row>
    <row r="244" customFormat="false" ht="32.8" hidden="false" customHeight="false" outlineLevel="0" collapsed="false">
      <c r="A244" s="57" t="s">
        <v>7686</v>
      </c>
      <c r="B244" s="58" t="s">
        <v>6290</v>
      </c>
      <c r="C244" s="58" t="s">
        <v>184</v>
      </c>
      <c r="D244" s="59" t="s">
        <v>7687</v>
      </c>
      <c r="E244" s="58" t="s">
        <v>222</v>
      </c>
      <c r="F244" s="60" t="s">
        <v>7688</v>
      </c>
      <c r="G244" s="58" t="s">
        <v>7689</v>
      </c>
      <c r="H244" s="58"/>
      <c r="I244" s="58" t="s">
        <v>7657</v>
      </c>
      <c r="J244" s="58"/>
      <c r="K244" s="58"/>
      <c r="L244" s="58" t="s">
        <v>7612</v>
      </c>
      <c r="M244" s="58"/>
      <c r="N244" s="61" t="s">
        <v>91</v>
      </c>
      <c r="O244" s="58" t="s">
        <v>7636</v>
      </c>
      <c r="P244" s="61" t="n">
        <v>246</v>
      </c>
    </row>
    <row r="245" customFormat="false" ht="22.35" hidden="false" customHeight="false" outlineLevel="0" collapsed="false">
      <c r="A245" s="22" t="s">
        <v>7690</v>
      </c>
      <c r="B245" s="17" t="s">
        <v>6290</v>
      </c>
      <c r="C245" s="17" t="s">
        <v>184</v>
      </c>
      <c r="D245" s="55" t="s">
        <v>7691</v>
      </c>
      <c r="E245" s="17" t="s">
        <v>222</v>
      </c>
      <c r="F245" s="56" t="s">
        <v>7692</v>
      </c>
      <c r="G245" s="17" t="s">
        <v>7693</v>
      </c>
      <c r="H245" s="17"/>
      <c r="I245" s="17" t="s">
        <v>7657</v>
      </c>
      <c r="J245" s="17"/>
      <c r="K245" s="17"/>
      <c r="L245" s="17" t="s">
        <v>7612</v>
      </c>
      <c r="M245" s="17"/>
      <c r="N245" s="15" t="s">
        <v>91</v>
      </c>
      <c r="O245" s="17" t="s">
        <v>7636</v>
      </c>
      <c r="P245" s="15" t="n">
        <v>281</v>
      </c>
    </row>
    <row r="246" customFormat="false" ht="22.35" hidden="false" customHeight="false" outlineLevel="0" collapsed="false">
      <c r="A246" s="57" t="s">
        <v>7694</v>
      </c>
      <c r="B246" s="58" t="s">
        <v>6290</v>
      </c>
      <c r="C246" s="58" t="s">
        <v>184</v>
      </c>
      <c r="D246" s="59" t="s">
        <v>7695</v>
      </c>
      <c r="E246" s="58" t="s">
        <v>222</v>
      </c>
      <c r="F246" s="60" t="s">
        <v>7696</v>
      </c>
      <c r="G246" s="58" t="s">
        <v>7697</v>
      </c>
      <c r="H246" s="58"/>
      <c r="I246" s="58" t="s">
        <v>7657</v>
      </c>
      <c r="J246" s="58"/>
      <c r="K246" s="58"/>
      <c r="L246" s="58" t="s">
        <v>7626</v>
      </c>
      <c r="M246" s="58"/>
      <c r="N246" s="61" t="s">
        <v>91</v>
      </c>
      <c r="O246" s="58" t="s">
        <v>7636</v>
      </c>
      <c r="P246" s="61" t="n">
        <v>293</v>
      </c>
    </row>
    <row r="247" customFormat="false" ht="43.25" hidden="false" customHeight="false" outlineLevel="0" collapsed="false">
      <c r="A247" s="22" t="s">
        <v>7698</v>
      </c>
      <c r="B247" s="17" t="s">
        <v>6290</v>
      </c>
      <c r="C247" s="17" t="s">
        <v>184</v>
      </c>
      <c r="D247" s="55" t="s">
        <v>7699</v>
      </c>
      <c r="E247" s="17" t="s">
        <v>222</v>
      </c>
      <c r="F247" s="56" t="s">
        <v>7700</v>
      </c>
      <c r="G247" s="17" t="s">
        <v>7701</v>
      </c>
      <c r="H247" s="17"/>
      <c r="I247" s="17" t="s">
        <v>7657</v>
      </c>
      <c r="J247" s="17"/>
      <c r="K247" s="17"/>
      <c r="L247" s="17" t="s">
        <v>7612</v>
      </c>
      <c r="M247" s="17"/>
      <c r="N247" s="15" t="s">
        <v>91</v>
      </c>
      <c r="O247" s="17" t="s">
        <v>7636</v>
      </c>
      <c r="P247" s="15" t="n">
        <v>305</v>
      </c>
    </row>
    <row r="248" customFormat="false" ht="22.35" hidden="false" customHeight="false" outlineLevel="0" collapsed="false">
      <c r="A248" s="57" t="s">
        <v>7702</v>
      </c>
      <c r="B248" s="58" t="s">
        <v>6290</v>
      </c>
      <c r="C248" s="58" t="s">
        <v>184</v>
      </c>
      <c r="D248" s="59" t="s">
        <v>7703</v>
      </c>
      <c r="E248" s="58" t="s">
        <v>222</v>
      </c>
      <c r="F248" s="60" t="s">
        <v>7704</v>
      </c>
      <c r="G248" s="58" t="s">
        <v>7705</v>
      </c>
      <c r="H248" s="58"/>
      <c r="I248" s="58" t="s">
        <v>7657</v>
      </c>
      <c r="J248" s="58"/>
      <c r="K248" s="58"/>
      <c r="L248" s="58" t="s">
        <v>7612</v>
      </c>
      <c r="M248" s="58"/>
      <c r="N248" s="61" t="s">
        <v>91</v>
      </c>
      <c r="O248" s="58" t="s">
        <v>7636</v>
      </c>
      <c r="P248" s="61" t="n">
        <v>370</v>
      </c>
    </row>
    <row r="249" customFormat="false" ht="22.35" hidden="false" customHeight="false" outlineLevel="0" collapsed="false">
      <c r="A249" s="22" t="s">
        <v>7706</v>
      </c>
      <c r="B249" s="17" t="s">
        <v>6290</v>
      </c>
      <c r="C249" s="17" t="s">
        <v>184</v>
      </c>
      <c r="D249" s="55" t="s">
        <v>7707</v>
      </c>
      <c r="E249" s="17" t="s">
        <v>222</v>
      </c>
      <c r="F249" s="56" t="s">
        <v>7708</v>
      </c>
      <c r="G249" s="17" t="s">
        <v>7709</v>
      </c>
      <c r="H249" s="17"/>
      <c r="I249" s="17" t="s">
        <v>7657</v>
      </c>
      <c r="J249" s="17"/>
      <c r="K249" s="17"/>
      <c r="L249" s="17" t="s">
        <v>7626</v>
      </c>
      <c r="M249" s="17"/>
      <c r="N249" s="15" t="s">
        <v>91</v>
      </c>
      <c r="O249" s="17" t="s">
        <v>7636</v>
      </c>
      <c r="P249" s="15" t="n">
        <v>382</v>
      </c>
    </row>
    <row r="250" customFormat="false" ht="22.35" hidden="false" customHeight="false" outlineLevel="0" collapsed="false">
      <c r="A250" s="57" t="s">
        <v>7710</v>
      </c>
      <c r="B250" s="58" t="s">
        <v>6290</v>
      </c>
      <c r="C250" s="58" t="s">
        <v>184</v>
      </c>
      <c r="D250" s="59" t="s">
        <v>7711</v>
      </c>
      <c r="E250" s="58" t="s">
        <v>222</v>
      </c>
      <c r="F250" s="60" t="s">
        <v>7712</v>
      </c>
      <c r="G250" s="58" t="s">
        <v>7713</v>
      </c>
      <c r="H250" s="58" t="s">
        <v>7714</v>
      </c>
      <c r="I250" s="58" t="s">
        <v>7715</v>
      </c>
      <c r="J250" s="58"/>
      <c r="K250" s="58"/>
      <c r="L250" s="58" t="s">
        <v>7301</v>
      </c>
      <c r="M250" s="58"/>
      <c r="N250" s="61" t="s">
        <v>91</v>
      </c>
      <c r="O250" s="58" t="s">
        <v>7636</v>
      </c>
      <c r="P250" s="61" t="n">
        <v>394</v>
      </c>
    </row>
    <row r="251" customFormat="false" ht="22.35" hidden="false" customHeight="false" outlineLevel="0" collapsed="false">
      <c r="A251" s="22" t="s">
        <v>7716</v>
      </c>
      <c r="B251" s="17" t="s">
        <v>6290</v>
      </c>
      <c r="C251" s="17" t="s">
        <v>184</v>
      </c>
      <c r="D251" s="55" t="s">
        <v>7717</v>
      </c>
      <c r="E251" s="17" t="s">
        <v>222</v>
      </c>
      <c r="F251" s="56" t="s">
        <v>7718</v>
      </c>
      <c r="G251" s="17" t="s">
        <v>7719</v>
      </c>
      <c r="H251" s="17"/>
      <c r="I251" s="17" t="s">
        <v>7720</v>
      </c>
      <c r="J251" s="17"/>
      <c r="K251" s="17"/>
      <c r="L251" s="17" t="s">
        <v>7301</v>
      </c>
      <c r="M251" s="17"/>
      <c r="N251" s="15" t="s">
        <v>91</v>
      </c>
      <c r="O251" s="17" t="s">
        <v>7636</v>
      </c>
      <c r="P251" s="15" t="n">
        <v>425</v>
      </c>
    </row>
    <row r="252" customFormat="false" ht="22.35" hidden="false" customHeight="false" outlineLevel="0" collapsed="false">
      <c r="A252" s="57" t="s">
        <v>7721</v>
      </c>
      <c r="B252" s="58" t="s">
        <v>6290</v>
      </c>
      <c r="C252" s="58" t="s">
        <v>184</v>
      </c>
      <c r="D252" s="59" t="s">
        <v>7722</v>
      </c>
      <c r="E252" s="58" t="s">
        <v>222</v>
      </c>
      <c r="F252" s="60" t="s">
        <v>7723</v>
      </c>
      <c r="G252" s="58" t="s">
        <v>7724</v>
      </c>
      <c r="H252" s="58"/>
      <c r="I252" s="58" t="s">
        <v>7720</v>
      </c>
      <c r="J252" s="58"/>
      <c r="K252" s="58"/>
      <c r="L252" s="58" t="s">
        <v>7725</v>
      </c>
      <c r="M252" s="58" t="s">
        <v>7726</v>
      </c>
      <c r="N252" s="61" t="s">
        <v>91</v>
      </c>
      <c r="O252" s="58" t="s">
        <v>7636</v>
      </c>
      <c r="P252" s="61" t="n">
        <v>439</v>
      </c>
    </row>
    <row r="253" customFormat="false" ht="22.35" hidden="false" customHeight="false" outlineLevel="0" collapsed="false">
      <c r="A253" s="22" t="s">
        <v>7727</v>
      </c>
      <c r="B253" s="17" t="s">
        <v>6290</v>
      </c>
      <c r="C253" s="17" t="s">
        <v>184</v>
      </c>
      <c r="D253" s="55" t="s">
        <v>7728</v>
      </c>
      <c r="E253" s="17" t="s">
        <v>223</v>
      </c>
      <c r="F253" s="56" t="s">
        <v>7729</v>
      </c>
      <c r="G253" s="17" t="s">
        <v>7730</v>
      </c>
      <c r="H253" s="17"/>
      <c r="I253" s="17" t="s">
        <v>7731</v>
      </c>
      <c r="J253" s="17"/>
      <c r="K253" s="17"/>
      <c r="L253" s="17"/>
      <c r="M253" s="17"/>
      <c r="N253" s="15" t="s">
        <v>91</v>
      </c>
      <c r="O253" s="17" t="s">
        <v>7732</v>
      </c>
      <c r="P253" s="15" t="n">
        <v>23</v>
      </c>
    </row>
    <row r="254" customFormat="false" ht="64.15" hidden="false" customHeight="false" outlineLevel="0" collapsed="false">
      <c r="A254" s="57" t="s">
        <v>7733</v>
      </c>
      <c r="B254" s="58" t="s">
        <v>6290</v>
      </c>
      <c r="C254" s="58" t="s">
        <v>184</v>
      </c>
      <c r="D254" s="59" t="s">
        <v>7734</v>
      </c>
      <c r="E254" s="58" t="s">
        <v>223</v>
      </c>
      <c r="F254" s="60" t="s">
        <v>7735</v>
      </c>
      <c r="G254" s="58" t="s">
        <v>7736</v>
      </c>
      <c r="H254" s="58"/>
      <c r="I254" s="58" t="s">
        <v>7737</v>
      </c>
      <c r="J254" s="58"/>
      <c r="K254" s="58"/>
      <c r="L254" s="58"/>
      <c r="M254" s="58"/>
      <c r="N254" s="61" t="s">
        <v>91</v>
      </c>
      <c r="O254" s="58" t="s">
        <v>7732</v>
      </c>
      <c r="P254" s="61" t="n">
        <v>30</v>
      </c>
    </row>
    <row r="255" customFormat="false" ht="22.35" hidden="false" customHeight="false" outlineLevel="0" collapsed="false">
      <c r="A255" s="22" t="s">
        <v>7738</v>
      </c>
      <c r="B255" s="17" t="s">
        <v>6290</v>
      </c>
      <c r="C255" s="17" t="s">
        <v>184</v>
      </c>
      <c r="D255" s="55" t="s">
        <v>7739</v>
      </c>
      <c r="E255" s="17" t="s">
        <v>224</v>
      </c>
      <c r="F255" s="56" t="s">
        <v>7740</v>
      </c>
      <c r="G255" s="17" t="s">
        <v>7741</v>
      </c>
      <c r="H255" s="17"/>
      <c r="I255" s="17"/>
      <c r="J255" s="17" t="s">
        <v>7742</v>
      </c>
      <c r="K255" s="17"/>
      <c r="L255" s="17"/>
      <c r="M255" s="17"/>
      <c r="N255" s="15" t="s">
        <v>91</v>
      </c>
      <c r="O255" s="17" t="s">
        <v>7732</v>
      </c>
      <c r="P255" s="15" t="n">
        <v>46</v>
      </c>
    </row>
    <row r="256" customFormat="false" ht="22.35" hidden="false" customHeight="false" outlineLevel="0" collapsed="false">
      <c r="A256" s="57" t="s">
        <v>7743</v>
      </c>
      <c r="B256" s="58" t="s">
        <v>6290</v>
      </c>
      <c r="C256" s="58" t="s">
        <v>184</v>
      </c>
      <c r="D256" s="59" t="s">
        <v>7744</v>
      </c>
      <c r="E256" s="58" t="s">
        <v>223</v>
      </c>
      <c r="F256" s="60" t="s">
        <v>7745</v>
      </c>
      <c r="G256" s="58" t="s">
        <v>7746</v>
      </c>
      <c r="H256" s="58"/>
      <c r="I256" s="58" t="s">
        <v>7747</v>
      </c>
      <c r="J256" s="58"/>
      <c r="K256" s="58" t="s">
        <v>4210</v>
      </c>
      <c r="L256" s="58"/>
      <c r="M256" s="58"/>
      <c r="N256" s="61" t="s">
        <v>91</v>
      </c>
      <c r="O256" s="58" t="s">
        <v>7732</v>
      </c>
      <c r="P256" s="61" t="n">
        <v>58</v>
      </c>
    </row>
    <row r="257" customFormat="false" ht="22.35" hidden="false" customHeight="false" outlineLevel="0" collapsed="false">
      <c r="A257" s="22" t="s">
        <v>7748</v>
      </c>
      <c r="B257" s="17" t="s">
        <v>6290</v>
      </c>
      <c r="C257" s="17" t="s">
        <v>184</v>
      </c>
      <c r="D257" s="55" t="s">
        <v>7749</v>
      </c>
      <c r="E257" s="17" t="s">
        <v>223</v>
      </c>
      <c r="F257" s="56" t="s">
        <v>7750</v>
      </c>
      <c r="G257" s="17" t="s">
        <v>7751</v>
      </c>
      <c r="H257" s="17"/>
      <c r="I257" s="17" t="s">
        <v>7084</v>
      </c>
      <c r="J257" s="17"/>
      <c r="K257" s="17" t="s">
        <v>4210</v>
      </c>
      <c r="L257" s="17"/>
      <c r="M257" s="17"/>
      <c r="N257" s="15" t="s">
        <v>91</v>
      </c>
      <c r="O257" s="17" t="s">
        <v>7732</v>
      </c>
      <c r="P257" s="15" t="n">
        <v>59</v>
      </c>
    </row>
    <row r="258" customFormat="false" ht="22.35" hidden="false" customHeight="false" outlineLevel="0" collapsed="false">
      <c r="A258" s="57" t="s">
        <v>7752</v>
      </c>
      <c r="B258" s="58" t="s">
        <v>6290</v>
      </c>
      <c r="C258" s="58" t="s">
        <v>184</v>
      </c>
      <c r="D258" s="59" t="s">
        <v>7753</v>
      </c>
      <c r="E258" s="58" t="s">
        <v>223</v>
      </c>
      <c r="F258" s="60" t="s">
        <v>7754</v>
      </c>
      <c r="G258" s="58" t="s">
        <v>7755</v>
      </c>
      <c r="H258" s="58"/>
      <c r="I258" s="58" t="s">
        <v>7200</v>
      </c>
      <c r="J258" s="58"/>
      <c r="K258" s="58" t="s">
        <v>7756</v>
      </c>
      <c r="L258" s="58"/>
      <c r="M258" s="58"/>
      <c r="N258" s="61" t="s">
        <v>91</v>
      </c>
      <c r="O258" s="58" t="s">
        <v>7732</v>
      </c>
      <c r="P258" s="61" t="n">
        <v>60</v>
      </c>
    </row>
    <row r="259" customFormat="false" ht="43.25" hidden="false" customHeight="false" outlineLevel="0" collapsed="false">
      <c r="A259" s="22" t="s">
        <v>7757</v>
      </c>
      <c r="B259" s="17" t="s">
        <v>6290</v>
      </c>
      <c r="C259" s="17" t="s">
        <v>184</v>
      </c>
      <c r="D259" s="55" t="s">
        <v>7758</v>
      </c>
      <c r="E259" s="17" t="s">
        <v>224</v>
      </c>
      <c r="F259" s="56" t="s">
        <v>7759</v>
      </c>
      <c r="G259" s="17" t="s">
        <v>7760</v>
      </c>
      <c r="H259" s="17"/>
      <c r="I259" s="17"/>
      <c r="J259" s="17"/>
      <c r="K259" s="17"/>
      <c r="L259" s="17"/>
      <c r="M259" s="17"/>
      <c r="N259" s="15" t="s">
        <v>91</v>
      </c>
      <c r="O259" s="17" t="s">
        <v>7732</v>
      </c>
      <c r="P259" s="15" t="n">
        <v>175</v>
      </c>
    </row>
    <row r="260" customFormat="false" ht="22.35" hidden="false" customHeight="false" outlineLevel="0" collapsed="false">
      <c r="A260" s="57" t="s">
        <v>7761</v>
      </c>
      <c r="B260" s="58" t="s">
        <v>6290</v>
      </c>
      <c r="C260" s="58" t="s">
        <v>184</v>
      </c>
      <c r="D260" s="59" t="s">
        <v>7762</v>
      </c>
      <c r="E260" s="58" t="s">
        <v>224</v>
      </c>
      <c r="F260" s="60" t="s">
        <v>7763</v>
      </c>
      <c r="G260" s="58" t="s">
        <v>7764</v>
      </c>
      <c r="H260" s="58"/>
      <c r="I260" s="58"/>
      <c r="J260" s="58"/>
      <c r="K260" s="58"/>
      <c r="L260" s="58"/>
      <c r="M260" s="58"/>
      <c r="N260" s="61" t="s">
        <v>91</v>
      </c>
      <c r="O260" s="58" t="s">
        <v>7732</v>
      </c>
      <c r="P260" s="61" t="n">
        <v>208</v>
      </c>
    </row>
    <row r="261" customFormat="false" ht="22.35" hidden="false" customHeight="false" outlineLevel="0" collapsed="false">
      <c r="A261" s="22" t="s">
        <v>7765</v>
      </c>
      <c r="B261" s="17" t="s">
        <v>6290</v>
      </c>
      <c r="C261" s="17" t="s">
        <v>184</v>
      </c>
      <c r="D261" s="55" t="s">
        <v>7766</v>
      </c>
      <c r="E261" s="17" t="s">
        <v>224</v>
      </c>
      <c r="F261" s="56" t="s">
        <v>7767</v>
      </c>
      <c r="G261" s="17" t="s">
        <v>7768</v>
      </c>
      <c r="H261" s="17"/>
      <c r="I261" s="17"/>
      <c r="J261" s="17"/>
      <c r="K261" s="17"/>
      <c r="L261" s="17"/>
      <c r="M261" s="17"/>
      <c r="N261" s="15" t="s">
        <v>91</v>
      </c>
      <c r="O261" s="17" t="s">
        <v>7732</v>
      </c>
      <c r="P261" s="15" t="n">
        <v>222</v>
      </c>
    </row>
    <row r="262" customFormat="false" ht="22.35" hidden="false" customHeight="false" outlineLevel="0" collapsed="false">
      <c r="A262" s="57" t="s">
        <v>7769</v>
      </c>
      <c r="B262" s="58" t="s">
        <v>6290</v>
      </c>
      <c r="C262" s="58" t="s">
        <v>184</v>
      </c>
      <c r="D262" s="59" t="s">
        <v>7770</v>
      </c>
      <c r="E262" s="58" t="s">
        <v>224</v>
      </c>
      <c r="F262" s="60" t="s">
        <v>7771</v>
      </c>
      <c r="G262" s="58" t="s">
        <v>7772</v>
      </c>
      <c r="H262" s="58"/>
      <c r="I262" s="58"/>
      <c r="J262" s="58"/>
      <c r="K262" s="58"/>
      <c r="L262" s="58"/>
      <c r="M262" s="58"/>
      <c r="N262" s="61" t="s">
        <v>91</v>
      </c>
      <c r="O262" s="58" t="s">
        <v>7732</v>
      </c>
      <c r="P262" s="61" t="n">
        <v>230</v>
      </c>
    </row>
    <row r="263" customFormat="false" ht="43.25" hidden="false" customHeight="false" outlineLevel="0" collapsed="false">
      <c r="A263" s="22" t="s">
        <v>7773</v>
      </c>
      <c r="B263" s="17" t="s">
        <v>6290</v>
      </c>
      <c r="C263" s="17" t="s">
        <v>184</v>
      </c>
      <c r="D263" s="55" t="s">
        <v>7774</v>
      </c>
      <c r="E263" s="17" t="s">
        <v>224</v>
      </c>
      <c r="F263" s="56" t="s">
        <v>7775</v>
      </c>
      <c r="G263" s="17" t="s">
        <v>7776</v>
      </c>
      <c r="H263" s="17"/>
      <c r="I263" s="17"/>
      <c r="J263" s="17"/>
      <c r="K263" s="17"/>
      <c r="L263" s="17"/>
      <c r="M263" s="17"/>
      <c r="N263" s="15" t="s">
        <v>91</v>
      </c>
      <c r="O263" s="17" t="s">
        <v>7732</v>
      </c>
      <c r="P263" s="15" t="n">
        <v>245</v>
      </c>
    </row>
    <row r="264" customFormat="false" ht="22.35" hidden="false" customHeight="false" outlineLevel="0" collapsed="false">
      <c r="A264" s="57" t="s">
        <v>7777</v>
      </c>
      <c r="B264" s="58" t="s">
        <v>6290</v>
      </c>
      <c r="C264" s="58" t="s">
        <v>184</v>
      </c>
      <c r="D264" s="59" t="s">
        <v>7778</v>
      </c>
      <c r="E264" s="58" t="s">
        <v>224</v>
      </c>
      <c r="F264" s="60" t="s">
        <v>7779</v>
      </c>
      <c r="G264" s="58" t="s">
        <v>7780</v>
      </c>
      <c r="H264" s="58"/>
      <c r="I264" s="58"/>
      <c r="J264" s="58"/>
      <c r="K264" s="58"/>
      <c r="L264" s="58"/>
      <c r="M264" s="58"/>
      <c r="N264" s="61" t="s">
        <v>91</v>
      </c>
      <c r="O264" s="58" t="s">
        <v>7732</v>
      </c>
      <c r="P264" s="61" t="n">
        <v>276</v>
      </c>
    </row>
    <row r="265" customFormat="false" ht="22.35" hidden="false" customHeight="false" outlineLevel="0" collapsed="false">
      <c r="A265" s="22" t="s">
        <v>7781</v>
      </c>
      <c r="B265" s="17" t="s">
        <v>6290</v>
      </c>
      <c r="C265" s="17" t="s">
        <v>184</v>
      </c>
      <c r="D265" s="55" t="s">
        <v>7782</v>
      </c>
      <c r="E265" s="17" t="s">
        <v>222</v>
      </c>
      <c r="F265" s="56" t="s">
        <v>7783</v>
      </c>
      <c r="G265" s="17" t="s">
        <v>7784</v>
      </c>
      <c r="H265" s="17" t="s">
        <v>7785</v>
      </c>
      <c r="I265" s="17" t="s">
        <v>7786</v>
      </c>
      <c r="J265" s="17"/>
      <c r="K265" s="17"/>
      <c r="L265" s="17" t="s">
        <v>7301</v>
      </c>
      <c r="M265" s="17"/>
      <c r="N265" s="15" t="s">
        <v>91</v>
      </c>
      <c r="O265" s="17" t="s">
        <v>7787</v>
      </c>
      <c r="P265" s="15" t="n">
        <v>19</v>
      </c>
    </row>
    <row r="266" customFormat="false" ht="22.35" hidden="false" customHeight="false" outlineLevel="0" collapsed="false">
      <c r="A266" s="57" t="s">
        <v>7788</v>
      </c>
      <c r="B266" s="58" t="s">
        <v>6290</v>
      </c>
      <c r="C266" s="58" t="s">
        <v>184</v>
      </c>
      <c r="D266" s="59" t="s">
        <v>7789</v>
      </c>
      <c r="E266" s="58" t="s">
        <v>222</v>
      </c>
      <c r="F266" s="60" t="s">
        <v>7790</v>
      </c>
      <c r="G266" s="58" t="s">
        <v>7791</v>
      </c>
      <c r="H266" s="58" t="s">
        <v>7299</v>
      </c>
      <c r="I266" s="58"/>
      <c r="J266" s="58"/>
      <c r="K266" s="58"/>
      <c r="L266" s="58" t="s">
        <v>7725</v>
      </c>
      <c r="M266" s="58"/>
      <c r="N266" s="61" t="s">
        <v>91</v>
      </c>
      <c r="O266" s="58" t="s">
        <v>7787</v>
      </c>
      <c r="P266" s="61" t="n">
        <v>44</v>
      </c>
    </row>
    <row r="267" customFormat="false" ht="22.35" hidden="false" customHeight="false" outlineLevel="0" collapsed="false">
      <c r="A267" s="22" t="s">
        <v>7792</v>
      </c>
      <c r="B267" s="17" t="s">
        <v>6290</v>
      </c>
      <c r="C267" s="17" t="s">
        <v>184</v>
      </c>
      <c r="D267" s="55" t="s">
        <v>7793</v>
      </c>
      <c r="E267" s="17" t="s">
        <v>224</v>
      </c>
      <c r="F267" s="56" t="s">
        <v>7794</v>
      </c>
      <c r="G267" s="17" t="s">
        <v>7795</v>
      </c>
      <c r="H267" s="17"/>
      <c r="I267" s="17"/>
      <c r="J267" s="17"/>
      <c r="K267" s="17"/>
      <c r="L267" s="17" t="s">
        <v>7796</v>
      </c>
      <c r="M267" s="17"/>
      <c r="N267" s="15" t="s">
        <v>91</v>
      </c>
      <c r="O267" s="17" t="s">
        <v>7797</v>
      </c>
      <c r="P267" s="15" t="n">
        <v>29</v>
      </c>
    </row>
    <row r="268" customFormat="false" ht="22.35" hidden="false" customHeight="false" outlineLevel="0" collapsed="false">
      <c r="A268" s="57" t="s">
        <v>7798</v>
      </c>
      <c r="B268" s="58" t="s">
        <v>6290</v>
      </c>
      <c r="C268" s="58" t="s">
        <v>184</v>
      </c>
      <c r="D268" s="59" t="s">
        <v>7799</v>
      </c>
      <c r="E268" s="58" t="s">
        <v>222</v>
      </c>
      <c r="F268" s="60" t="s">
        <v>7800</v>
      </c>
      <c r="G268" s="58" t="s">
        <v>7801</v>
      </c>
      <c r="H268" s="58" t="s">
        <v>7802</v>
      </c>
      <c r="I268" s="58" t="s">
        <v>468</v>
      </c>
      <c r="J268" s="58" t="s">
        <v>7803</v>
      </c>
      <c r="K268" s="58"/>
      <c r="L268" s="58"/>
      <c r="M268" s="58"/>
      <c r="N268" s="61" t="s">
        <v>91</v>
      </c>
      <c r="O268" s="58" t="s">
        <v>7804</v>
      </c>
      <c r="P268" s="61" t="n">
        <v>32</v>
      </c>
    </row>
    <row r="269" customFormat="false" ht="22.35" hidden="false" customHeight="false" outlineLevel="0" collapsed="false">
      <c r="A269" s="22" t="s">
        <v>7805</v>
      </c>
      <c r="B269" s="17" t="s">
        <v>6290</v>
      </c>
      <c r="C269" s="17" t="s">
        <v>184</v>
      </c>
      <c r="D269" s="55" t="s">
        <v>7806</v>
      </c>
      <c r="E269" s="17" t="s">
        <v>222</v>
      </c>
      <c r="F269" s="56" t="s">
        <v>7807</v>
      </c>
      <c r="G269" s="17" t="s">
        <v>7808</v>
      </c>
      <c r="H269" s="17" t="s">
        <v>7809</v>
      </c>
      <c r="I269" s="17"/>
      <c r="J269" s="17" t="s">
        <v>7810</v>
      </c>
      <c r="K269" s="17"/>
      <c r="L269" s="17"/>
      <c r="M269" s="17"/>
      <c r="N269" s="15" t="s">
        <v>91</v>
      </c>
      <c r="O269" s="17" t="s">
        <v>7804</v>
      </c>
      <c r="P269" s="15" t="n">
        <v>43</v>
      </c>
    </row>
    <row r="270" customFormat="false" ht="74.6" hidden="false" customHeight="false" outlineLevel="0" collapsed="false">
      <c r="A270" s="57" t="s">
        <v>7811</v>
      </c>
      <c r="B270" s="58" t="s">
        <v>6290</v>
      </c>
      <c r="C270" s="58" t="s">
        <v>185</v>
      </c>
      <c r="D270" s="59" t="s">
        <v>7812</v>
      </c>
      <c r="E270" s="58" t="s">
        <v>222</v>
      </c>
      <c r="F270" s="60" t="s">
        <v>7813</v>
      </c>
      <c r="G270" s="58" t="s">
        <v>7814</v>
      </c>
      <c r="H270" s="58" t="s">
        <v>7815</v>
      </c>
      <c r="I270" s="58" t="s">
        <v>6383</v>
      </c>
      <c r="J270" s="58" t="s">
        <v>7816</v>
      </c>
      <c r="K270" s="58" t="s">
        <v>4210</v>
      </c>
      <c r="L270" s="58" t="s">
        <v>7817</v>
      </c>
      <c r="M270" s="58" t="s">
        <v>7818</v>
      </c>
      <c r="N270" s="61" t="s">
        <v>91</v>
      </c>
      <c r="O270" s="58" t="s">
        <v>6298</v>
      </c>
      <c r="P270" s="61" t="n">
        <v>1050</v>
      </c>
    </row>
    <row r="271" customFormat="false" ht="64.15" hidden="false" customHeight="false" outlineLevel="0" collapsed="false">
      <c r="A271" s="22" t="s">
        <v>7819</v>
      </c>
      <c r="B271" s="17" t="s">
        <v>6290</v>
      </c>
      <c r="C271" s="17" t="s">
        <v>185</v>
      </c>
      <c r="D271" s="55" t="s">
        <v>7820</v>
      </c>
      <c r="E271" s="17" t="s">
        <v>222</v>
      </c>
      <c r="F271" s="56" t="s">
        <v>7821</v>
      </c>
      <c r="G271" s="17" t="s">
        <v>7822</v>
      </c>
      <c r="H271" s="17" t="s">
        <v>7815</v>
      </c>
      <c r="I271" s="17" t="s">
        <v>7823</v>
      </c>
      <c r="J271" s="17" t="s">
        <v>7824</v>
      </c>
      <c r="K271" s="17" t="s">
        <v>7825</v>
      </c>
      <c r="L271" s="17" t="s">
        <v>7826</v>
      </c>
      <c r="M271" s="17" t="s">
        <v>7827</v>
      </c>
      <c r="N271" s="15" t="s">
        <v>91</v>
      </c>
      <c r="O271" s="17" t="s">
        <v>6298</v>
      </c>
      <c r="P271" s="15" t="n">
        <v>1201</v>
      </c>
    </row>
    <row r="272" customFormat="false" ht="32.8" hidden="false" customHeight="false" outlineLevel="0" collapsed="false">
      <c r="A272" s="57" t="s">
        <v>7828</v>
      </c>
      <c r="B272" s="58" t="s">
        <v>6290</v>
      </c>
      <c r="C272" s="58" t="s">
        <v>185</v>
      </c>
      <c r="D272" s="59" t="s">
        <v>7829</v>
      </c>
      <c r="E272" s="58" t="s">
        <v>222</v>
      </c>
      <c r="F272" s="60" t="s">
        <v>7830</v>
      </c>
      <c r="G272" s="58" t="s">
        <v>7831</v>
      </c>
      <c r="H272" s="58" t="s">
        <v>7815</v>
      </c>
      <c r="I272" s="58" t="s">
        <v>6383</v>
      </c>
      <c r="J272" s="58"/>
      <c r="K272" s="58"/>
      <c r="L272" s="58" t="s">
        <v>7832</v>
      </c>
      <c r="M272" s="58" t="s">
        <v>7833</v>
      </c>
      <c r="N272" s="61" t="s">
        <v>91</v>
      </c>
      <c r="O272" s="58" t="s">
        <v>6298</v>
      </c>
      <c r="P272" s="61" t="n">
        <v>1281</v>
      </c>
    </row>
    <row r="273" customFormat="false" ht="43.25" hidden="false" customHeight="false" outlineLevel="0" collapsed="false">
      <c r="A273" s="22" t="s">
        <v>7834</v>
      </c>
      <c r="B273" s="17" t="s">
        <v>6290</v>
      </c>
      <c r="C273" s="17" t="s">
        <v>185</v>
      </c>
      <c r="D273" s="55" t="s">
        <v>7835</v>
      </c>
      <c r="E273" s="17" t="s">
        <v>222</v>
      </c>
      <c r="F273" s="56" t="s">
        <v>7836</v>
      </c>
      <c r="G273" s="17" t="s">
        <v>7837</v>
      </c>
      <c r="H273" s="17" t="s">
        <v>7815</v>
      </c>
      <c r="I273" s="17" t="s">
        <v>7823</v>
      </c>
      <c r="J273" s="17" t="s">
        <v>7838</v>
      </c>
      <c r="K273" s="17" t="s">
        <v>7825</v>
      </c>
      <c r="L273" s="17" t="s">
        <v>7839</v>
      </c>
      <c r="M273" s="17" t="s">
        <v>7840</v>
      </c>
      <c r="N273" s="15" t="s">
        <v>91</v>
      </c>
      <c r="O273" s="17" t="s">
        <v>6298</v>
      </c>
      <c r="P273" s="15" t="n">
        <v>1430</v>
      </c>
    </row>
    <row r="274" customFormat="false" ht="32.8" hidden="false" customHeight="false" outlineLevel="0" collapsed="false">
      <c r="A274" s="57" t="s">
        <v>7841</v>
      </c>
      <c r="B274" s="58" t="s">
        <v>6290</v>
      </c>
      <c r="C274" s="58" t="s">
        <v>186</v>
      </c>
      <c r="D274" s="59" t="s">
        <v>7842</v>
      </c>
      <c r="E274" s="58" t="s">
        <v>226</v>
      </c>
      <c r="F274" s="60" t="s">
        <v>7843</v>
      </c>
      <c r="G274" s="58" t="s">
        <v>7844</v>
      </c>
      <c r="H274" s="58" t="s">
        <v>7845</v>
      </c>
      <c r="I274" s="58" t="s">
        <v>7846</v>
      </c>
      <c r="J274" s="58" t="s">
        <v>7847</v>
      </c>
      <c r="K274" s="58" t="s">
        <v>6355</v>
      </c>
      <c r="L274" s="58"/>
      <c r="M274" s="58"/>
      <c r="N274" s="61" t="s">
        <v>91</v>
      </c>
      <c r="O274" s="58" t="s">
        <v>6298</v>
      </c>
      <c r="P274" s="61" t="n">
        <v>84</v>
      </c>
    </row>
    <row r="275" customFormat="false" ht="22.35" hidden="false" customHeight="false" outlineLevel="0" collapsed="false">
      <c r="A275" s="22" t="s">
        <v>7848</v>
      </c>
      <c r="B275" s="17" t="s">
        <v>6290</v>
      </c>
      <c r="C275" s="17" t="s">
        <v>186</v>
      </c>
      <c r="D275" s="55" t="s">
        <v>7849</v>
      </c>
      <c r="E275" s="17" t="s">
        <v>226</v>
      </c>
      <c r="F275" s="56" t="s">
        <v>7850</v>
      </c>
      <c r="G275" s="17" t="s">
        <v>7851</v>
      </c>
      <c r="H275" s="17"/>
      <c r="I275" s="17"/>
      <c r="J275" s="17" t="s">
        <v>7852</v>
      </c>
      <c r="K275" s="17"/>
      <c r="L275" s="17" t="s">
        <v>7853</v>
      </c>
      <c r="M275" s="17"/>
      <c r="N275" s="15" t="s">
        <v>91</v>
      </c>
      <c r="O275" s="17" t="s">
        <v>6298</v>
      </c>
      <c r="P275" s="15" t="n">
        <v>90</v>
      </c>
    </row>
    <row r="276" customFormat="false" ht="32.8" hidden="false" customHeight="false" outlineLevel="0" collapsed="false">
      <c r="A276" s="57" t="s">
        <v>7854</v>
      </c>
      <c r="B276" s="58" t="s">
        <v>6290</v>
      </c>
      <c r="C276" s="58" t="s">
        <v>186</v>
      </c>
      <c r="D276" s="59" t="s">
        <v>7855</v>
      </c>
      <c r="E276" s="58" t="s">
        <v>226</v>
      </c>
      <c r="F276" s="60" t="s">
        <v>7856</v>
      </c>
      <c r="G276" s="58" t="s">
        <v>7857</v>
      </c>
      <c r="H276" s="58"/>
      <c r="I276" s="58"/>
      <c r="J276" s="58" t="s">
        <v>7858</v>
      </c>
      <c r="K276" s="58"/>
      <c r="L276" s="58" t="s">
        <v>7859</v>
      </c>
      <c r="M276" s="58"/>
      <c r="N276" s="61" t="s">
        <v>91</v>
      </c>
      <c r="O276" s="58" t="s">
        <v>6298</v>
      </c>
      <c r="P276" s="61" t="n">
        <v>96</v>
      </c>
    </row>
    <row r="277" customFormat="false" ht="32.8" hidden="false" customHeight="false" outlineLevel="0" collapsed="false">
      <c r="A277" s="22" t="s">
        <v>7860</v>
      </c>
      <c r="B277" s="17" t="s">
        <v>6290</v>
      </c>
      <c r="C277" s="17" t="s">
        <v>186</v>
      </c>
      <c r="D277" s="55" t="s">
        <v>7861</v>
      </c>
      <c r="E277" s="17" t="s">
        <v>226</v>
      </c>
      <c r="F277" s="56" t="s">
        <v>7862</v>
      </c>
      <c r="G277" s="17" t="s">
        <v>7863</v>
      </c>
      <c r="H277" s="17"/>
      <c r="I277" s="17"/>
      <c r="J277" s="17" t="s">
        <v>7864</v>
      </c>
      <c r="K277" s="17"/>
      <c r="L277" s="17" t="s">
        <v>7865</v>
      </c>
      <c r="M277" s="17"/>
      <c r="N277" s="15" t="s">
        <v>91</v>
      </c>
      <c r="O277" s="17" t="s">
        <v>6298</v>
      </c>
      <c r="P277" s="15" t="n">
        <v>102</v>
      </c>
    </row>
    <row r="278" customFormat="false" ht="22.35" hidden="false" customHeight="false" outlineLevel="0" collapsed="false">
      <c r="A278" s="57" t="s">
        <v>7866</v>
      </c>
      <c r="B278" s="58" t="s">
        <v>6290</v>
      </c>
      <c r="C278" s="58" t="s">
        <v>186</v>
      </c>
      <c r="D278" s="59" t="s">
        <v>7867</v>
      </c>
      <c r="E278" s="58" t="s">
        <v>226</v>
      </c>
      <c r="F278" s="60" t="s">
        <v>7868</v>
      </c>
      <c r="G278" s="58" t="s">
        <v>7869</v>
      </c>
      <c r="H278" s="58"/>
      <c r="I278" s="58"/>
      <c r="J278" s="58" t="s">
        <v>7870</v>
      </c>
      <c r="K278" s="58" t="s">
        <v>6355</v>
      </c>
      <c r="L278" s="58" t="s">
        <v>7871</v>
      </c>
      <c r="M278" s="58"/>
      <c r="N278" s="61" t="s">
        <v>91</v>
      </c>
      <c r="O278" s="58" t="s">
        <v>6298</v>
      </c>
      <c r="P278" s="61" t="n">
        <v>108</v>
      </c>
    </row>
    <row r="279" customFormat="false" ht="22.35" hidden="false" customHeight="false" outlineLevel="0" collapsed="false">
      <c r="A279" s="22" t="s">
        <v>7872</v>
      </c>
      <c r="B279" s="17" t="s">
        <v>6290</v>
      </c>
      <c r="C279" s="17" t="s">
        <v>186</v>
      </c>
      <c r="D279" s="55" t="s">
        <v>7873</v>
      </c>
      <c r="E279" s="17" t="s">
        <v>226</v>
      </c>
      <c r="F279" s="56" t="s">
        <v>7874</v>
      </c>
      <c r="G279" s="17" t="s">
        <v>7875</v>
      </c>
      <c r="H279" s="17"/>
      <c r="I279" s="17"/>
      <c r="J279" s="17" t="s">
        <v>7876</v>
      </c>
      <c r="K279" s="17" t="s">
        <v>6355</v>
      </c>
      <c r="L279" s="17" t="s">
        <v>6370</v>
      </c>
      <c r="M279" s="17"/>
      <c r="N279" s="15" t="s">
        <v>91</v>
      </c>
      <c r="O279" s="17" t="s">
        <v>6298</v>
      </c>
      <c r="P279" s="15" t="n">
        <v>118</v>
      </c>
    </row>
    <row r="280" customFormat="false" ht="22.35" hidden="false" customHeight="false" outlineLevel="0" collapsed="false">
      <c r="A280" s="57" t="s">
        <v>7877</v>
      </c>
      <c r="B280" s="58" t="s">
        <v>6290</v>
      </c>
      <c r="C280" s="58" t="s">
        <v>187</v>
      </c>
      <c r="D280" s="59" t="s">
        <v>7878</v>
      </c>
      <c r="E280" s="58" t="s">
        <v>224</v>
      </c>
      <c r="F280" s="60" t="s">
        <v>7879</v>
      </c>
      <c r="G280" s="58" t="s">
        <v>7880</v>
      </c>
      <c r="H280" s="58"/>
      <c r="I280" s="58"/>
      <c r="J280" s="58"/>
      <c r="K280" s="58"/>
      <c r="L280" s="58" t="s">
        <v>7881</v>
      </c>
      <c r="M280" s="58"/>
      <c r="N280" s="61" t="s">
        <v>91</v>
      </c>
      <c r="O280" s="58" t="s">
        <v>7342</v>
      </c>
      <c r="P280" s="61" t="n">
        <v>17</v>
      </c>
    </row>
    <row r="281" customFormat="false" ht="22.35" hidden="false" customHeight="false" outlineLevel="0" collapsed="false">
      <c r="A281" s="22" t="s">
        <v>7882</v>
      </c>
      <c r="B281" s="17" t="s">
        <v>6290</v>
      </c>
      <c r="C281" s="17" t="s">
        <v>187</v>
      </c>
      <c r="D281" s="55" t="s">
        <v>7883</v>
      </c>
      <c r="E281" s="17" t="s">
        <v>224</v>
      </c>
      <c r="F281" s="56" t="s">
        <v>7884</v>
      </c>
      <c r="G281" s="17" t="s">
        <v>7885</v>
      </c>
      <c r="H281" s="17"/>
      <c r="I281" s="17"/>
      <c r="J281" s="17"/>
      <c r="K281" s="17"/>
      <c r="L281" s="17" t="s">
        <v>7886</v>
      </c>
      <c r="M281" s="17"/>
      <c r="N281" s="15" t="s">
        <v>91</v>
      </c>
      <c r="O281" s="17" t="s">
        <v>7342</v>
      </c>
      <c r="P281" s="15" t="n">
        <v>32</v>
      </c>
    </row>
    <row r="282" customFormat="false" ht="22.35" hidden="false" customHeight="false" outlineLevel="0" collapsed="false">
      <c r="A282" s="57" t="s">
        <v>7887</v>
      </c>
      <c r="B282" s="58" t="s">
        <v>6290</v>
      </c>
      <c r="C282" s="58" t="s">
        <v>187</v>
      </c>
      <c r="D282" s="59" t="s">
        <v>7878</v>
      </c>
      <c r="E282" s="58" t="s">
        <v>224</v>
      </c>
      <c r="F282" s="60" t="s">
        <v>7879</v>
      </c>
      <c r="G282" s="58" t="s">
        <v>7888</v>
      </c>
      <c r="H282" s="58"/>
      <c r="I282" s="58"/>
      <c r="J282" s="58"/>
      <c r="K282" s="58"/>
      <c r="L282" s="58" t="s">
        <v>7889</v>
      </c>
      <c r="M282" s="58" t="s">
        <v>7890</v>
      </c>
      <c r="N282" s="61" t="s">
        <v>91</v>
      </c>
      <c r="O282" s="58" t="s">
        <v>7361</v>
      </c>
      <c r="P282" s="61" t="n">
        <v>56</v>
      </c>
    </row>
    <row r="283" customFormat="false" ht="22.35" hidden="false" customHeight="false" outlineLevel="0" collapsed="false">
      <c r="A283" s="22" t="s">
        <v>7891</v>
      </c>
      <c r="B283" s="17" t="s">
        <v>6290</v>
      </c>
      <c r="C283" s="17" t="s">
        <v>187</v>
      </c>
      <c r="D283" s="55" t="s">
        <v>7883</v>
      </c>
      <c r="E283" s="17" t="s">
        <v>224</v>
      </c>
      <c r="F283" s="56" t="s">
        <v>7884</v>
      </c>
      <c r="G283" s="17" t="s">
        <v>7892</v>
      </c>
      <c r="H283" s="17"/>
      <c r="I283" s="17"/>
      <c r="J283" s="17"/>
      <c r="K283" s="17"/>
      <c r="L283" s="17" t="s">
        <v>7893</v>
      </c>
      <c r="M283" s="17" t="s">
        <v>7894</v>
      </c>
      <c r="N283" s="15" t="s">
        <v>91</v>
      </c>
      <c r="O283" s="17" t="s">
        <v>7361</v>
      </c>
      <c r="P283" s="15" t="n">
        <v>71</v>
      </c>
    </row>
    <row r="284" customFormat="false" ht="43.25" hidden="false" customHeight="false" outlineLevel="0" collapsed="false">
      <c r="A284" s="57" t="s">
        <v>7895</v>
      </c>
      <c r="B284" s="58" t="s">
        <v>6290</v>
      </c>
      <c r="C284" s="58" t="s">
        <v>187</v>
      </c>
      <c r="D284" s="59" t="s">
        <v>7896</v>
      </c>
      <c r="E284" s="58" t="s">
        <v>224</v>
      </c>
      <c r="F284" s="60" t="s">
        <v>7897</v>
      </c>
      <c r="G284" s="58" t="s">
        <v>7898</v>
      </c>
      <c r="H284" s="58" t="s">
        <v>7899</v>
      </c>
      <c r="I284" s="58"/>
      <c r="J284" s="58" t="s">
        <v>7900</v>
      </c>
      <c r="K284" s="58"/>
      <c r="L284" s="58" t="s">
        <v>7901</v>
      </c>
      <c r="M284" s="58" t="s">
        <v>7902</v>
      </c>
      <c r="N284" s="61" t="s">
        <v>91</v>
      </c>
      <c r="O284" s="58" t="s">
        <v>7361</v>
      </c>
      <c r="P284" s="61" t="n">
        <v>89</v>
      </c>
    </row>
    <row r="285" customFormat="false" ht="22.35" hidden="false" customHeight="false" outlineLevel="0" collapsed="false">
      <c r="A285" s="22" t="s">
        <v>7903</v>
      </c>
      <c r="B285" s="17" t="s">
        <v>6290</v>
      </c>
      <c r="C285" s="17" t="s">
        <v>187</v>
      </c>
      <c r="D285" s="55" t="s">
        <v>7904</v>
      </c>
      <c r="E285" s="17" t="s">
        <v>224</v>
      </c>
      <c r="F285" s="56" t="s">
        <v>7905</v>
      </c>
      <c r="G285" s="17" t="s">
        <v>7906</v>
      </c>
      <c r="H285" s="17"/>
      <c r="I285" s="17"/>
      <c r="J285" s="17"/>
      <c r="K285" s="17"/>
      <c r="L285" s="17"/>
      <c r="M285" s="17" t="s">
        <v>7907</v>
      </c>
      <c r="N285" s="15" t="s">
        <v>91</v>
      </c>
      <c r="O285" s="17" t="s">
        <v>7361</v>
      </c>
      <c r="P285" s="15" t="n">
        <v>90</v>
      </c>
    </row>
    <row r="286" customFormat="false" ht="22.35" hidden="false" customHeight="false" outlineLevel="0" collapsed="false">
      <c r="A286" s="57" t="s">
        <v>7908</v>
      </c>
      <c r="B286" s="58" t="s">
        <v>6290</v>
      </c>
      <c r="C286" s="58" t="s">
        <v>187</v>
      </c>
      <c r="D286" s="59" t="s">
        <v>7909</v>
      </c>
      <c r="E286" s="58" t="s">
        <v>224</v>
      </c>
      <c r="F286" s="60" t="s">
        <v>7910</v>
      </c>
      <c r="G286" s="58" t="s">
        <v>7911</v>
      </c>
      <c r="H286" s="58"/>
      <c r="I286" s="58"/>
      <c r="J286" s="58"/>
      <c r="K286" s="58" t="s">
        <v>1046</v>
      </c>
      <c r="L286" s="58"/>
      <c r="M286" s="58"/>
      <c r="N286" s="61" t="s">
        <v>91</v>
      </c>
      <c r="O286" s="58" t="s">
        <v>7361</v>
      </c>
      <c r="P286" s="61" t="n">
        <v>92</v>
      </c>
    </row>
    <row r="287" customFormat="false" ht="22.35" hidden="false" customHeight="false" outlineLevel="0" collapsed="false">
      <c r="A287" s="22" t="s">
        <v>7912</v>
      </c>
      <c r="B287" s="17" t="s">
        <v>6290</v>
      </c>
      <c r="C287" s="17" t="s">
        <v>187</v>
      </c>
      <c r="D287" s="55" t="s">
        <v>7878</v>
      </c>
      <c r="E287" s="17" t="s">
        <v>224</v>
      </c>
      <c r="F287" s="56" t="s">
        <v>7879</v>
      </c>
      <c r="G287" s="17" t="s">
        <v>7913</v>
      </c>
      <c r="H287" s="17"/>
      <c r="I287" s="17"/>
      <c r="J287" s="17"/>
      <c r="K287" s="17"/>
      <c r="L287" s="17" t="s">
        <v>7914</v>
      </c>
      <c r="M287" s="17"/>
      <c r="N287" s="15" t="s">
        <v>91</v>
      </c>
      <c r="O287" s="17" t="s">
        <v>6677</v>
      </c>
      <c r="P287" s="15" t="n">
        <v>65</v>
      </c>
    </row>
    <row r="288" customFormat="false" ht="22.35" hidden="false" customHeight="false" outlineLevel="0" collapsed="false">
      <c r="A288" s="57" t="s">
        <v>7915</v>
      </c>
      <c r="B288" s="58" t="s">
        <v>6290</v>
      </c>
      <c r="C288" s="58" t="s">
        <v>187</v>
      </c>
      <c r="D288" s="59" t="s">
        <v>7883</v>
      </c>
      <c r="E288" s="58" t="s">
        <v>224</v>
      </c>
      <c r="F288" s="60" t="s">
        <v>7884</v>
      </c>
      <c r="G288" s="58" t="s">
        <v>7916</v>
      </c>
      <c r="H288" s="58"/>
      <c r="I288" s="58"/>
      <c r="J288" s="58"/>
      <c r="K288" s="58"/>
      <c r="L288" s="58" t="s">
        <v>6980</v>
      </c>
      <c r="M288" s="58" t="s">
        <v>7917</v>
      </c>
      <c r="N288" s="61" t="s">
        <v>91</v>
      </c>
      <c r="O288" s="58" t="s">
        <v>6677</v>
      </c>
      <c r="P288" s="61" t="n">
        <v>79</v>
      </c>
    </row>
    <row r="289" customFormat="false" ht="22.35" hidden="false" customHeight="false" outlineLevel="0" collapsed="false">
      <c r="A289" s="22" t="s">
        <v>7918</v>
      </c>
      <c r="B289" s="17" t="s">
        <v>6290</v>
      </c>
      <c r="C289" s="17" t="s">
        <v>187</v>
      </c>
      <c r="D289" s="55" t="s">
        <v>7896</v>
      </c>
      <c r="E289" s="17" t="s">
        <v>224</v>
      </c>
      <c r="F289" s="56" t="s">
        <v>7897</v>
      </c>
      <c r="G289" s="17" t="s">
        <v>7919</v>
      </c>
      <c r="H289" s="17" t="s">
        <v>7920</v>
      </c>
      <c r="I289" s="17"/>
      <c r="J289" s="17"/>
      <c r="K289" s="17"/>
      <c r="L289" s="17" t="s">
        <v>7921</v>
      </c>
      <c r="M289" s="17"/>
      <c r="N289" s="15" t="s">
        <v>91</v>
      </c>
      <c r="O289" s="17" t="s">
        <v>6677</v>
      </c>
      <c r="P289" s="15" t="n">
        <v>100</v>
      </c>
    </row>
    <row r="290" customFormat="false" ht="22.35" hidden="false" customHeight="false" outlineLevel="0" collapsed="false">
      <c r="A290" s="57" t="s">
        <v>7922</v>
      </c>
      <c r="B290" s="58" t="s">
        <v>6290</v>
      </c>
      <c r="C290" s="58" t="s">
        <v>187</v>
      </c>
      <c r="D290" s="59" t="s">
        <v>7923</v>
      </c>
      <c r="E290" s="58" t="s">
        <v>224</v>
      </c>
      <c r="F290" s="60" t="s">
        <v>7924</v>
      </c>
      <c r="G290" s="58" t="s">
        <v>7925</v>
      </c>
      <c r="H290" s="58"/>
      <c r="I290" s="58"/>
      <c r="J290" s="58"/>
      <c r="K290" s="58"/>
      <c r="L290" s="58" t="s">
        <v>7926</v>
      </c>
      <c r="M290" s="58"/>
      <c r="N290" s="61" t="s">
        <v>91</v>
      </c>
      <c r="O290" s="58" t="s">
        <v>6677</v>
      </c>
      <c r="P290" s="61" t="n">
        <v>138</v>
      </c>
    </row>
    <row r="291" customFormat="false" ht="22.35" hidden="false" customHeight="false" outlineLevel="0" collapsed="false">
      <c r="A291" s="22" t="s">
        <v>7927</v>
      </c>
      <c r="B291" s="17" t="s">
        <v>6290</v>
      </c>
      <c r="C291" s="17" t="s">
        <v>187</v>
      </c>
      <c r="D291" s="55" t="s">
        <v>7928</v>
      </c>
      <c r="E291" s="17" t="s">
        <v>223</v>
      </c>
      <c r="F291" s="56" t="s">
        <v>7929</v>
      </c>
      <c r="G291" s="17" t="s">
        <v>7930</v>
      </c>
      <c r="H291" s="17"/>
      <c r="I291" s="17" t="s">
        <v>6515</v>
      </c>
      <c r="J291" s="17"/>
      <c r="K291" s="17"/>
      <c r="L291" s="17" t="s">
        <v>7931</v>
      </c>
      <c r="M291" s="17" t="s">
        <v>7932</v>
      </c>
      <c r="N291" s="15" t="s">
        <v>91</v>
      </c>
      <c r="O291" s="17" t="s">
        <v>7390</v>
      </c>
      <c r="P291" s="15" t="n">
        <v>36</v>
      </c>
    </row>
    <row r="292" customFormat="false" ht="22.35" hidden="false" customHeight="false" outlineLevel="0" collapsed="false">
      <c r="A292" s="57" t="s">
        <v>7933</v>
      </c>
      <c r="B292" s="58" t="s">
        <v>6290</v>
      </c>
      <c r="C292" s="58" t="s">
        <v>187</v>
      </c>
      <c r="D292" s="59" t="s">
        <v>7934</v>
      </c>
      <c r="E292" s="58" t="s">
        <v>223</v>
      </c>
      <c r="F292" s="60" t="s">
        <v>7935</v>
      </c>
      <c r="G292" s="58" t="s">
        <v>7936</v>
      </c>
      <c r="H292" s="58"/>
      <c r="I292" s="58" t="s">
        <v>7235</v>
      </c>
      <c r="J292" s="58"/>
      <c r="K292" s="58"/>
      <c r="L292" s="58" t="s">
        <v>7937</v>
      </c>
      <c r="M292" s="58" t="s">
        <v>7938</v>
      </c>
      <c r="N292" s="61" t="s">
        <v>91</v>
      </c>
      <c r="O292" s="58" t="s">
        <v>7390</v>
      </c>
      <c r="P292" s="61" t="n">
        <v>37</v>
      </c>
    </row>
    <row r="293" customFormat="false" ht="32.8" hidden="false" customHeight="false" outlineLevel="0" collapsed="false">
      <c r="A293" s="22" t="s">
        <v>7939</v>
      </c>
      <c r="B293" s="17" t="s">
        <v>6290</v>
      </c>
      <c r="C293" s="17" t="s">
        <v>187</v>
      </c>
      <c r="D293" s="55" t="s">
        <v>7940</v>
      </c>
      <c r="E293" s="17" t="s">
        <v>223</v>
      </c>
      <c r="F293" s="56" t="s">
        <v>7941</v>
      </c>
      <c r="G293" s="17" t="s">
        <v>7942</v>
      </c>
      <c r="H293" s="17"/>
      <c r="I293" s="17" t="s">
        <v>6515</v>
      </c>
      <c r="J293" s="17"/>
      <c r="K293" s="17"/>
      <c r="L293" s="17" t="s">
        <v>7943</v>
      </c>
      <c r="M293" s="17" t="s">
        <v>7944</v>
      </c>
      <c r="N293" s="15" t="s">
        <v>91</v>
      </c>
      <c r="O293" s="17" t="s">
        <v>7390</v>
      </c>
      <c r="P293" s="15" t="n">
        <v>40</v>
      </c>
    </row>
    <row r="294" customFormat="false" ht="22.35" hidden="false" customHeight="false" outlineLevel="0" collapsed="false">
      <c r="A294" s="57" t="s">
        <v>7945</v>
      </c>
      <c r="B294" s="58" t="s">
        <v>6290</v>
      </c>
      <c r="C294" s="58" t="s">
        <v>187</v>
      </c>
      <c r="D294" s="59" t="s">
        <v>7946</v>
      </c>
      <c r="E294" s="58" t="s">
        <v>223</v>
      </c>
      <c r="F294" s="60" t="s">
        <v>7947</v>
      </c>
      <c r="G294" s="58" t="s">
        <v>7948</v>
      </c>
      <c r="H294" s="58"/>
      <c r="I294" s="58" t="s">
        <v>7235</v>
      </c>
      <c r="J294" s="58"/>
      <c r="K294" s="58"/>
      <c r="L294" s="58"/>
      <c r="M294" s="58" t="s">
        <v>7949</v>
      </c>
      <c r="N294" s="61" t="s">
        <v>91</v>
      </c>
      <c r="O294" s="58" t="s">
        <v>7390</v>
      </c>
      <c r="P294" s="61" t="n">
        <v>41</v>
      </c>
    </row>
    <row r="295" customFormat="false" ht="22.35" hidden="false" customHeight="false" outlineLevel="0" collapsed="false">
      <c r="A295" s="22" t="s">
        <v>7950</v>
      </c>
      <c r="B295" s="17" t="s">
        <v>6290</v>
      </c>
      <c r="C295" s="17" t="s">
        <v>187</v>
      </c>
      <c r="D295" s="55" t="s">
        <v>7951</v>
      </c>
      <c r="E295" s="17" t="s">
        <v>223</v>
      </c>
      <c r="F295" s="56" t="s">
        <v>7952</v>
      </c>
      <c r="G295" s="17" t="s">
        <v>7953</v>
      </c>
      <c r="H295" s="17"/>
      <c r="I295" s="17" t="s">
        <v>7954</v>
      </c>
      <c r="J295" s="17"/>
      <c r="K295" s="17"/>
      <c r="L295" s="17" t="s">
        <v>7955</v>
      </c>
      <c r="M295" s="17"/>
      <c r="N295" s="15" t="s">
        <v>91</v>
      </c>
      <c r="O295" s="17" t="s">
        <v>7390</v>
      </c>
      <c r="P295" s="15" t="n">
        <v>44</v>
      </c>
    </row>
    <row r="296" customFormat="false" ht="22.35" hidden="false" customHeight="false" outlineLevel="0" collapsed="false">
      <c r="A296" s="57" t="s">
        <v>7956</v>
      </c>
      <c r="B296" s="58" t="s">
        <v>6290</v>
      </c>
      <c r="C296" s="58" t="s">
        <v>187</v>
      </c>
      <c r="D296" s="59" t="s">
        <v>7957</v>
      </c>
      <c r="E296" s="58" t="s">
        <v>223</v>
      </c>
      <c r="F296" s="60" t="s">
        <v>7958</v>
      </c>
      <c r="G296" s="58" t="s">
        <v>7959</v>
      </c>
      <c r="H296" s="58"/>
      <c r="I296" s="58" t="s">
        <v>6515</v>
      </c>
      <c r="J296" s="58"/>
      <c r="K296" s="58"/>
      <c r="L296" s="58" t="s">
        <v>7960</v>
      </c>
      <c r="M296" s="58" t="s">
        <v>7961</v>
      </c>
      <c r="N296" s="61" t="s">
        <v>91</v>
      </c>
      <c r="O296" s="58" t="s">
        <v>7390</v>
      </c>
      <c r="P296" s="61" t="n">
        <v>45</v>
      </c>
    </row>
    <row r="297" customFormat="false" ht="22.35" hidden="false" customHeight="false" outlineLevel="0" collapsed="false">
      <c r="A297" s="22" t="s">
        <v>7962</v>
      </c>
      <c r="B297" s="17" t="s">
        <v>6290</v>
      </c>
      <c r="C297" s="17" t="s">
        <v>187</v>
      </c>
      <c r="D297" s="55" t="s">
        <v>7963</v>
      </c>
      <c r="E297" s="17" t="s">
        <v>223</v>
      </c>
      <c r="F297" s="56" t="s">
        <v>7964</v>
      </c>
      <c r="G297" s="17" t="s">
        <v>7965</v>
      </c>
      <c r="H297" s="17"/>
      <c r="I297" s="17" t="s">
        <v>7235</v>
      </c>
      <c r="J297" s="17"/>
      <c r="K297" s="17"/>
      <c r="L297" s="17"/>
      <c r="M297" s="17" t="s">
        <v>7966</v>
      </c>
      <c r="N297" s="15" t="s">
        <v>91</v>
      </c>
      <c r="O297" s="17" t="s">
        <v>7390</v>
      </c>
      <c r="P297" s="15" t="n">
        <v>46</v>
      </c>
    </row>
    <row r="298" customFormat="false" ht="22.35" hidden="false" customHeight="false" outlineLevel="0" collapsed="false">
      <c r="A298" s="57" t="s">
        <v>7967</v>
      </c>
      <c r="B298" s="58" t="s">
        <v>6290</v>
      </c>
      <c r="C298" s="58" t="s">
        <v>187</v>
      </c>
      <c r="D298" s="59" t="s">
        <v>7968</v>
      </c>
      <c r="E298" s="58" t="s">
        <v>223</v>
      </c>
      <c r="F298" s="60" t="s">
        <v>7969</v>
      </c>
      <c r="G298" s="58" t="s">
        <v>7970</v>
      </c>
      <c r="H298" s="58"/>
      <c r="I298" s="58" t="s">
        <v>7971</v>
      </c>
      <c r="J298" s="58"/>
      <c r="K298" s="58"/>
      <c r="L298" s="58"/>
      <c r="M298" s="58" t="s">
        <v>7966</v>
      </c>
      <c r="N298" s="61" t="s">
        <v>91</v>
      </c>
      <c r="O298" s="58" t="s">
        <v>7390</v>
      </c>
      <c r="P298" s="61" t="n">
        <v>47</v>
      </c>
    </row>
    <row r="299" customFormat="false" ht="43.25" hidden="false" customHeight="false" outlineLevel="0" collapsed="false">
      <c r="A299" s="22" t="s">
        <v>7972</v>
      </c>
      <c r="B299" s="17" t="s">
        <v>6290</v>
      </c>
      <c r="C299" s="17" t="s">
        <v>187</v>
      </c>
      <c r="D299" s="55" t="s">
        <v>7878</v>
      </c>
      <c r="E299" s="17" t="s">
        <v>224</v>
      </c>
      <c r="F299" s="56" t="s">
        <v>7879</v>
      </c>
      <c r="G299" s="17" t="s">
        <v>7973</v>
      </c>
      <c r="H299" s="17" t="s">
        <v>7974</v>
      </c>
      <c r="I299" s="17" t="s">
        <v>7975</v>
      </c>
      <c r="J299" s="17" t="s">
        <v>7976</v>
      </c>
      <c r="K299" s="17" t="s">
        <v>1046</v>
      </c>
      <c r="L299" s="17" t="s">
        <v>7337</v>
      </c>
      <c r="M299" s="17" t="s">
        <v>7977</v>
      </c>
      <c r="N299" s="15" t="s">
        <v>91</v>
      </c>
      <c r="O299" s="17" t="s">
        <v>7390</v>
      </c>
      <c r="P299" s="15" t="n">
        <v>57</v>
      </c>
    </row>
    <row r="300" customFormat="false" ht="43.25" hidden="false" customHeight="false" outlineLevel="0" collapsed="false">
      <c r="A300" s="57" t="s">
        <v>7978</v>
      </c>
      <c r="B300" s="58" t="s">
        <v>6290</v>
      </c>
      <c r="C300" s="58" t="s">
        <v>187</v>
      </c>
      <c r="D300" s="59" t="s">
        <v>7979</v>
      </c>
      <c r="E300" s="58" t="s">
        <v>224</v>
      </c>
      <c r="F300" s="60" t="s">
        <v>7980</v>
      </c>
      <c r="G300" s="58" t="s">
        <v>7981</v>
      </c>
      <c r="H300" s="58" t="s">
        <v>7982</v>
      </c>
      <c r="I300" s="58"/>
      <c r="J300" s="58"/>
      <c r="K300" s="58"/>
      <c r="L300" s="58"/>
      <c r="M300" s="58" t="s">
        <v>7983</v>
      </c>
      <c r="N300" s="61" t="s">
        <v>91</v>
      </c>
      <c r="O300" s="58" t="s">
        <v>7390</v>
      </c>
      <c r="P300" s="61" t="n">
        <v>59</v>
      </c>
    </row>
    <row r="301" customFormat="false" ht="43.25" hidden="false" customHeight="false" outlineLevel="0" collapsed="false">
      <c r="A301" s="22" t="s">
        <v>7984</v>
      </c>
      <c r="B301" s="17" t="s">
        <v>6290</v>
      </c>
      <c r="C301" s="17" t="s">
        <v>187</v>
      </c>
      <c r="D301" s="55" t="s">
        <v>7985</v>
      </c>
      <c r="E301" s="17" t="s">
        <v>224</v>
      </c>
      <c r="F301" s="56" t="s">
        <v>7986</v>
      </c>
      <c r="G301" s="17" t="s">
        <v>7987</v>
      </c>
      <c r="H301" s="17"/>
      <c r="I301" s="17"/>
      <c r="J301" s="17"/>
      <c r="K301" s="17" t="s">
        <v>1046</v>
      </c>
      <c r="L301" s="17"/>
      <c r="M301" s="17" t="s">
        <v>7988</v>
      </c>
      <c r="N301" s="15" t="s">
        <v>91</v>
      </c>
      <c r="O301" s="17" t="s">
        <v>7390</v>
      </c>
      <c r="P301" s="15" t="n">
        <v>60</v>
      </c>
    </row>
    <row r="302" customFormat="false" ht="22.35" hidden="false" customHeight="false" outlineLevel="0" collapsed="false">
      <c r="A302" s="57" t="s">
        <v>7989</v>
      </c>
      <c r="B302" s="58" t="s">
        <v>6290</v>
      </c>
      <c r="C302" s="58" t="s">
        <v>187</v>
      </c>
      <c r="D302" s="59" t="s">
        <v>7990</v>
      </c>
      <c r="E302" s="58" t="s">
        <v>224</v>
      </c>
      <c r="F302" s="60" t="s">
        <v>7991</v>
      </c>
      <c r="G302" s="58" t="s">
        <v>7992</v>
      </c>
      <c r="H302" s="58" t="s">
        <v>7993</v>
      </c>
      <c r="I302" s="58"/>
      <c r="J302" s="58"/>
      <c r="K302" s="58"/>
      <c r="L302" s="58"/>
      <c r="M302" s="58"/>
      <c r="N302" s="61" t="s">
        <v>91</v>
      </c>
      <c r="O302" s="58" t="s">
        <v>7390</v>
      </c>
      <c r="P302" s="61" t="n">
        <v>61</v>
      </c>
    </row>
    <row r="303" customFormat="false" ht="22.35" hidden="false" customHeight="false" outlineLevel="0" collapsed="false">
      <c r="A303" s="22" t="s">
        <v>7994</v>
      </c>
      <c r="B303" s="17" t="s">
        <v>6290</v>
      </c>
      <c r="C303" s="17" t="s">
        <v>187</v>
      </c>
      <c r="D303" s="55" t="s">
        <v>7995</v>
      </c>
      <c r="E303" s="17" t="s">
        <v>224</v>
      </c>
      <c r="F303" s="56" t="s">
        <v>7996</v>
      </c>
      <c r="G303" s="17" t="s">
        <v>7997</v>
      </c>
      <c r="H303" s="17" t="s">
        <v>7998</v>
      </c>
      <c r="I303" s="17"/>
      <c r="J303" s="17"/>
      <c r="K303" s="17"/>
      <c r="L303" s="17"/>
      <c r="M303" s="17" t="s">
        <v>7999</v>
      </c>
      <c r="N303" s="15" t="s">
        <v>91</v>
      </c>
      <c r="O303" s="17" t="s">
        <v>7390</v>
      </c>
      <c r="P303" s="15" t="n">
        <v>62</v>
      </c>
    </row>
    <row r="304" customFormat="false" ht="32.8" hidden="false" customHeight="false" outlineLevel="0" collapsed="false">
      <c r="A304" s="57" t="s">
        <v>8000</v>
      </c>
      <c r="B304" s="58" t="s">
        <v>6290</v>
      </c>
      <c r="C304" s="58" t="s">
        <v>187</v>
      </c>
      <c r="D304" s="59" t="s">
        <v>8001</v>
      </c>
      <c r="E304" s="58" t="s">
        <v>224</v>
      </c>
      <c r="F304" s="60" t="s">
        <v>8002</v>
      </c>
      <c r="G304" s="58" t="s">
        <v>8003</v>
      </c>
      <c r="H304" s="58"/>
      <c r="I304" s="58"/>
      <c r="J304" s="58"/>
      <c r="K304" s="58"/>
      <c r="L304" s="58"/>
      <c r="M304" s="58" t="s">
        <v>8004</v>
      </c>
      <c r="N304" s="61" t="s">
        <v>91</v>
      </c>
      <c r="O304" s="58" t="s">
        <v>7390</v>
      </c>
      <c r="P304" s="61" t="n">
        <v>63</v>
      </c>
    </row>
    <row r="305" customFormat="false" ht="22.35" hidden="false" customHeight="false" outlineLevel="0" collapsed="false">
      <c r="A305" s="22" t="s">
        <v>8005</v>
      </c>
      <c r="B305" s="17" t="s">
        <v>6290</v>
      </c>
      <c r="C305" s="17" t="s">
        <v>187</v>
      </c>
      <c r="D305" s="55" t="s">
        <v>8006</v>
      </c>
      <c r="E305" s="17" t="s">
        <v>224</v>
      </c>
      <c r="F305" s="56" t="s">
        <v>8007</v>
      </c>
      <c r="G305" s="17" t="s">
        <v>8008</v>
      </c>
      <c r="H305" s="17"/>
      <c r="I305" s="17"/>
      <c r="J305" s="17"/>
      <c r="K305" s="17" t="s">
        <v>1046</v>
      </c>
      <c r="L305" s="17"/>
      <c r="M305" s="17"/>
      <c r="N305" s="15" t="s">
        <v>91</v>
      </c>
      <c r="O305" s="17" t="s">
        <v>7390</v>
      </c>
      <c r="P305" s="15" t="n">
        <v>64</v>
      </c>
    </row>
    <row r="306" customFormat="false" ht="32.8" hidden="false" customHeight="false" outlineLevel="0" collapsed="false">
      <c r="A306" s="57" t="s">
        <v>8009</v>
      </c>
      <c r="B306" s="58" t="s">
        <v>6290</v>
      </c>
      <c r="C306" s="58" t="s">
        <v>187</v>
      </c>
      <c r="D306" s="59" t="s">
        <v>8010</v>
      </c>
      <c r="E306" s="58" t="s">
        <v>224</v>
      </c>
      <c r="F306" s="60" t="s">
        <v>8011</v>
      </c>
      <c r="G306" s="58" t="s">
        <v>8012</v>
      </c>
      <c r="H306" s="58"/>
      <c r="I306" s="58" t="s">
        <v>8013</v>
      </c>
      <c r="J306" s="58"/>
      <c r="K306" s="58"/>
      <c r="L306" s="58"/>
      <c r="M306" s="58" t="s">
        <v>8014</v>
      </c>
      <c r="N306" s="61" t="s">
        <v>91</v>
      </c>
      <c r="O306" s="58" t="s">
        <v>7390</v>
      </c>
      <c r="P306" s="61" t="n">
        <v>67</v>
      </c>
    </row>
    <row r="307" customFormat="false" ht="32.8" hidden="false" customHeight="false" outlineLevel="0" collapsed="false">
      <c r="A307" s="22" t="s">
        <v>8015</v>
      </c>
      <c r="B307" s="17" t="s">
        <v>6290</v>
      </c>
      <c r="C307" s="17" t="s">
        <v>187</v>
      </c>
      <c r="D307" s="55" t="s">
        <v>8016</v>
      </c>
      <c r="E307" s="17" t="s">
        <v>224</v>
      </c>
      <c r="F307" s="56" t="s">
        <v>8017</v>
      </c>
      <c r="G307" s="17" t="s">
        <v>8018</v>
      </c>
      <c r="H307" s="17"/>
      <c r="I307" s="17" t="s">
        <v>8019</v>
      </c>
      <c r="J307" s="17"/>
      <c r="K307" s="17"/>
      <c r="L307" s="17"/>
      <c r="M307" s="17" t="s">
        <v>8020</v>
      </c>
      <c r="N307" s="15" t="s">
        <v>91</v>
      </c>
      <c r="O307" s="17" t="s">
        <v>7390</v>
      </c>
      <c r="P307" s="15" t="n">
        <v>68</v>
      </c>
    </row>
    <row r="308" customFormat="false" ht="32.8" hidden="false" customHeight="false" outlineLevel="0" collapsed="false">
      <c r="A308" s="57" t="s">
        <v>8021</v>
      </c>
      <c r="B308" s="58" t="s">
        <v>6290</v>
      </c>
      <c r="C308" s="58" t="s">
        <v>187</v>
      </c>
      <c r="D308" s="59" t="s">
        <v>7883</v>
      </c>
      <c r="E308" s="58" t="s">
        <v>224</v>
      </c>
      <c r="F308" s="60" t="s">
        <v>7884</v>
      </c>
      <c r="G308" s="58" t="s">
        <v>8022</v>
      </c>
      <c r="H308" s="58" t="s">
        <v>8023</v>
      </c>
      <c r="I308" s="58"/>
      <c r="J308" s="58" t="s">
        <v>8024</v>
      </c>
      <c r="K308" s="58" t="s">
        <v>1046</v>
      </c>
      <c r="L308" s="58" t="s">
        <v>7353</v>
      </c>
      <c r="M308" s="58"/>
      <c r="N308" s="61" t="s">
        <v>91</v>
      </c>
      <c r="O308" s="58" t="s">
        <v>7390</v>
      </c>
      <c r="P308" s="61" t="n">
        <v>71</v>
      </c>
    </row>
    <row r="309" customFormat="false" ht="22.35" hidden="false" customHeight="false" outlineLevel="0" collapsed="false">
      <c r="A309" s="22" t="s">
        <v>8025</v>
      </c>
      <c r="B309" s="17" t="s">
        <v>6290</v>
      </c>
      <c r="C309" s="17" t="s">
        <v>187</v>
      </c>
      <c r="D309" s="55" t="s">
        <v>8026</v>
      </c>
      <c r="E309" s="17" t="s">
        <v>224</v>
      </c>
      <c r="F309" s="56" t="s">
        <v>7980</v>
      </c>
      <c r="G309" s="17" t="s">
        <v>8027</v>
      </c>
      <c r="H309" s="17"/>
      <c r="I309" s="17"/>
      <c r="J309" s="17"/>
      <c r="K309" s="17"/>
      <c r="L309" s="17"/>
      <c r="M309" s="17" t="s">
        <v>8028</v>
      </c>
      <c r="N309" s="15" t="s">
        <v>91</v>
      </c>
      <c r="O309" s="17" t="s">
        <v>7390</v>
      </c>
      <c r="P309" s="15" t="n">
        <v>72</v>
      </c>
    </row>
    <row r="310" customFormat="false" ht="22.35" hidden="false" customHeight="false" outlineLevel="0" collapsed="false">
      <c r="A310" s="57" t="s">
        <v>8029</v>
      </c>
      <c r="B310" s="58" t="s">
        <v>6290</v>
      </c>
      <c r="C310" s="58" t="s">
        <v>187</v>
      </c>
      <c r="D310" s="59" t="s">
        <v>8030</v>
      </c>
      <c r="E310" s="58" t="s">
        <v>224</v>
      </c>
      <c r="F310" s="60" t="s">
        <v>7986</v>
      </c>
      <c r="G310" s="58" t="s">
        <v>8031</v>
      </c>
      <c r="H310" s="58"/>
      <c r="I310" s="58"/>
      <c r="J310" s="58"/>
      <c r="K310" s="58" t="s">
        <v>1046</v>
      </c>
      <c r="L310" s="58"/>
      <c r="M310" s="58" t="s">
        <v>8032</v>
      </c>
      <c r="N310" s="61" t="s">
        <v>91</v>
      </c>
      <c r="O310" s="58" t="s">
        <v>7390</v>
      </c>
      <c r="P310" s="61" t="n">
        <v>73</v>
      </c>
    </row>
    <row r="311" customFormat="false" ht="22.35" hidden="false" customHeight="false" outlineLevel="0" collapsed="false">
      <c r="A311" s="22" t="s">
        <v>8033</v>
      </c>
      <c r="B311" s="17" t="s">
        <v>6290</v>
      </c>
      <c r="C311" s="17" t="s">
        <v>187</v>
      </c>
      <c r="D311" s="55" t="s">
        <v>8034</v>
      </c>
      <c r="E311" s="17" t="s">
        <v>224</v>
      </c>
      <c r="F311" s="56" t="s">
        <v>8035</v>
      </c>
      <c r="G311" s="17" t="s">
        <v>8036</v>
      </c>
      <c r="H311" s="17"/>
      <c r="I311" s="17"/>
      <c r="J311" s="17"/>
      <c r="K311" s="17"/>
      <c r="L311" s="17"/>
      <c r="M311" s="17" t="s">
        <v>8037</v>
      </c>
      <c r="N311" s="15" t="s">
        <v>91</v>
      </c>
      <c r="O311" s="17" t="s">
        <v>7390</v>
      </c>
      <c r="P311" s="15" t="n">
        <v>74</v>
      </c>
    </row>
    <row r="312" customFormat="false" ht="22.35" hidden="false" customHeight="false" outlineLevel="0" collapsed="false">
      <c r="A312" s="57" t="s">
        <v>8038</v>
      </c>
      <c r="B312" s="58" t="s">
        <v>6290</v>
      </c>
      <c r="C312" s="58" t="s">
        <v>187</v>
      </c>
      <c r="D312" s="59" t="s">
        <v>8039</v>
      </c>
      <c r="E312" s="58" t="s">
        <v>224</v>
      </c>
      <c r="F312" s="60" t="s">
        <v>8040</v>
      </c>
      <c r="G312" s="58" t="s">
        <v>8041</v>
      </c>
      <c r="H312" s="58"/>
      <c r="I312" s="58"/>
      <c r="J312" s="58"/>
      <c r="K312" s="58"/>
      <c r="L312" s="58"/>
      <c r="M312" s="58" t="s">
        <v>8042</v>
      </c>
      <c r="N312" s="61" t="s">
        <v>91</v>
      </c>
      <c r="O312" s="58" t="s">
        <v>7390</v>
      </c>
      <c r="P312" s="61" t="n">
        <v>75</v>
      </c>
    </row>
    <row r="313" customFormat="false" ht="22.35" hidden="false" customHeight="false" outlineLevel="0" collapsed="false">
      <c r="A313" s="22" t="s">
        <v>8043</v>
      </c>
      <c r="B313" s="17" t="s">
        <v>6290</v>
      </c>
      <c r="C313" s="17" t="s">
        <v>187</v>
      </c>
      <c r="D313" s="55" t="s">
        <v>8044</v>
      </c>
      <c r="E313" s="17" t="s">
        <v>224</v>
      </c>
      <c r="F313" s="56" t="s">
        <v>8017</v>
      </c>
      <c r="G313" s="17" t="s">
        <v>8045</v>
      </c>
      <c r="H313" s="17"/>
      <c r="I313" s="17" t="s">
        <v>8046</v>
      </c>
      <c r="J313" s="17"/>
      <c r="K313" s="17"/>
      <c r="L313" s="17"/>
      <c r="M313" s="17"/>
      <c r="N313" s="15" t="s">
        <v>91</v>
      </c>
      <c r="O313" s="17" t="s">
        <v>7390</v>
      </c>
      <c r="P313" s="15" t="n">
        <v>76</v>
      </c>
    </row>
    <row r="314" customFormat="false" ht="22.35" hidden="false" customHeight="false" outlineLevel="0" collapsed="false">
      <c r="A314" s="57" t="s">
        <v>8047</v>
      </c>
      <c r="B314" s="58" t="s">
        <v>6290</v>
      </c>
      <c r="C314" s="58" t="s">
        <v>187</v>
      </c>
      <c r="D314" s="59" t="s">
        <v>8048</v>
      </c>
      <c r="E314" s="58" t="s">
        <v>224</v>
      </c>
      <c r="F314" s="60" t="s">
        <v>8049</v>
      </c>
      <c r="G314" s="58" t="s">
        <v>8050</v>
      </c>
      <c r="H314" s="58"/>
      <c r="I314" s="58"/>
      <c r="J314" s="58"/>
      <c r="K314" s="58"/>
      <c r="L314" s="58"/>
      <c r="M314" s="58" t="s">
        <v>8051</v>
      </c>
      <c r="N314" s="61" t="s">
        <v>91</v>
      </c>
      <c r="O314" s="58" t="s">
        <v>7390</v>
      </c>
      <c r="P314" s="61" t="n">
        <v>77</v>
      </c>
    </row>
    <row r="315" customFormat="false" ht="22.35" hidden="false" customHeight="false" outlineLevel="0" collapsed="false">
      <c r="A315" s="22" t="s">
        <v>8052</v>
      </c>
      <c r="B315" s="17" t="s">
        <v>6290</v>
      </c>
      <c r="C315" s="17" t="s">
        <v>187</v>
      </c>
      <c r="D315" s="55" t="s">
        <v>7923</v>
      </c>
      <c r="E315" s="17" t="s">
        <v>224</v>
      </c>
      <c r="F315" s="56" t="s">
        <v>7924</v>
      </c>
      <c r="G315" s="17" t="s">
        <v>8053</v>
      </c>
      <c r="H315" s="17"/>
      <c r="I315" s="17" t="s">
        <v>8054</v>
      </c>
      <c r="J315" s="17"/>
      <c r="K315" s="17"/>
      <c r="L315" s="17" t="s">
        <v>6970</v>
      </c>
      <c r="M315" s="17"/>
      <c r="N315" s="15" t="s">
        <v>91</v>
      </c>
      <c r="O315" s="17" t="s">
        <v>7390</v>
      </c>
      <c r="P315" s="15" t="n">
        <v>80</v>
      </c>
    </row>
    <row r="316" customFormat="false" ht="22.35" hidden="false" customHeight="false" outlineLevel="0" collapsed="false">
      <c r="A316" s="57" t="s">
        <v>8055</v>
      </c>
      <c r="B316" s="58" t="s">
        <v>6290</v>
      </c>
      <c r="C316" s="58" t="s">
        <v>187</v>
      </c>
      <c r="D316" s="59" t="s">
        <v>8056</v>
      </c>
      <c r="E316" s="58" t="s">
        <v>224</v>
      </c>
      <c r="F316" s="60" t="s">
        <v>8057</v>
      </c>
      <c r="G316" s="58" t="s">
        <v>8058</v>
      </c>
      <c r="H316" s="58"/>
      <c r="I316" s="58"/>
      <c r="J316" s="58" t="s">
        <v>8059</v>
      </c>
      <c r="K316" s="58"/>
      <c r="L316" s="58"/>
      <c r="M316" s="58"/>
      <c r="N316" s="61" t="s">
        <v>91</v>
      </c>
      <c r="O316" s="58" t="s">
        <v>7390</v>
      </c>
      <c r="P316" s="61" t="n">
        <v>81</v>
      </c>
    </row>
    <row r="317" customFormat="false" ht="22.35" hidden="false" customHeight="false" outlineLevel="0" collapsed="false">
      <c r="A317" s="22" t="s">
        <v>8060</v>
      </c>
      <c r="B317" s="17" t="s">
        <v>6290</v>
      </c>
      <c r="C317" s="17" t="s">
        <v>187</v>
      </c>
      <c r="D317" s="55" t="s">
        <v>8061</v>
      </c>
      <c r="E317" s="17" t="s">
        <v>224</v>
      </c>
      <c r="F317" s="56" t="s">
        <v>8062</v>
      </c>
      <c r="G317" s="17" t="s">
        <v>8063</v>
      </c>
      <c r="H317" s="17"/>
      <c r="I317" s="17"/>
      <c r="J317" s="17" t="s">
        <v>8064</v>
      </c>
      <c r="K317" s="17"/>
      <c r="L317" s="17"/>
      <c r="M317" s="17"/>
      <c r="N317" s="15" t="s">
        <v>91</v>
      </c>
      <c r="O317" s="17" t="s">
        <v>7390</v>
      </c>
      <c r="P317" s="15" t="n">
        <v>82</v>
      </c>
    </row>
    <row r="318" customFormat="false" ht="22.35" hidden="false" customHeight="false" outlineLevel="0" collapsed="false">
      <c r="A318" s="57" t="s">
        <v>8065</v>
      </c>
      <c r="B318" s="58" t="s">
        <v>6290</v>
      </c>
      <c r="C318" s="58" t="s">
        <v>187</v>
      </c>
      <c r="D318" s="59" t="s">
        <v>8066</v>
      </c>
      <c r="E318" s="58" t="s">
        <v>224</v>
      </c>
      <c r="F318" s="60" t="s">
        <v>8067</v>
      </c>
      <c r="G318" s="58" t="s">
        <v>8068</v>
      </c>
      <c r="H318" s="58"/>
      <c r="I318" s="58"/>
      <c r="J318" s="58" t="s">
        <v>8069</v>
      </c>
      <c r="K318" s="58"/>
      <c r="L318" s="58"/>
      <c r="M318" s="58"/>
      <c r="N318" s="61" t="s">
        <v>91</v>
      </c>
      <c r="O318" s="58" t="s">
        <v>7390</v>
      </c>
      <c r="P318" s="61" t="n">
        <v>83</v>
      </c>
    </row>
  </sheetData>
  <autoFilter ref="A4:P318"/>
  <mergeCells count="1">
    <mergeCell ref="A2:J2"/>
  </mergeCells>
  <printOptions headings="false" gridLines="false" gridLinesSet="true" horizontalCentered="true" verticalCentered="false"/>
  <pageMargins left="0.4" right="0.4" top="0.5" bottom="0.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&amp;LiW-ASCEJ-01-API-Reference-R1.0-REL1.0&amp;C&amp;A&amp;RPage &amp;P of &amp;N</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P1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8"/>
    <col collapsed="false" customWidth="true" hidden="false" outlineLevel="0" max="4" min="4" style="0" width="30"/>
    <col collapsed="false" customWidth="true" hidden="false" outlineLevel="0" max="5" min="5" style="0" width="12"/>
    <col collapsed="false" customWidth="true" hidden="false" outlineLevel="0" max="6" min="6" style="0" width="46"/>
    <col collapsed="false" customWidth="true" hidden="false" outlineLevel="0" max="7" min="7" style="0" width="52"/>
    <col collapsed="false" customWidth="true" hidden="false" outlineLevel="0" max="9" min="8" style="0" width="34"/>
    <col collapsed="false" customWidth="true" hidden="false" outlineLevel="0" max="10" min="10" style="0" width="46"/>
    <col collapsed="false" customWidth="true" hidden="false" outlineLevel="0" max="11" min="11" style="0" width="10"/>
    <col collapsed="false" customWidth="true" hidden="false" outlineLevel="0" max="12" min="12" style="0" width="34"/>
    <col collapsed="false" customWidth="true" hidden="false" outlineLevel="0" max="13" min="13" style="0" width="40"/>
    <col collapsed="false" customWidth="true" hidden="false" outlineLevel="0" max="14" min="14" style="0" width="6"/>
    <col collapsed="false" customWidth="true" hidden="false" outlineLevel="0" max="15" min="15" style="0" width="46"/>
    <col collapsed="false" customWidth="true" hidden="false" outlineLevel="0" max="16" min="16" style="0" width="7"/>
  </cols>
  <sheetData>
    <row r="1" customFormat="false" ht="25.5" hidden="false" customHeight="true" outlineLevel="0" collapsed="false">
      <c r="A1" s="12" t="s">
        <v>8070</v>
      </c>
    </row>
    <row r="2" customFormat="false" ht="30" hidden="false" customHeight="true" outlineLevel="0" collapsed="false">
      <c r="A2" s="13" t="s">
        <v>64</v>
      </c>
      <c r="B2" s="13"/>
      <c r="C2" s="13"/>
      <c r="D2" s="13"/>
      <c r="E2" s="13"/>
      <c r="F2" s="13"/>
      <c r="G2" s="13"/>
      <c r="H2" s="13"/>
      <c r="I2" s="13"/>
      <c r="J2" s="13"/>
    </row>
    <row r="3" customFormat="false" ht="15" hidden="false" customHeight="false" outlineLevel="0" collapsed="false">
      <c r="A3" s="9" t="s">
        <v>8071</v>
      </c>
    </row>
    <row r="4" customFormat="false" ht="30" hidden="false" customHeight="true" outlineLevel="0" collapsed="false">
      <c r="A4" s="14" t="s">
        <v>398</v>
      </c>
      <c r="B4" s="14" t="s">
        <v>1006</v>
      </c>
      <c r="C4" s="14" t="s">
        <v>98</v>
      </c>
      <c r="D4" s="14" t="s">
        <v>1007</v>
      </c>
      <c r="E4" s="14" t="s">
        <v>220</v>
      </c>
      <c r="F4" s="14" t="s">
        <v>1008</v>
      </c>
      <c r="G4" s="14" t="s">
        <v>1009</v>
      </c>
      <c r="H4" s="14" t="s">
        <v>1010</v>
      </c>
      <c r="I4" s="14" t="s">
        <v>1011</v>
      </c>
      <c r="J4" s="14" t="s">
        <v>1012</v>
      </c>
      <c r="K4" s="14" t="s">
        <v>1013</v>
      </c>
      <c r="L4" s="14" t="s">
        <v>1014</v>
      </c>
      <c r="M4" s="14" t="s">
        <v>1015</v>
      </c>
      <c r="N4" s="14" t="s">
        <v>1016</v>
      </c>
      <c r="O4" s="14" t="s">
        <v>1017</v>
      </c>
      <c r="P4" s="14" t="s">
        <v>1018</v>
      </c>
    </row>
    <row r="5" customFormat="false" ht="22.35" hidden="false" customHeight="false" outlineLevel="0" collapsed="false">
      <c r="A5" s="22" t="s">
        <v>8072</v>
      </c>
      <c r="B5" s="17" t="s">
        <v>8073</v>
      </c>
      <c r="C5" s="17" t="s">
        <v>188</v>
      </c>
      <c r="D5" s="55" t="s">
        <v>8074</v>
      </c>
      <c r="E5" s="17" t="s">
        <v>223</v>
      </c>
      <c r="F5" s="56" t="s">
        <v>8075</v>
      </c>
      <c r="G5" s="17" t="s">
        <v>8076</v>
      </c>
      <c r="H5" s="17"/>
      <c r="I5" s="17" t="s">
        <v>7205</v>
      </c>
      <c r="J5" s="17"/>
      <c r="K5" s="17" t="s">
        <v>7251</v>
      </c>
      <c r="L5" s="17" t="s">
        <v>8077</v>
      </c>
      <c r="M5" s="17"/>
      <c r="N5" s="15" t="s">
        <v>91</v>
      </c>
      <c r="O5" s="17" t="s">
        <v>8078</v>
      </c>
      <c r="P5" s="15" t="n">
        <v>23</v>
      </c>
    </row>
    <row r="6" customFormat="false" ht="22.35" hidden="false" customHeight="false" outlineLevel="0" collapsed="false">
      <c r="A6" s="57" t="s">
        <v>8079</v>
      </c>
      <c r="B6" s="58" t="s">
        <v>8073</v>
      </c>
      <c r="C6" s="58" t="s">
        <v>188</v>
      </c>
      <c r="D6" s="59" t="s">
        <v>8080</v>
      </c>
      <c r="E6" s="58" t="s">
        <v>223</v>
      </c>
      <c r="F6" s="60" t="s">
        <v>8081</v>
      </c>
      <c r="G6" s="58" t="s">
        <v>8082</v>
      </c>
      <c r="H6" s="58"/>
      <c r="I6" s="58" t="s">
        <v>7205</v>
      </c>
      <c r="J6" s="58"/>
      <c r="K6" s="58" t="s">
        <v>7251</v>
      </c>
      <c r="L6" s="58" t="s">
        <v>8083</v>
      </c>
      <c r="M6" s="58"/>
      <c r="N6" s="61" t="s">
        <v>91</v>
      </c>
      <c r="O6" s="58" t="s">
        <v>8078</v>
      </c>
      <c r="P6" s="61" t="n">
        <v>24</v>
      </c>
    </row>
    <row r="7" customFormat="false" ht="22.35" hidden="false" customHeight="false" outlineLevel="0" collapsed="false">
      <c r="A7" s="22" t="s">
        <v>8084</v>
      </c>
      <c r="B7" s="17" t="s">
        <v>8073</v>
      </c>
      <c r="C7" s="17" t="s">
        <v>188</v>
      </c>
      <c r="D7" s="55" t="s">
        <v>8085</v>
      </c>
      <c r="E7" s="17" t="s">
        <v>223</v>
      </c>
      <c r="F7" s="56" t="s">
        <v>8086</v>
      </c>
      <c r="G7" s="17" t="s">
        <v>8087</v>
      </c>
      <c r="H7" s="17"/>
      <c r="I7" s="17" t="s">
        <v>7205</v>
      </c>
      <c r="J7" s="17"/>
      <c r="K7" s="17" t="s">
        <v>7251</v>
      </c>
      <c r="L7" s="17" t="s">
        <v>7261</v>
      </c>
      <c r="M7" s="17"/>
      <c r="N7" s="15" t="s">
        <v>91</v>
      </c>
      <c r="O7" s="17" t="s">
        <v>8078</v>
      </c>
      <c r="P7" s="15" t="n">
        <v>25</v>
      </c>
    </row>
    <row r="8" customFormat="false" ht="22.35" hidden="false" customHeight="false" outlineLevel="0" collapsed="false">
      <c r="A8" s="57" t="s">
        <v>8088</v>
      </c>
      <c r="B8" s="58" t="s">
        <v>8073</v>
      </c>
      <c r="C8" s="58" t="s">
        <v>188</v>
      </c>
      <c r="D8" s="59" t="s">
        <v>8089</v>
      </c>
      <c r="E8" s="58" t="s">
        <v>223</v>
      </c>
      <c r="F8" s="60" t="s">
        <v>8090</v>
      </c>
      <c r="G8" s="58" t="s">
        <v>8091</v>
      </c>
      <c r="H8" s="58"/>
      <c r="I8" s="58" t="s">
        <v>7205</v>
      </c>
      <c r="J8" s="58"/>
      <c r="K8" s="58" t="s">
        <v>7251</v>
      </c>
      <c r="L8" s="58" t="s">
        <v>7268</v>
      </c>
      <c r="M8" s="58"/>
      <c r="N8" s="61" t="s">
        <v>91</v>
      </c>
      <c r="O8" s="58" t="s">
        <v>8078</v>
      </c>
      <c r="P8" s="61" t="n">
        <v>26</v>
      </c>
    </row>
    <row r="9" customFormat="false" ht="22.35" hidden="false" customHeight="false" outlineLevel="0" collapsed="false">
      <c r="A9" s="22" t="s">
        <v>8092</v>
      </c>
      <c r="B9" s="17" t="s">
        <v>8073</v>
      </c>
      <c r="C9" s="17" t="s">
        <v>188</v>
      </c>
      <c r="D9" s="55" t="s">
        <v>8093</v>
      </c>
      <c r="E9" s="17" t="s">
        <v>223</v>
      </c>
      <c r="F9" s="56" t="s">
        <v>8094</v>
      </c>
      <c r="G9" s="17" t="s">
        <v>8095</v>
      </c>
      <c r="H9" s="17"/>
      <c r="I9" s="17" t="s">
        <v>8096</v>
      </c>
      <c r="J9" s="17"/>
      <c r="K9" s="17"/>
      <c r="L9" s="17"/>
      <c r="M9" s="17"/>
      <c r="N9" s="15" t="s">
        <v>91</v>
      </c>
      <c r="O9" s="17" t="s">
        <v>8078</v>
      </c>
      <c r="P9" s="15" t="n">
        <v>28</v>
      </c>
    </row>
    <row r="10" customFormat="false" ht="22.35" hidden="false" customHeight="false" outlineLevel="0" collapsed="false">
      <c r="A10" s="57" t="s">
        <v>8097</v>
      </c>
      <c r="B10" s="58" t="s">
        <v>8073</v>
      </c>
      <c r="C10" s="58" t="s">
        <v>188</v>
      </c>
      <c r="D10" s="59" t="s">
        <v>8098</v>
      </c>
      <c r="E10" s="58" t="s">
        <v>223</v>
      </c>
      <c r="F10" s="60" t="s">
        <v>8099</v>
      </c>
      <c r="G10" s="58" t="s">
        <v>8100</v>
      </c>
      <c r="H10" s="58"/>
      <c r="I10" s="58" t="s">
        <v>8101</v>
      </c>
      <c r="J10" s="58"/>
      <c r="K10" s="58"/>
      <c r="L10" s="58"/>
      <c r="M10" s="58"/>
      <c r="N10" s="61" t="s">
        <v>91</v>
      </c>
      <c r="O10" s="58" t="s">
        <v>8078</v>
      </c>
      <c r="P10" s="61" t="n">
        <v>47</v>
      </c>
    </row>
    <row r="11" customFormat="false" ht="22.35" hidden="false" customHeight="false" outlineLevel="0" collapsed="false">
      <c r="A11" s="22" t="s">
        <v>8102</v>
      </c>
      <c r="B11" s="17" t="s">
        <v>8073</v>
      </c>
      <c r="C11" s="17" t="s">
        <v>188</v>
      </c>
      <c r="D11" s="55" t="s">
        <v>8103</v>
      </c>
      <c r="E11" s="17" t="s">
        <v>223</v>
      </c>
      <c r="F11" s="56" t="s">
        <v>8104</v>
      </c>
      <c r="G11" s="17" t="s">
        <v>8105</v>
      </c>
      <c r="H11" s="17"/>
      <c r="I11" s="17" t="s">
        <v>7205</v>
      </c>
      <c r="J11" s="17"/>
      <c r="K11" s="17" t="s">
        <v>1046</v>
      </c>
      <c r="L11" s="17" t="s">
        <v>8106</v>
      </c>
      <c r="M11" s="17"/>
      <c r="N11" s="15" t="s">
        <v>91</v>
      </c>
      <c r="O11" s="17" t="s">
        <v>8078</v>
      </c>
      <c r="P11" s="15" t="n">
        <v>59</v>
      </c>
    </row>
    <row r="12" customFormat="false" ht="32.8" hidden="false" customHeight="false" outlineLevel="0" collapsed="false">
      <c r="A12" s="57" t="s">
        <v>8107</v>
      </c>
      <c r="B12" s="58" t="s">
        <v>8073</v>
      </c>
      <c r="C12" s="58" t="s">
        <v>188</v>
      </c>
      <c r="D12" s="59" t="s">
        <v>8108</v>
      </c>
      <c r="E12" s="58" t="s">
        <v>228</v>
      </c>
      <c r="F12" s="60" t="s">
        <v>8109</v>
      </c>
      <c r="G12" s="58" t="s">
        <v>8110</v>
      </c>
      <c r="H12" s="58"/>
      <c r="I12" s="58" t="s">
        <v>8111</v>
      </c>
      <c r="J12" s="58"/>
      <c r="K12" s="58"/>
      <c r="L12" s="58"/>
      <c r="M12" s="58"/>
      <c r="N12" s="61" t="s">
        <v>91</v>
      </c>
      <c r="O12" s="58" t="s">
        <v>8078</v>
      </c>
      <c r="P12" s="61" t="n">
        <v>60</v>
      </c>
    </row>
    <row r="13" customFormat="false" ht="32.8" hidden="false" customHeight="false" outlineLevel="0" collapsed="false">
      <c r="A13" s="22" t="s">
        <v>8112</v>
      </c>
      <c r="B13" s="17" t="s">
        <v>8073</v>
      </c>
      <c r="C13" s="17" t="s">
        <v>188</v>
      </c>
      <c r="D13" s="55" t="s">
        <v>8113</v>
      </c>
      <c r="E13" s="17" t="s">
        <v>228</v>
      </c>
      <c r="F13" s="56" t="s">
        <v>8114</v>
      </c>
      <c r="G13" s="17" t="s">
        <v>8115</v>
      </c>
      <c r="H13" s="17"/>
      <c r="I13" s="17" t="s">
        <v>8116</v>
      </c>
      <c r="J13" s="17"/>
      <c r="K13" s="17"/>
      <c r="L13" s="17"/>
      <c r="M13" s="17"/>
      <c r="N13" s="15" t="s">
        <v>91</v>
      </c>
      <c r="O13" s="17" t="s">
        <v>8078</v>
      </c>
      <c r="P13" s="15" t="n">
        <v>61</v>
      </c>
    </row>
    <row r="14" customFormat="false" ht="22.35" hidden="false" customHeight="false" outlineLevel="0" collapsed="false">
      <c r="A14" s="57" t="s">
        <v>8117</v>
      </c>
      <c r="B14" s="58" t="s">
        <v>8073</v>
      </c>
      <c r="C14" s="58" t="s">
        <v>188</v>
      </c>
      <c r="D14" s="59" t="s">
        <v>8118</v>
      </c>
      <c r="E14" s="58" t="s">
        <v>228</v>
      </c>
      <c r="F14" s="60" t="s">
        <v>8119</v>
      </c>
      <c r="G14" s="58" t="s">
        <v>8120</v>
      </c>
      <c r="H14" s="58"/>
      <c r="I14" s="58" t="s">
        <v>8121</v>
      </c>
      <c r="J14" s="58"/>
      <c r="K14" s="58"/>
      <c r="L14" s="58"/>
      <c r="M14" s="58"/>
      <c r="N14" s="61" t="s">
        <v>91</v>
      </c>
      <c r="O14" s="58" t="s">
        <v>8078</v>
      </c>
      <c r="P14" s="61" t="n">
        <v>62</v>
      </c>
    </row>
    <row r="15" customFormat="false" ht="22.35" hidden="false" customHeight="false" outlineLevel="0" collapsed="false">
      <c r="A15" s="22" t="s">
        <v>8122</v>
      </c>
      <c r="B15" s="17" t="s">
        <v>8073</v>
      </c>
      <c r="C15" s="17" t="s">
        <v>188</v>
      </c>
      <c r="D15" s="55" t="s">
        <v>8123</v>
      </c>
      <c r="E15" s="17" t="s">
        <v>224</v>
      </c>
      <c r="F15" s="56" t="s">
        <v>8124</v>
      </c>
      <c r="G15" s="17" t="s">
        <v>8125</v>
      </c>
      <c r="H15" s="17"/>
      <c r="I15" s="17"/>
      <c r="J15" s="17"/>
      <c r="K15" s="17"/>
      <c r="L15" s="17"/>
      <c r="M15" s="17"/>
      <c r="N15" s="15" t="s">
        <v>91</v>
      </c>
      <c r="O15" s="17" t="s">
        <v>8078</v>
      </c>
      <c r="P15" s="15" t="n">
        <v>64</v>
      </c>
    </row>
    <row r="16" customFormat="false" ht="22.35" hidden="false" customHeight="false" outlineLevel="0" collapsed="false">
      <c r="A16" s="57" t="s">
        <v>8126</v>
      </c>
      <c r="B16" s="58" t="s">
        <v>8073</v>
      </c>
      <c r="C16" s="58" t="s">
        <v>188</v>
      </c>
      <c r="D16" s="59" t="s">
        <v>8127</v>
      </c>
      <c r="E16" s="58" t="s">
        <v>223</v>
      </c>
      <c r="F16" s="60" t="s">
        <v>8128</v>
      </c>
      <c r="G16" s="58" t="s">
        <v>8129</v>
      </c>
      <c r="H16" s="58"/>
      <c r="I16" s="58" t="s">
        <v>7200</v>
      </c>
      <c r="J16" s="58"/>
      <c r="K16" s="58" t="s">
        <v>1046</v>
      </c>
      <c r="L16" s="58" t="s">
        <v>8130</v>
      </c>
      <c r="M16" s="58"/>
      <c r="N16" s="61" t="s">
        <v>91</v>
      </c>
      <c r="O16" s="58" t="s">
        <v>8078</v>
      </c>
      <c r="P16" s="61" t="n">
        <v>72</v>
      </c>
    </row>
    <row r="17" customFormat="false" ht="22.35" hidden="false" customHeight="false" outlineLevel="0" collapsed="false">
      <c r="A17" s="22" t="s">
        <v>8131</v>
      </c>
      <c r="B17" s="17" t="s">
        <v>8073</v>
      </c>
      <c r="C17" s="17" t="s">
        <v>188</v>
      </c>
      <c r="D17" s="55" t="s">
        <v>8132</v>
      </c>
      <c r="E17" s="17" t="s">
        <v>224</v>
      </c>
      <c r="F17" s="56" t="s">
        <v>8133</v>
      </c>
      <c r="G17" s="17" t="s">
        <v>8134</v>
      </c>
      <c r="H17" s="17"/>
      <c r="I17" s="17"/>
      <c r="J17" s="17"/>
      <c r="K17" s="17"/>
      <c r="L17" s="17"/>
      <c r="M17" s="17"/>
      <c r="N17" s="15" t="s">
        <v>91</v>
      </c>
      <c r="O17" s="17" t="s">
        <v>8078</v>
      </c>
      <c r="P17" s="15" t="n">
        <v>74</v>
      </c>
    </row>
    <row r="18" customFormat="false" ht="22.35" hidden="false" customHeight="false" outlineLevel="0" collapsed="false">
      <c r="A18" s="57" t="s">
        <v>8135</v>
      </c>
      <c r="B18" s="58" t="s">
        <v>8073</v>
      </c>
      <c r="C18" s="58" t="s">
        <v>188</v>
      </c>
      <c r="D18" s="59" t="s">
        <v>8136</v>
      </c>
      <c r="E18" s="58" t="s">
        <v>223</v>
      </c>
      <c r="F18" s="60" t="s">
        <v>8137</v>
      </c>
      <c r="G18" s="58" t="s">
        <v>8138</v>
      </c>
      <c r="H18" s="58"/>
      <c r="I18" s="58" t="s">
        <v>7200</v>
      </c>
      <c r="J18" s="58"/>
      <c r="K18" s="58" t="s">
        <v>1046</v>
      </c>
      <c r="L18" s="58" t="s">
        <v>8139</v>
      </c>
      <c r="M18" s="58"/>
      <c r="N18" s="61" t="s">
        <v>91</v>
      </c>
      <c r="O18" s="58" t="s">
        <v>8078</v>
      </c>
      <c r="P18" s="61" t="n">
        <v>78</v>
      </c>
    </row>
    <row r="19" customFormat="false" ht="22.35" hidden="false" customHeight="false" outlineLevel="0" collapsed="false">
      <c r="A19" s="22" t="s">
        <v>8140</v>
      </c>
      <c r="B19" s="17" t="s">
        <v>8073</v>
      </c>
      <c r="C19" s="17" t="s">
        <v>188</v>
      </c>
      <c r="D19" s="55" t="s">
        <v>8141</v>
      </c>
      <c r="E19" s="17" t="s">
        <v>228</v>
      </c>
      <c r="F19" s="56" t="s">
        <v>8142</v>
      </c>
      <c r="G19" s="17" t="s">
        <v>8143</v>
      </c>
      <c r="H19" s="17"/>
      <c r="I19" s="17" t="s">
        <v>8111</v>
      </c>
      <c r="J19" s="17"/>
      <c r="K19" s="17"/>
      <c r="L19" s="17"/>
      <c r="M19" s="17"/>
      <c r="N19" s="15" t="s">
        <v>91</v>
      </c>
      <c r="O19" s="17" t="s">
        <v>8078</v>
      </c>
      <c r="P19" s="15" t="n">
        <v>79</v>
      </c>
    </row>
    <row r="20" customFormat="false" ht="22.35" hidden="false" customHeight="false" outlineLevel="0" collapsed="false">
      <c r="A20" s="57" t="s">
        <v>8144</v>
      </c>
      <c r="B20" s="58" t="s">
        <v>8073</v>
      </c>
      <c r="C20" s="58" t="s">
        <v>188</v>
      </c>
      <c r="D20" s="59" t="s">
        <v>8145</v>
      </c>
      <c r="E20" s="58" t="s">
        <v>228</v>
      </c>
      <c r="F20" s="60" t="s">
        <v>8146</v>
      </c>
      <c r="G20" s="58" t="s">
        <v>8147</v>
      </c>
      <c r="H20" s="58"/>
      <c r="I20" s="58" t="s">
        <v>8116</v>
      </c>
      <c r="J20" s="58"/>
      <c r="K20" s="58"/>
      <c r="L20" s="58"/>
      <c r="M20" s="58"/>
      <c r="N20" s="61" t="s">
        <v>91</v>
      </c>
      <c r="O20" s="58" t="s">
        <v>8078</v>
      </c>
      <c r="P20" s="61" t="n">
        <v>80</v>
      </c>
    </row>
    <row r="21" customFormat="false" ht="22.35" hidden="false" customHeight="false" outlineLevel="0" collapsed="false">
      <c r="A21" s="22" t="s">
        <v>8148</v>
      </c>
      <c r="B21" s="17" t="s">
        <v>8073</v>
      </c>
      <c r="C21" s="17" t="s">
        <v>188</v>
      </c>
      <c r="D21" s="55" t="s">
        <v>8149</v>
      </c>
      <c r="E21" s="17" t="s">
        <v>224</v>
      </c>
      <c r="F21" s="56" t="s">
        <v>8150</v>
      </c>
      <c r="G21" s="17" t="s">
        <v>8151</v>
      </c>
      <c r="H21" s="17"/>
      <c r="I21" s="17"/>
      <c r="J21" s="17"/>
      <c r="K21" s="17"/>
      <c r="L21" s="17"/>
      <c r="M21" s="17"/>
      <c r="N21" s="15" t="s">
        <v>91</v>
      </c>
      <c r="O21" s="17" t="s">
        <v>8078</v>
      </c>
      <c r="P21" s="15" t="n">
        <v>86</v>
      </c>
    </row>
    <row r="22" customFormat="false" ht="22.35" hidden="false" customHeight="false" outlineLevel="0" collapsed="false">
      <c r="A22" s="57" t="s">
        <v>8152</v>
      </c>
      <c r="B22" s="58" t="s">
        <v>8073</v>
      </c>
      <c r="C22" s="58" t="s">
        <v>188</v>
      </c>
      <c r="D22" s="59" t="s">
        <v>8153</v>
      </c>
      <c r="E22" s="58" t="s">
        <v>223</v>
      </c>
      <c r="F22" s="60" t="s">
        <v>8154</v>
      </c>
      <c r="G22" s="58" t="s">
        <v>8155</v>
      </c>
      <c r="H22" s="58"/>
      <c r="I22" s="58" t="s">
        <v>7200</v>
      </c>
      <c r="J22" s="58"/>
      <c r="K22" s="58" t="s">
        <v>1046</v>
      </c>
      <c r="L22" s="58" t="s">
        <v>8156</v>
      </c>
      <c r="M22" s="58"/>
      <c r="N22" s="61" t="s">
        <v>91</v>
      </c>
      <c r="O22" s="58" t="s">
        <v>8078</v>
      </c>
      <c r="P22" s="61" t="n">
        <v>91</v>
      </c>
    </row>
    <row r="23" customFormat="false" ht="22.35" hidden="false" customHeight="false" outlineLevel="0" collapsed="false">
      <c r="A23" s="22" t="s">
        <v>8157</v>
      </c>
      <c r="B23" s="17" t="s">
        <v>8073</v>
      </c>
      <c r="C23" s="17" t="s">
        <v>188</v>
      </c>
      <c r="D23" s="55" t="s">
        <v>8158</v>
      </c>
      <c r="E23" s="17" t="s">
        <v>228</v>
      </c>
      <c r="F23" s="56" t="s">
        <v>8159</v>
      </c>
      <c r="G23" s="17" t="s">
        <v>8160</v>
      </c>
      <c r="H23" s="17"/>
      <c r="I23" s="17" t="s">
        <v>8161</v>
      </c>
      <c r="J23" s="17"/>
      <c r="K23" s="17"/>
      <c r="L23" s="17"/>
      <c r="M23" s="17"/>
      <c r="N23" s="15" t="s">
        <v>91</v>
      </c>
      <c r="O23" s="17" t="s">
        <v>8078</v>
      </c>
      <c r="P23" s="15" t="n">
        <v>92</v>
      </c>
    </row>
    <row r="24" customFormat="false" ht="22.35" hidden="false" customHeight="false" outlineLevel="0" collapsed="false">
      <c r="A24" s="57" t="s">
        <v>8162</v>
      </c>
      <c r="B24" s="58" t="s">
        <v>8073</v>
      </c>
      <c r="C24" s="58" t="s">
        <v>188</v>
      </c>
      <c r="D24" s="59" t="s">
        <v>8163</v>
      </c>
      <c r="E24" s="58" t="s">
        <v>228</v>
      </c>
      <c r="F24" s="60" t="s">
        <v>8164</v>
      </c>
      <c r="G24" s="58" t="s">
        <v>8165</v>
      </c>
      <c r="H24" s="58"/>
      <c r="I24" s="58" t="s">
        <v>8166</v>
      </c>
      <c r="J24" s="58"/>
      <c r="K24" s="58"/>
      <c r="L24" s="58"/>
      <c r="M24" s="58"/>
      <c r="N24" s="61" t="s">
        <v>91</v>
      </c>
      <c r="O24" s="58" t="s">
        <v>8078</v>
      </c>
      <c r="P24" s="61" t="n">
        <v>93</v>
      </c>
    </row>
    <row r="25" customFormat="false" ht="22.35" hidden="false" customHeight="false" outlineLevel="0" collapsed="false">
      <c r="A25" s="22" t="s">
        <v>8167</v>
      </c>
      <c r="B25" s="17" t="s">
        <v>8073</v>
      </c>
      <c r="C25" s="17" t="s">
        <v>188</v>
      </c>
      <c r="D25" s="55" t="s">
        <v>8168</v>
      </c>
      <c r="E25" s="17" t="s">
        <v>228</v>
      </c>
      <c r="F25" s="56" t="s">
        <v>8169</v>
      </c>
      <c r="G25" s="17" t="s">
        <v>8170</v>
      </c>
      <c r="H25" s="17"/>
      <c r="I25" s="17" t="s">
        <v>8171</v>
      </c>
      <c r="J25" s="17"/>
      <c r="K25" s="17"/>
      <c r="L25" s="17"/>
      <c r="M25" s="17"/>
      <c r="N25" s="15" t="s">
        <v>91</v>
      </c>
      <c r="O25" s="17" t="s">
        <v>8078</v>
      </c>
      <c r="P25" s="15" t="n">
        <v>94</v>
      </c>
    </row>
    <row r="26" customFormat="false" ht="22.35" hidden="false" customHeight="false" outlineLevel="0" collapsed="false">
      <c r="A26" s="57" t="s">
        <v>8172</v>
      </c>
      <c r="B26" s="58" t="s">
        <v>8073</v>
      </c>
      <c r="C26" s="58" t="s">
        <v>188</v>
      </c>
      <c r="D26" s="59" t="s">
        <v>8173</v>
      </c>
      <c r="E26" s="58" t="s">
        <v>228</v>
      </c>
      <c r="F26" s="60" t="s">
        <v>8174</v>
      </c>
      <c r="G26" s="58" t="s">
        <v>8175</v>
      </c>
      <c r="H26" s="58"/>
      <c r="I26" s="58" t="s">
        <v>8176</v>
      </c>
      <c r="J26" s="58"/>
      <c r="K26" s="58"/>
      <c r="L26" s="58"/>
      <c r="M26" s="58"/>
      <c r="N26" s="61" t="s">
        <v>91</v>
      </c>
      <c r="O26" s="58" t="s">
        <v>8078</v>
      </c>
      <c r="P26" s="61" t="n">
        <v>95</v>
      </c>
    </row>
    <row r="27" customFormat="false" ht="22.35" hidden="false" customHeight="false" outlineLevel="0" collapsed="false">
      <c r="A27" s="22" t="s">
        <v>8177</v>
      </c>
      <c r="B27" s="17" t="s">
        <v>8073</v>
      </c>
      <c r="C27" s="17" t="s">
        <v>188</v>
      </c>
      <c r="D27" s="55" t="s">
        <v>8178</v>
      </c>
      <c r="E27" s="17" t="s">
        <v>228</v>
      </c>
      <c r="F27" s="56" t="s">
        <v>8179</v>
      </c>
      <c r="G27" s="17" t="s">
        <v>8180</v>
      </c>
      <c r="H27" s="17"/>
      <c r="I27" s="17" t="s">
        <v>8181</v>
      </c>
      <c r="J27" s="17"/>
      <c r="K27" s="17"/>
      <c r="L27" s="17"/>
      <c r="M27" s="17"/>
      <c r="N27" s="15" t="s">
        <v>91</v>
      </c>
      <c r="O27" s="17" t="s">
        <v>8078</v>
      </c>
      <c r="P27" s="15" t="n">
        <v>96</v>
      </c>
    </row>
    <row r="28" customFormat="false" ht="22.35" hidden="false" customHeight="false" outlineLevel="0" collapsed="false">
      <c r="A28" s="57" t="s">
        <v>8182</v>
      </c>
      <c r="B28" s="58" t="s">
        <v>8073</v>
      </c>
      <c r="C28" s="58" t="s">
        <v>188</v>
      </c>
      <c r="D28" s="59" t="s">
        <v>8183</v>
      </c>
      <c r="E28" s="58" t="s">
        <v>228</v>
      </c>
      <c r="F28" s="60" t="s">
        <v>8184</v>
      </c>
      <c r="G28" s="58" t="s">
        <v>8185</v>
      </c>
      <c r="H28" s="58"/>
      <c r="I28" s="58" t="s">
        <v>8186</v>
      </c>
      <c r="J28" s="58"/>
      <c r="K28" s="58"/>
      <c r="L28" s="58"/>
      <c r="M28" s="58"/>
      <c r="N28" s="61" t="s">
        <v>91</v>
      </c>
      <c r="O28" s="58" t="s">
        <v>8078</v>
      </c>
      <c r="P28" s="61" t="n">
        <v>97</v>
      </c>
    </row>
    <row r="29" customFormat="false" ht="22.35" hidden="false" customHeight="false" outlineLevel="0" collapsed="false">
      <c r="A29" s="22" t="s">
        <v>8187</v>
      </c>
      <c r="B29" s="17" t="s">
        <v>8073</v>
      </c>
      <c r="C29" s="17" t="s">
        <v>188</v>
      </c>
      <c r="D29" s="55" t="s">
        <v>8188</v>
      </c>
      <c r="E29" s="17" t="s">
        <v>224</v>
      </c>
      <c r="F29" s="56" t="s">
        <v>8189</v>
      </c>
      <c r="G29" s="17" t="s">
        <v>8190</v>
      </c>
      <c r="H29" s="17"/>
      <c r="I29" s="17"/>
      <c r="J29" s="17"/>
      <c r="K29" s="17"/>
      <c r="L29" s="17"/>
      <c r="M29" s="17"/>
      <c r="N29" s="15" t="s">
        <v>91</v>
      </c>
      <c r="O29" s="17" t="s">
        <v>8078</v>
      </c>
      <c r="P29" s="15" t="n">
        <v>99</v>
      </c>
    </row>
    <row r="30" customFormat="false" ht="22.35" hidden="false" customHeight="false" outlineLevel="0" collapsed="false">
      <c r="A30" s="57" t="s">
        <v>8191</v>
      </c>
      <c r="B30" s="58" t="s">
        <v>8073</v>
      </c>
      <c r="C30" s="58" t="s">
        <v>188</v>
      </c>
      <c r="D30" s="59" t="s">
        <v>8192</v>
      </c>
      <c r="E30" s="58" t="s">
        <v>223</v>
      </c>
      <c r="F30" s="60" t="s">
        <v>8193</v>
      </c>
      <c r="G30" s="58" t="s">
        <v>8194</v>
      </c>
      <c r="H30" s="58"/>
      <c r="I30" s="58" t="s">
        <v>7200</v>
      </c>
      <c r="J30" s="58"/>
      <c r="K30" s="58" t="s">
        <v>1046</v>
      </c>
      <c r="L30" s="58" t="s">
        <v>7835</v>
      </c>
      <c r="M30" s="58"/>
      <c r="N30" s="61" t="s">
        <v>91</v>
      </c>
      <c r="O30" s="58" t="s">
        <v>8078</v>
      </c>
      <c r="P30" s="61" t="n">
        <v>108</v>
      </c>
    </row>
    <row r="31" customFormat="false" ht="22.35" hidden="false" customHeight="false" outlineLevel="0" collapsed="false">
      <c r="A31" s="22" t="s">
        <v>8195</v>
      </c>
      <c r="B31" s="17" t="s">
        <v>8073</v>
      </c>
      <c r="C31" s="17" t="s">
        <v>188</v>
      </c>
      <c r="D31" s="55" t="s">
        <v>8196</v>
      </c>
      <c r="E31" s="17" t="s">
        <v>228</v>
      </c>
      <c r="F31" s="56" t="s">
        <v>8197</v>
      </c>
      <c r="G31" s="17" t="s">
        <v>8198</v>
      </c>
      <c r="H31" s="17"/>
      <c r="I31" s="17" t="s">
        <v>8111</v>
      </c>
      <c r="J31" s="17"/>
      <c r="K31" s="17"/>
      <c r="L31" s="17"/>
      <c r="M31" s="17"/>
      <c r="N31" s="15" t="s">
        <v>91</v>
      </c>
      <c r="O31" s="17" t="s">
        <v>8078</v>
      </c>
      <c r="P31" s="15" t="n">
        <v>109</v>
      </c>
    </row>
    <row r="32" customFormat="false" ht="22.35" hidden="false" customHeight="false" outlineLevel="0" collapsed="false">
      <c r="A32" s="57" t="s">
        <v>8199</v>
      </c>
      <c r="B32" s="58" t="s">
        <v>8073</v>
      </c>
      <c r="C32" s="58" t="s">
        <v>188</v>
      </c>
      <c r="D32" s="59" t="s">
        <v>8200</v>
      </c>
      <c r="E32" s="58" t="s">
        <v>228</v>
      </c>
      <c r="F32" s="60" t="s">
        <v>8201</v>
      </c>
      <c r="G32" s="58" t="s">
        <v>8202</v>
      </c>
      <c r="H32" s="58"/>
      <c r="I32" s="58" t="s">
        <v>8116</v>
      </c>
      <c r="J32" s="58"/>
      <c r="K32" s="58"/>
      <c r="L32" s="58"/>
      <c r="M32" s="58"/>
      <c r="N32" s="61" t="s">
        <v>91</v>
      </c>
      <c r="O32" s="58" t="s">
        <v>8078</v>
      </c>
      <c r="P32" s="61" t="n">
        <v>110</v>
      </c>
    </row>
    <row r="33" customFormat="false" ht="22.35" hidden="false" customHeight="false" outlineLevel="0" collapsed="false">
      <c r="A33" s="22" t="s">
        <v>8203</v>
      </c>
      <c r="B33" s="17" t="s">
        <v>8073</v>
      </c>
      <c r="C33" s="17" t="s">
        <v>188</v>
      </c>
      <c r="D33" s="55" t="s">
        <v>8204</v>
      </c>
      <c r="E33" s="17" t="s">
        <v>228</v>
      </c>
      <c r="F33" s="56" t="s">
        <v>8205</v>
      </c>
      <c r="G33" s="17" t="s">
        <v>8206</v>
      </c>
      <c r="H33" s="17"/>
      <c r="I33" s="17" t="s">
        <v>8207</v>
      </c>
      <c r="J33" s="17"/>
      <c r="K33" s="17"/>
      <c r="L33" s="17"/>
      <c r="M33" s="17"/>
      <c r="N33" s="15" t="s">
        <v>91</v>
      </c>
      <c r="O33" s="17" t="s">
        <v>8078</v>
      </c>
      <c r="P33" s="15" t="n">
        <v>111</v>
      </c>
    </row>
    <row r="34" customFormat="false" ht="22.35" hidden="false" customHeight="false" outlineLevel="0" collapsed="false">
      <c r="A34" s="57" t="s">
        <v>8208</v>
      </c>
      <c r="B34" s="58" t="s">
        <v>8073</v>
      </c>
      <c r="C34" s="58" t="s">
        <v>188</v>
      </c>
      <c r="D34" s="59" t="s">
        <v>8209</v>
      </c>
      <c r="E34" s="58" t="s">
        <v>228</v>
      </c>
      <c r="F34" s="60" t="s">
        <v>8210</v>
      </c>
      <c r="G34" s="58" t="s">
        <v>8211</v>
      </c>
      <c r="H34" s="58"/>
      <c r="I34" s="58" t="s">
        <v>8212</v>
      </c>
      <c r="J34" s="58"/>
      <c r="K34" s="58"/>
      <c r="L34" s="58"/>
      <c r="M34" s="58"/>
      <c r="N34" s="61" t="s">
        <v>91</v>
      </c>
      <c r="O34" s="58" t="s">
        <v>8078</v>
      </c>
      <c r="P34" s="61" t="n">
        <v>112</v>
      </c>
    </row>
    <row r="35" customFormat="false" ht="22.35" hidden="false" customHeight="false" outlineLevel="0" collapsed="false">
      <c r="A35" s="22" t="s">
        <v>8213</v>
      </c>
      <c r="B35" s="17" t="s">
        <v>8073</v>
      </c>
      <c r="C35" s="17" t="s">
        <v>188</v>
      </c>
      <c r="D35" s="55" t="s">
        <v>8214</v>
      </c>
      <c r="E35" s="17" t="s">
        <v>224</v>
      </c>
      <c r="F35" s="56" t="s">
        <v>8215</v>
      </c>
      <c r="G35" s="17" t="s">
        <v>8216</v>
      </c>
      <c r="H35" s="17"/>
      <c r="I35" s="17"/>
      <c r="J35" s="17"/>
      <c r="K35" s="17"/>
      <c r="L35" s="17"/>
      <c r="M35" s="17"/>
      <c r="N35" s="15" t="s">
        <v>91</v>
      </c>
      <c r="O35" s="17" t="s">
        <v>8078</v>
      </c>
      <c r="P35" s="15" t="n">
        <v>114</v>
      </c>
    </row>
    <row r="36" customFormat="false" ht="22.35" hidden="false" customHeight="false" outlineLevel="0" collapsed="false">
      <c r="A36" s="57" t="s">
        <v>8217</v>
      </c>
      <c r="B36" s="58" t="s">
        <v>8073</v>
      </c>
      <c r="C36" s="58" t="s">
        <v>188</v>
      </c>
      <c r="D36" s="59" t="s">
        <v>8218</v>
      </c>
      <c r="E36" s="58" t="s">
        <v>223</v>
      </c>
      <c r="F36" s="60" t="s">
        <v>8219</v>
      </c>
      <c r="G36" s="58" t="s">
        <v>8220</v>
      </c>
      <c r="H36" s="58"/>
      <c r="I36" s="58"/>
      <c r="J36" s="58"/>
      <c r="K36" s="58"/>
      <c r="L36" s="58" t="s">
        <v>8221</v>
      </c>
      <c r="M36" s="58"/>
      <c r="N36" s="61" t="s">
        <v>91</v>
      </c>
      <c r="O36" s="58" t="s">
        <v>8078</v>
      </c>
      <c r="P36" s="61" t="n">
        <v>132</v>
      </c>
    </row>
    <row r="37" customFormat="false" ht="22.35" hidden="false" customHeight="false" outlineLevel="0" collapsed="false">
      <c r="A37" s="22" t="s">
        <v>8222</v>
      </c>
      <c r="B37" s="17" t="s">
        <v>8073</v>
      </c>
      <c r="C37" s="17" t="s">
        <v>189</v>
      </c>
      <c r="D37" s="55" t="s">
        <v>8223</v>
      </c>
      <c r="E37" s="17" t="s">
        <v>223</v>
      </c>
      <c r="F37" s="56" t="s">
        <v>8224</v>
      </c>
      <c r="G37" s="17" t="s">
        <v>8225</v>
      </c>
      <c r="H37" s="17"/>
      <c r="I37" s="17" t="s">
        <v>8226</v>
      </c>
      <c r="J37" s="17"/>
      <c r="K37" s="17" t="s">
        <v>1046</v>
      </c>
      <c r="L37" s="17" t="s">
        <v>8227</v>
      </c>
      <c r="M37" s="17"/>
      <c r="N37" s="15" t="s">
        <v>91</v>
      </c>
      <c r="O37" s="17" t="s">
        <v>6936</v>
      </c>
      <c r="P37" s="15" t="n">
        <v>33</v>
      </c>
    </row>
    <row r="38" customFormat="false" ht="64.15" hidden="false" customHeight="false" outlineLevel="0" collapsed="false">
      <c r="A38" s="57" t="s">
        <v>8228</v>
      </c>
      <c r="B38" s="58" t="s">
        <v>8073</v>
      </c>
      <c r="C38" s="58" t="s">
        <v>189</v>
      </c>
      <c r="D38" s="59" t="s">
        <v>8229</v>
      </c>
      <c r="E38" s="58" t="s">
        <v>233</v>
      </c>
      <c r="F38" s="60" t="s">
        <v>8230</v>
      </c>
      <c r="G38" s="58" t="s">
        <v>8231</v>
      </c>
      <c r="H38" s="58"/>
      <c r="I38" s="58"/>
      <c r="J38" s="58"/>
      <c r="K38" s="58" t="s">
        <v>8232</v>
      </c>
      <c r="L38" s="58" t="s">
        <v>8233</v>
      </c>
      <c r="M38" s="58"/>
      <c r="N38" s="61" t="s">
        <v>91</v>
      </c>
      <c r="O38" s="58" t="s">
        <v>6936</v>
      </c>
      <c r="P38" s="61" t="n">
        <v>35</v>
      </c>
    </row>
    <row r="39" customFormat="false" ht="43.25" hidden="false" customHeight="false" outlineLevel="0" collapsed="false">
      <c r="A39" s="22" t="s">
        <v>8234</v>
      </c>
      <c r="B39" s="17" t="s">
        <v>8073</v>
      </c>
      <c r="C39" s="17" t="s">
        <v>189</v>
      </c>
      <c r="D39" s="55" t="s">
        <v>8235</v>
      </c>
      <c r="E39" s="17" t="s">
        <v>233</v>
      </c>
      <c r="F39" s="56" t="s">
        <v>8236</v>
      </c>
      <c r="G39" s="17" t="s">
        <v>8237</v>
      </c>
      <c r="H39" s="17"/>
      <c r="I39" s="17"/>
      <c r="J39" s="17"/>
      <c r="K39" s="17" t="s">
        <v>8232</v>
      </c>
      <c r="L39" s="17" t="s">
        <v>8238</v>
      </c>
      <c r="M39" s="17" t="s">
        <v>8239</v>
      </c>
      <c r="N39" s="15" t="s">
        <v>91</v>
      </c>
      <c r="O39" s="17" t="s">
        <v>6936</v>
      </c>
      <c r="P39" s="15" t="n">
        <v>36</v>
      </c>
    </row>
    <row r="40" customFormat="false" ht="22.35" hidden="false" customHeight="false" outlineLevel="0" collapsed="false">
      <c r="A40" s="57" t="s">
        <v>8240</v>
      </c>
      <c r="B40" s="58" t="s">
        <v>8073</v>
      </c>
      <c r="C40" s="58" t="s">
        <v>189</v>
      </c>
      <c r="D40" s="59" t="s">
        <v>8241</v>
      </c>
      <c r="E40" s="58" t="s">
        <v>233</v>
      </c>
      <c r="F40" s="60" t="s">
        <v>8242</v>
      </c>
      <c r="G40" s="58" t="s">
        <v>8243</v>
      </c>
      <c r="H40" s="58" t="s">
        <v>8244</v>
      </c>
      <c r="I40" s="58"/>
      <c r="J40" s="58"/>
      <c r="K40" s="58" t="s">
        <v>1046</v>
      </c>
      <c r="L40" s="58" t="s">
        <v>8245</v>
      </c>
      <c r="M40" s="58"/>
      <c r="N40" s="61" t="s">
        <v>91</v>
      </c>
      <c r="O40" s="58" t="s">
        <v>6936</v>
      </c>
      <c r="P40" s="61" t="n">
        <v>37</v>
      </c>
    </row>
    <row r="41" customFormat="false" ht="22.35" hidden="false" customHeight="false" outlineLevel="0" collapsed="false">
      <c r="A41" s="22" t="s">
        <v>8246</v>
      </c>
      <c r="B41" s="17" t="s">
        <v>8073</v>
      </c>
      <c r="C41" s="17" t="s">
        <v>189</v>
      </c>
      <c r="D41" s="55" t="s">
        <v>8247</v>
      </c>
      <c r="E41" s="17" t="s">
        <v>233</v>
      </c>
      <c r="F41" s="56" t="s">
        <v>8248</v>
      </c>
      <c r="G41" s="17" t="s">
        <v>8249</v>
      </c>
      <c r="H41" s="17"/>
      <c r="I41" s="17"/>
      <c r="J41" s="17"/>
      <c r="K41" s="17"/>
      <c r="L41" s="17" t="s">
        <v>7926</v>
      </c>
      <c r="M41" s="17"/>
      <c r="N41" s="15" t="s">
        <v>91</v>
      </c>
      <c r="O41" s="17" t="s">
        <v>6936</v>
      </c>
      <c r="P41" s="15" t="n">
        <v>38</v>
      </c>
    </row>
    <row r="42" customFormat="false" ht="22.35" hidden="false" customHeight="false" outlineLevel="0" collapsed="false">
      <c r="A42" s="57" t="s">
        <v>8250</v>
      </c>
      <c r="B42" s="58" t="s">
        <v>8073</v>
      </c>
      <c r="C42" s="58" t="s">
        <v>189</v>
      </c>
      <c r="D42" s="59" t="s">
        <v>8251</v>
      </c>
      <c r="E42" s="58" t="s">
        <v>233</v>
      </c>
      <c r="F42" s="60" t="s">
        <v>8252</v>
      </c>
      <c r="G42" s="58" t="s">
        <v>8253</v>
      </c>
      <c r="H42" s="58"/>
      <c r="I42" s="58"/>
      <c r="J42" s="58"/>
      <c r="K42" s="58"/>
      <c r="L42" s="58"/>
      <c r="M42" s="58" t="s">
        <v>8254</v>
      </c>
      <c r="N42" s="61" t="s">
        <v>91</v>
      </c>
      <c r="O42" s="58" t="s">
        <v>6936</v>
      </c>
      <c r="P42" s="61" t="n">
        <v>39</v>
      </c>
    </row>
    <row r="43" customFormat="false" ht="22.35" hidden="false" customHeight="false" outlineLevel="0" collapsed="false">
      <c r="A43" s="22" t="s">
        <v>8255</v>
      </c>
      <c r="B43" s="17" t="s">
        <v>8073</v>
      </c>
      <c r="C43" s="17" t="s">
        <v>189</v>
      </c>
      <c r="D43" s="55" t="s">
        <v>8256</v>
      </c>
      <c r="E43" s="17" t="s">
        <v>233</v>
      </c>
      <c r="F43" s="56" t="s">
        <v>8257</v>
      </c>
      <c r="G43" s="17" t="s">
        <v>8258</v>
      </c>
      <c r="H43" s="17"/>
      <c r="I43" s="17"/>
      <c r="J43" s="17"/>
      <c r="K43" s="17"/>
      <c r="L43" s="17" t="s">
        <v>8259</v>
      </c>
      <c r="M43" s="17"/>
      <c r="N43" s="15" t="s">
        <v>91</v>
      </c>
      <c r="O43" s="17" t="s">
        <v>6936</v>
      </c>
      <c r="P43" s="15" t="n">
        <v>40</v>
      </c>
    </row>
    <row r="44" customFormat="false" ht="22.35" hidden="false" customHeight="false" outlineLevel="0" collapsed="false">
      <c r="A44" s="57" t="s">
        <v>8260</v>
      </c>
      <c r="B44" s="58" t="s">
        <v>8073</v>
      </c>
      <c r="C44" s="58" t="s">
        <v>189</v>
      </c>
      <c r="D44" s="59" t="s">
        <v>8261</v>
      </c>
      <c r="E44" s="58" t="s">
        <v>233</v>
      </c>
      <c r="F44" s="60" t="s">
        <v>8262</v>
      </c>
      <c r="G44" s="58" t="s">
        <v>8263</v>
      </c>
      <c r="H44" s="58"/>
      <c r="I44" s="58"/>
      <c r="J44" s="58"/>
      <c r="K44" s="58"/>
      <c r="L44" s="58" t="s">
        <v>8264</v>
      </c>
      <c r="M44" s="58"/>
      <c r="N44" s="61" t="s">
        <v>91</v>
      </c>
      <c r="O44" s="58" t="s">
        <v>6936</v>
      </c>
      <c r="P44" s="61" t="n">
        <v>41</v>
      </c>
    </row>
    <row r="45" customFormat="false" ht="22.35" hidden="false" customHeight="false" outlineLevel="0" collapsed="false">
      <c r="A45" s="22" t="s">
        <v>8265</v>
      </c>
      <c r="B45" s="17" t="s">
        <v>8073</v>
      </c>
      <c r="C45" s="17" t="s">
        <v>189</v>
      </c>
      <c r="D45" s="55" t="s">
        <v>8266</v>
      </c>
      <c r="E45" s="17" t="s">
        <v>233</v>
      </c>
      <c r="F45" s="56" t="s">
        <v>8267</v>
      </c>
      <c r="G45" s="17" t="s">
        <v>8268</v>
      </c>
      <c r="H45" s="17"/>
      <c r="I45" s="17"/>
      <c r="J45" s="17" t="s">
        <v>8269</v>
      </c>
      <c r="K45" s="17"/>
      <c r="L45" s="17" t="s">
        <v>8270</v>
      </c>
      <c r="M45" s="17"/>
      <c r="N45" s="15" t="s">
        <v>91</v>
      </c>
      <c r="O45" s="17" t="s">
        <v>6936</v>
      </c>
      <c r="P45" s="15" t="n">
        <v>42</v>
      </c>
    </row>
    <row r="46" customFormat="false" ht="43.25" hidden="false" customHeight="false" outlineLevel="0" collapsed="false">
      <c r="A46" s="57" t="s">
        <v>8271</v>
      </c>
      <c r="B46" s="58" t="s">
        <v>8073</v>
      </c>
      <c r="C46" s="58" t="s">
        <v>189</v>
      </c>
      <c r="D46" s="59" t="s">
        <v>8272</v>
      </c>
      <c r="E46" s="58" t="s">
        <v>233</v>
      </c>
      <c r="F46" s="60" t="s">
        <v>8273</v>
      </c>
      <c r="G46" s="58" t="s">
        <v>8274</v>
      </c>
      <c r="H46" s="58" t="s">
        <v>8275</v>
      </c>
      <c r="I46" s="58"/>
      <c r="J46" s="58"/>
      <c r="K46" s="58" t="s">
        <v>8276</v>
      </c>
      <c r="L46" s="58" t="s">
        <v>8277</v>
      </c>
      <c r="M46" s="58"/>
      <c r="N46" s="61" t="s">
        <v>91</v>
      </c>
      <c r="O46" s="58" t="s">
        <v>6936</v>
      </c>
      <c r="P46" s="61" t="n">
        <v>43</v>
      </c>
    </row>
    <row r="47" customFormat="false" ht="22.35" hidden="false" customHeight="false" outlineLevel="0" collapsed="false">
      <c r="A47" s="22" t="s">
        <v>8278</v>
      </c>
      <c r="B47" s="17" t="s">
        <v>8073</v>
      </c>
      <c r="C47" s="17" t="s">
        <v>189</v>
      </c>
      <c r="D47" s="55" t="s">
        <v>8279</v>
      </c>
      <c r="E47" s="17" t="s">
        <v>233</v>
      </c>
      <c r="F47" s="56" t="s">
        <v>8280</v>
      </c>
      <c r="G47" s="17" t="s">
        <v>8281</v>
      </c>
      <c r="H47" s="17"/>
      <c r="I47" s="17"/>
      <c r="J47" s="17"/>
      <c r="K47" s="17"/>
      <c r="L47" s="17"/>
      <c r="M47" s="17" t="s">
        <v>8282</v>
      </c>
      <c r="N47" s="15" t="s">
        <v>91</v>
      </c>
      <c r="O47" s="17" t="s">
        <v>6936</v>
      </c>
      <c r="P47" s="15" t="n">
        <v>44</v>
      </c>
    </row>
    <row r="48" customFormat="false" ht="22.35" hidden="false" customHeight="false" outlineLevel="0" collapsed="false">
      <c r="A48" s="57" t="s">
        <v>8283</v>
      </c>
      <c r="B48" s="58" t="s">
        <v>8073</v>
      </c>
      <c r="C48" s="58" t="s">
        <v>189</v>
      </c>
      <c r="D48" s="59" t="s">
        <v>8284</v>
      </c>
      <c r="E48" s="58" t="s">
        <v>233</v>
      </c>
      <c r="F48" s="60" t="s">
        <v>8285</v>
      </c>
      <c r="G48" s="58" t="s">
        <v>8286</v>
      </c>
      <c r="H48" s="58"/>
      <c r="I48" s="58"/>
      <c r="J48" s="58"/>
      <c r="K48" s="58"/>
      <c r="L48" s="58"/>
      <c r="M48" s="58" t="s">
        <v>8254</v>
      </c>
      <c r="N48" s="61" t="s">
        <v>91</v>
      </c>
      <c r="O48" s="58" t="s">
        <v>6936</v>
      </c>
      <c r="P48" s="61" t="n">
        <v>45</v>
      </c>
    </row>
    <row r="49" customFormat="false" ht="22.35" hidden="false" customHeight="false" outlineLevel="0" collapsed="false">
      <c r="A49" s="22" t="s">
        <v>8287</v>
      </c>
      <c r="B49" s="17" t="s">
        <v>8073</v>
      </c>
      <c r="C49" s="17" t="s">
        <v>189</v>
      </c>
      <c r="D49" s="55" t="s">
        <v>8288</v>
      </c>
      <c r="E49" s="17" t="s">
        <v>233</v>
      </c>
      <c r="F49" s="56" t="s">
        <v>8289</v>
      </c>
      <c r="G49" s="17" t="s">
        <v>8290</v>
      </c>
      <c r="H49" s="17"/>
      <c r="I49" s="17"/>
      <c r="J49" s="17"/>
      <c r="K49" s="17"/>
      <c r="L49" s="17" t="s">
        <v>8291</v>
      </c>
      <c r="M49" s="17"/>
      <c r="N49" s="15" t="s">
        <v>91</v>
      </c>
      <c r="O49" s="17" t="s">
        <v>6936</v>
      </c>
      <c r="P49" s="15" t="n">
        <v>46</v>
      </c>
    </row>
    <row r="50" customFormat="false" ht="32.8" hidden="false" customHeight="false" outlineLevel="0" collapsed="false">
      <c r="A50" s="57" t="s">
        <v>8292</v>
      </c>
      <c r="B50" s="58" t="s">
        <v>8073</v>
      </c>
      <c r="C50" s="58" t="s">
        <v>189</v>
      </c>
      <c r="D50" s="59" t="s">
        <v>8293</v>
      </c>
      <c r="E50" s="58" t="s">
        <v>233</v>
      </c>
      <c r="F50" s="60" t="s">
        <v>8294</v>
      </c>
      <c r="G50" s="58" t="s">
        <v>8295</v>
      </c>
      <c r="H50" s="58"/>
      <c r="I50" s="58"/>
      <c r="J50" s="58"/>
      <c r="K50" s="58"/>
      <c r="L50" s="58" t="s">
        <v>8296</v>
      </c>
      <c r="M50" s="58"/>
      <c r="N50" s="61" t="s">
        <v>91</v>
      </c>
      <c r="O50" s="58" t="s">
        <v>6936</v>
      </c>
      <c r="P50" s="61" t="n">
        <v>48</v>
      </c>
    </row>
    <row r="51" customFormat="false" ht="22.35" hidden="false" customHeight="false" outlineLevel="0" collapsed="false">
      <c r="A51" s="22" t="s">
        <v>8297</v>
      </c>
      <c r="B51" s="17" t="s">
        <v>8073</v>
      </c>
      <c r="C51" s="17" t="s">
        <v>189</v>
      </c>
      <c r="D51" s="55" t="s">
        <v>8298</v>
      </c>
      <c r="E51" s="17" t="s">
        <v>233</v>
      </c>
      <c r="F51" s="56" t="s">
        <v>8299</v>
      </c>
      <c r="G51" s="17" t="s">
        <v>8300</v>
      </c>
      <c r="H51" s="17"/>
      <c r="I51" s="17"/>
      <c r="J51" s="17"/>
      <c r="K51" s="17" t="s">
        <v>1046</v>
      </c>
      <c r="L51" s="17" t="s">
        <v>8301</v>
      </c>
      <c r="M51" s="17"/>
      <c r="N51" s="15" t="s">
        <v>91</v>
      </c>
      <c r="O51" s="17" t="s">
        <v>6936</v>
      </c>
      <c r="P51" s="15" t="n">
        <v>49</v>
      </c>
    </row>
    <row r="52" customFormat="false" ht="22.35" hidden="false" customHeight="false" outlineLevel="0" collapsed="false">
      <c r="A52" s="57" t="s">
        <v>8302</v>
      </c>
      <c r="B52" s="58" t="s">
        <v>8073</v>
      </c>
      <c r="C52" s="58" t="s">
        <v>189</v>
      </c>
      <c r="D52" s="59" t="s">
        <v>8303</v>
      </c>
      <c r="E52" s="58" t="s">
        <v>228</v>
      </c>
      <c r="F52" s="60" t="s">
        <v>8304</v>
      </c>
      <c r="G52" s="58" t="s">
        <v>8305</v>
      </c>
      <c r="H52" s="58"/>
      <c r="I52" s="58" t="s">
        <v>8306</v>
      </c>
      <c r="J52" s="58"/>
      <c r="K52" s="58"/>
      <c r="L52" s="58" t="s">
        <v>8307</v>
      </c>
      <c r="M52" s="58"/>
      <c r="N52" s="61" t="s">
        <v>91</v>
      </c>
      <c r="O52" s="58" t="s">
        <v>6936</v>
      </c>
      <c r="P52" s="61" t="n">
        <v>51</v>
      </c>
    </row>
    <row r="53" customFormat="false" ht="22.35" hidden="false" customHeight="false" outlineLevel="0" collapsed="false">
      <c r="A53" s="22" t="s">
        <v>8308</v>
      </c>
      <c r="B53" s="17" t="s">
        <v>8073</v>
      </c>
      <c r="C53" s="17" t="s">
        <v>189</v>
      </c>
      <c r="D53" s="55" t="s">
        <v>8309</v>
      </c>
      <c r="E53" s="17" t="s">
        <v>228</v>
      </c>
      <c r="F53" s="56" t="s">
        <v>8310</v>
      </c>
      <c r="G53" s="17" t="s">
        <v>8311</v>
      </c>
      <c r="H53" s="17"/>
      <c r="I53" s="17" t="s">
        <v>8312</v>
      </c>
      <c r="J53" s="17"/>
      <c r="K53" s="17"/>
      <c r="L53" s="17" t="s">
        <v>6328</v>
      </c>
      <c r="M53" s="17"/>
      <c r="N53" s="15" t="s">
        <v>91</v>
      </c>
      <c r="O53" s="17" t="s">
        <v>6936</v>
      </c>
      <c r="P53" s="15" t="n">
        <v>52</v>
      </c>
    </row>
    <row r="54" customFormat="false" ht="22.35" hidden="false" customHeight="false" outlineLevel="0" collapsed="false">
      <c r="A54" s="57" t="s">
        <v>8313</v>
      </c>
      <c r="B54" s="58" t="s">
        <v>8073</v>
      </c>
      <c r="C54" s="58" t="s">
        <v>189</v>
      </c>
      <c r="D54" s="59" t="s">
        <v>8314</v>
      </c>
      <c r="E54" s="58" t="s">
        <v>228</v>
      </c>
      <c r="F54" s="60" t="s">
        <v>8315</v>
      </c>
      <c r="G54" s="58" t="s">
        <v>8316</v>
      </c>
      <c r="H54" s="58"/>
      <c r="I54" s="58" t="s">
        <v>8317</v>
      </c>
      <c r="J54" s="58"/>
      <c r="K54" s="58"/>
      <c r="L54" s="58" t="s">
        <v>8318</v>
      </c>
      <c r="M54" s="58"/>
      <c r="N54" s="61" t="s">
        <v>91</v>
      </c>
      <c r="O54" s="58" t="s">
        <v>6936</v>
      </c>
      <c r="P54" s="61" t="n">
        <v>53</v>
      </c>
    </row>
    <row r="55" customFormat="false" ht="22.35" hidden="false" customHeight="false" outlineLevel="0" collapsed="false">
      <c r="A55" s="22" t="s">
        <v>8319</v>
      </c>
      <c r="B55" s="17" t="s">
        <v>8073</v>
      </c>
      <c r="C55" s="17" t="s">
        <v>189</v>
      </c>
      <c r="D55" s="55" t="s">
        <v>8320</v>
      </c>
      <c r="E55" s="17" t="s">
        <v>228</v>
      </c>
      <c r="F55" s="56" t="s">
        <v>8321</v>
      </c>
      <c r="G55" s="17" t="s">
        <v>8322</v>
      </c>
      <c r="H55" s="17"/>
      <c r="I55" s="17" t="s">
        <v>8323</v>
      </c>
      <c r="J55" s="17"/>
      <c r="K55" s="17"/>
      <c r="L55" s="17" t="s">
        <v>8324</v>
      </c>
      <c r="M55" s="17"/>
      <c r="N55" s="15" t="s">
        <v>91</v>
      </c>
      <c r="O55" s="17" t="s">
        <v>6936</v>
      </c>
      <c r="P55" s="15" t="n">
        <v>54</v>
      </c>
    </row>
    <row r="56" customFormat="false" ht="22.35" hidden="false" customHeight="false" outlineLevel="0" collapsed="false">
      <c r="A56" s="57" t="s">
        <v>8325</v>
      </c>
      <c r="B56" s="58" t="s">
        <v>8073</v>
      </c>
      <c r="C56" s="58" t="s">
        <v>189</v>
      </c>
      <c r="D56" s="59" t="s">
        <v>8326</v>
      </c>
      <c r="E56" s="58" t="s">
        <v>228</v>
      </c>
      <c r="F56" s="60" t="s">
        <v>8327</v>
      </c>
      <c r="G56" s="58" t="s">
        <v>8328</v>
      </c>
      <c r="H56" s="58"/>
      <c r="I56" s="58" t="s">
        <v>8329</v>
      </c>
      <c r="J56" s="58"/>
      <c r="K56" s="58"/>
      <c r="L56" s="58" t="s">
        <v>8330</v>
      </c>
      <c r="M56" s="58"/>
      <c r="N56" s="61" t="s">
        <v>91</v>
      </c>
      <c r="O56" s="58" t="s">
        <v>6936</v>
      </c>
      <c r="P56" s="61" t="n">
        <v>55</v>
      </c>
    </row>
    <row r="57" customFormat="false" ht="32.8" hidden="false" customHeight="false" outlineLevel="0" collapsed="false">
      <c r="A57" s="22" t="s">
        <v>8331</v>
      </c>
      <c r="B57" s="17" t="s">
        <v>8073</v>
      </c>
      <c r="C57" s="17" t="s">
        <v>189</v>
      </c>
      <c r="D57" s="55" t="s">
        <v>8332</v>
      </c>
      <c r="E57" s="17" t="s">
        <v>228</v>
      </c>
      <c r="F57" s="56" t="s">
        <v>8333</v>
      </c>
      <c r="G57" s="17" t="s">
        <v>8334</v>
      </c>
      <c r="H57" s="17"/>
      <c r="I57" s="17" t="s">
        <v>8306</v>
      </c>
      <c r="J57" s="17"/>
      <c r="K57" s="17"/>
      <c r="L57" s="17" t="s">
        <v>8335</v>
      </c>
      <c r="M57" s="17"/>
      <c r="N57" s="15" t="s">
        <v>91</v>
      </c>
      <c r="O57" s="17" t="s">
        <v>6936</v>
      </c>
      <c r="P57" s="15" t="n">
        <v>57</v>
      </c>
    </row>
    <row r="58" customFormat="false" ht="15" hidden="false" customHeight="false" outlineLevel="0" collapsed="false">
      <c r="A58" s="57" t="s">
        <v>8336</v>
      </c>
      <c r="B58" s="58" t="s">
        <v>8073</v>
      </c>
      <c r="C58" s="58" t="s">
        <v>189</v>
      </c>
      <c r="D58" s="59" t="s">
        <v>8337</v>
      </c>
      <c r="E58" s="58" t="s">
        <v>228</v>
      </c>
      <c r="F58" s="60" t="s">
        <v>8338</v>
      </c>
      <c r="G58" s="58" t="s">
        <v>8339</v>
      </c>
      <c r="H58" s="58"/>
      <c r="I58" s="58" t="s">
        <v>8312</v>
      </c>
      <c r="J58" s="58"/>
      <c r="K58" s="58"/>
      <c r="L58" s="58" t="s">
        <v>8340</v>
      </c>
      <c r="M58" s="58" t="s">
        <v>8254</v>
      </c>
      <c r="N58" s="61" t="s">
        <v>91</v>
      </c>
      <c r="O58" s="58" t="s">
        <v>6936</v>
      </c>
      <c r="P58" s="61" t="n">
        <v>58</v>
      </c>
    </row>
    <row r="59" customFormat="false" ht="22.35" hidden="false" customHeight="false" outlineLevel="0" collapsed="false">
      <c r="A59" s="22" t="s">
        <v>8341</v>
      </c>
      <c r="B59" s="17" t="s">
        <v>8073</v>
      </c>
      <c r="C59" s="17" t="s">
        <v>189</v>
      </c>
      <c r="D59" s="55" t="s">
        <v>8342</v>
      </c>
      <c r="E59" s="17" t="s">
        <v>228</v>
      </c>
      <c r="F59" s="56" t="s">
        <v>8343</v>
      </c>
      <c r="G59" s="17" t="s">
        <v>8344</v>
      </c>
      <c r="H59" s="17"/>
      <c r="I59" s="17" t="s">
        <v>8345</v>
      </c>
      <c r="J59" s="17"/>
      <c r="K59" s="17"/>
      <c r="L59" s="17" t="s">
        <v>6964</v>
      </c>
      <c r="M59" s="17"/>
      <c r="N59" s="15" t="s">
        <v>91</v>
      </c>
      <c r="O59" s="17" t="s">
        <v>6936</v>
      </c>
      <c r="P59" s="15" t="n">
        <v>60</v>
      </c>
    </row>
    <row r="60" customFormat="false" ht="22.35" hidden="false" customHeight="false" outlineLevel="0" collapsed="false">
      <c r="A60" s="57" t="s">
        <v>8346</v>
      </c>
      <c r="B60" s="58" t="s">
        <v>8073</v>
      </c>
      <c r="C60" s="58" t="s">
        <v>189</v>
      </c>
      <c r="D60" s="59" t="s">
        <v>8347</v>
      </c>
      <c r="E60" s="58" t="s">
        <v>228</v>
      </c>
      <c r="F60" s="60" t="s">
        <v>8348</v>
      </c>
      <c r="G60" s="58" t="s">
        <v>8349</v>
      </c>
      <c r="H60" s="58"/>
      <c r="I60" s="58" t="s">
        <v>8350</v>
      </c>
      <c r="J60" s="58"/>
      <c r="K60" s="58"/>
      <c r="L60" s="58" t="s">
        <v>6964</v>
      </c>
      <c r="M60" s="58"/>
      <c r="N60" s="61" t="s">
        <v>91</v>
      </c>
      <c r="O60" s="58" t="s">
        <v>6936</v>
      </c>
      <c r="P60" s="61" t="n">
        <v>61</v>
      </c>
    </row>
    <row r="61" customFormat="false" ht="22.35" hidden="false" customHeight="false" outlineLevel="0" collapsed="false">
      <c r="A61" s="22" t="s">
        <v>8351</v>
      </c>
      <c r="B61" s="17" t="s">
        <v>8073</v>
      </c>
      <c r="C61" s="17" t="s">
        <v>189</v>
      </c>
      <c r="D61" s="55" t="s">
        <v>8352</v>
      </c>
      <c r="E61" s="17" t="s">
        <v>228</v>
      </c>
      <c r="F61" s="56" t="s">
        <v>8353</v>
      </c>
      <c r="G61" s="17" t="s">
        <v>8354</v>
      </c>
      <c r="H61" s="17"/>
      <c r="I61" s="17" t="s">
        <v>8355</v>
      </c>
      <c r="J61" s="17"/>
      <c r="K61" s="17"/>
      <c r="L61" s="17" t="s">
        <v>6964</v>
      </c>
      <c r="M61" s="17"/>
      <c r="N61" s="15" t="s">
        <v>91</v>
      </c>
      <c r="O61" s="17" t="s">
        <v>6936</v>
      </c>
      <c r="P61" s="15" t="n">
        <v>62</v>
      </c>
    </row>
    <row r="62" customFormat="false" ht="22.35" hidden="false" customHeight="false" outlineLevel="0" collapsed="false">
      <c r="A62" s="57" t="s">
        <v>8356</v>
      </c>
      <c r="B62" s="58" t="s">
        <v>8073</v>
      </c>
      <c r="C62" s="58" t="s">
        <v>189</v>
      </c>
      <c r="D62" s="59" t="s">
        <v>8357</v>
      </c>
      <c r="E62" s="58" t="s">
        <v>228</v>
      </c>
      <c r="F62" s="60" t="s">
        <v>8358</v>
      </c>
      <c r="G62" s="58" t="s">
        <v>8359</v>
      </c>
      <c r="H62" s="58"/>
      <c r="I62" s="58" t="s">
        <v>8345</v>
      </c>
      <c r="J62" s="58"/>
      <c r="K62" s="58"/>
      <c r="L62" s="58" t="s">
        <v>6972</v>
      </c>
      <c r="M62" s="58"/>
      <c r="N62" s="61" t="s">
        <v>91</v>
      </c>
      <c r="O62" s="58" t="s">
        <v>6936</v>
      </c>
      <c r="P62" s="61" t="n">
        <v>64</v>
      </c>
    </row>
    <row r="63" customFormat="false" ht="32.8" hidden="false" customHeight="false" outlineLevel="0" collapsed="false">
      <c r="A63" s="22" t="s">
        <v>8360</v>
      </c>
      <c r="B63" s="17" t="s">
        <v>8073</v>
      </c>
      <c r="C63" s="17" t="s">
        <v>189</v>
      </c>
      <c r="D63" s="55" t="s">
        <v>8361</v>
      </c>
      <c r="E63" s="17" t="s">
        <v>228</v>
      </c>
      <c r="F63" s="56" t="s">
        <v>8362</v>
      </c>
      <c r="G63" s="17" t="s">
        <v>8363</v>
      </c>
      <c r="H63" s="17"/>
      <c r="I63" s="17" t="s">
        <v>8364</v>
      </c>
      <c r="J63" s="17"/>
      <c r="K63" s="17"/>
      <c r="L63" s="17" t="s">
        <v>6972</v>
      </c>
      <c r="M63" s="17"/>
      <c r="N63" s="15" t="s">
        <v>91</v>
      </c>
      <c r="O63" s="17" t="s">
        <v>6936</v>
      </c>
      <c r="P63" s="15" t="n">
        <v>65</v>
      </c>
    </row>
    <row r="64" customFormat="false" ht="22.35" hidden="false" customHeight="false" outlineLevel="0" collapsed="false">
      <c r="A64" s="57" t="s">
        <v>8365</v>
      </c>
      <c r="B64" s="58" t="s">
        <v>8073</v>
      </c>
      <c r="C64" s="58" t="s">
        <v>189</v>
      </c>
      <c r="D64" s="59" t="s">
        <v>8366</v>
      </c>
      <c r="E64" s="58" t="s">
        <v>228</v>
      </c>
      <c r="F64" s="60" t="s">
        <v>8367</v>
      </c>
      <c r="G64" s="58" t="s">
        <v>8368</v>
      </c>
      <c r="H64" s="58"/>
      <c r="I64" s="58" t="s">
        <v>8369</v>
      </c>
      <c r="J64" s="58"/>
      <c r="K64" s="58"/>
      <c r="L64" s="58" t="s">
        <v>6972</v>
      </c>
      <c r="M64" s="58"/>
      <c r="N64" s="61" t="s">
        <v>91</v>
      </c>
      <c r="O64" s="58" t="s">
        <v>6936</v>
      </c>
      <c r="P64" s="61" t="n">
        <v>66</v>
      </c>
    </row>
    <row r="65" customFormat="false" ht="15" hidden="false" customHeight="false" outlineLevel="0" collapsed="false">
      <c r="A65" s="22" t="s">
        <v>8370</v>
      </c>
      <c r="B65" s="17" t="s">
        <v>8073</v>
      </c>
      <c r="C65" s="17" t="s">
        <v>189</v>
      </c>
      <c r="D65" s="55" t="s">
        <v>8371</v>
      </c>
      <c r="E65" s="17" t="s">
        <v>228</v>
      </c>
      <c r="F65" s="56" t="s">
        <v>8372</v>
      </c>
      <c r="G65" s="17" t="s">
        <v>8373</v>
      </c>
      <c r="H65" s="17"/>
      <c r="I65" s="17" t="s">
        <v>8306</v>
      </c>
      <c r="J65" s="17"/>
      <c r="K65" s="17"/>
      <c r="L65" s="17" t="s">
        <v>7481</v>
      </c>
      <c r="M65" s="17"/>
      <c r="N65" s="15" t="s">
        <v>91</v>
      </c>
      <c r="O65" s="17" t="s">
        <v>6936</v>
      </c>
      <c r="P65" s="15" t="n">
        <v>68</v>
      </c>
    </row>
    <row r="66" customFormat="false" ht="22.35" hidden="false" customHeight="false" outlineLevel="0" collapsed="false">
      <c r="A66" s="57" t="s">
        <v>8374</v>
      </c>
      <c r="B66" s="58" t="s">
        <v>8073</v>
      </c>
      <c r="C66" s="58" t="s">
        <v>189</v>
      </c>
      <c r="D66" s="59" t="s">
        <v>8375</v>
      </c>
      <c r="E66" s="58" t="s">
        <v>228</v>
      </c>
      <c r="F66" s="60" t="s">
        <v>8376</v>
      </c>
      <c r="G66" s="58" t="s">
        <v>8377</v>
      </c>
      <c r="H66" s="58"/>
      <c r="I66" s="58" t="s">
        <v>8312</v>
      </c>
      <c r="J66" s="58"/>
      <c r="K66" s="58"/>
      <c r="L66" s="58" t="s">
        <v>8340</v>
      </c>
      <c r="M66" s="58" t="s">
        <v>8254</v>
      </c>
      <c r="N66" s="61" t="s">
        <v>91</v>
      </c>
      <c r="O66" s="58" t="s">
        <v>6936</v>
      </c>
      <c r="P66" s="61" t="n">
        <v>69</v>
      </c>
    </row>
    <row r="67" customFormat="false" ht="15" hidden="false" customHeight="false" outlineLevel="0" collapsed="false">
      <c r="A67" s="22" t="s">
        <v>8378</v>
      </c>
      <c r="B67" s="17" t="s">
        <v>8073</v>
      </c>
      <c r="C67" s="17" t="s">
        <v>189</v>
      </c>
      <c r="D67" s="55" t="s">
        <v>8379</v>
      </c>
      <c r="E67" s="17" t="s">
        <v>228</v>
      </c>
      <c r="F67" s="56" t="s">
        <v>8380</v>
      </c>
      <c r="G67" s="17" t="s">
        <v>8381</v>
      </c>
      <c r="H67" s="17"/>
      <c r="I67" s="17" t="s">
        <v>8306</v>
      </c>
      <c r="J67" s="17"/>
      <c r="K67" s="17"/>
      <c r="L67" s="17" t="s">
        <v>6972</v>
      </c>
      <c r="M67" s="17"/>
      <c r="N67" s="15" t="s">
        <v>91</v>
      </c>
      <c r="O67" s="17" t="s">
        <v>6936</v>
      </c>
      <c r="P67" s="15" t="n">
        <v>71</v>
      </c>
    </row>
    <row r="68" customFormat="false" ht="22.35" hidden="false" customHeight="false" outlineLevel="0" collapsed="false">
      <c r="A68" s="57" t="s">
        <v>8382</v>
      </c>
      <c r="B68" s="58" t="s">
        <v>8073</v>
      </c>
      <c r="C68" s="58" t="s">
        <v>189</v>
      </c>
      <c r="D68" s="59" t="s">
        <v>8383</v>
      </c>
      <c r="E68" s="58" t="s">
        <v>228</v>
      </c>
      <c r="F68" s="60" t="s">
        <v>8384</v>
      </c>
      <c r="G68" s="58" t="s">
        <v>8385</v>
      </c>
      <c r="H68" s="58"/>
      <c r="I68" s="58" t="s">
        <v>8312</v>
      </c>
      <c r="J68" s="58"/>
      <c r="K68" s="58"/>
      <c r="L68" s="58" t="s">
        <v>8340</v>
      </c>
      <c r="M68" s="58" t="s">
        <v>8254</v>
      </c>
      <c r="N68" s="61" t="s">
        <v>91</v>
      </c>
      <c r="O68" s="58" t="s">
        <v>6936</v>
      </c>
      <c r="P68" s="61" t="n">
        <v>72</v>
      </c>
    </row>
    <row r="69" customFormat="false" ht="22.35" hidden="false" customHeight="false" outlineLevel="0" collapsed="false">
      <c r="A69" s="22" t="s">
        <v>8386</v>
      </c>
      <c r="B69" s="17" t="s">
        <v>8073</v>
      </c>
      <c r="C69" s="17" t="s">
        <v>189</v>
      </c>
      <c r="D69" s="55" t="s">
        <v>8387</v>
      </c>
      <c r="E69" s="17" t="s">
        <v>228</v>
      </c>
      <c r="F69" s="56" t="s">
        <v>8388</v>
      </c>
      <c r="G69" s="17" t="s">
        <v>8389</v>
      </c>
      <c r="H69" s="17"/>
      <c r="I69" s="17" t="s">
        <v>8390</v>
      </c>
      <c r="J69" s="17"/>
      <c r="K69" s="17"/>
      <c r="L69" s="17" t="s">
        <v>6972</v>
      </c>
      <c r="M69" s="17"/>
      <c r="N69" s="15" t="s">
        <v>91</v>
      </c>
      <c r="O69" s="17" t="s">
        <v>6936</v>
      </c>
      <c r="P69" s="15" t="n">
        <v>73</v>
      </c>
    </row>
    <row r="70" customFormat="false" ht="15" hidden="false" customHeight="false" outlineLevel="0" collapsed="false">
      <c r="A70" s="57" t="s">
        <v>8391</v>
      </c>
      <c r="B70" s="58" t="s">
        <v>8073</v>
      </c>
      <c r="C70" s="58" t="s">
        <v>189</v>
      </c>
      <c r="D70" s="59" t="s">
        <v>8392</v>
      </c>
      <c r="E70" s="58" t="s">
        <v>228</v>
      </c>
      <c r="F70" s="60" t="s">
        <v>8393</v>
      </c>
      <c r="G70" s="58" t="s">
        <v>8394</v>
      </c>
      <c r="H70" s="58"/>
      <c r="I70" s="58" t="s">
        <v>8306</v>
      </c>
      <c r="J70" s="58"/>
      <c r="K70" s="58"/>
      <c r="L70" s="58" t="s">
        <v>8395</v>
      </c>
      <c r="M70" s="58"/>
      <c r="N70" s="61" t="s">
        <v>91</v>
      </c>
      <c r="O70" s="58" t="s">
        <v>6936</v>
      </c>
      <c r="P70" s="61" t="n">
        <v>75</v>
      </c>
    </row>
    <row r="71" customFormat="false" ht="22.35" hidden="false" customHeight="false" outlineLevel="0" collapsed="false">
      <c r="A71" s="22" t="s">
        <v>8396</v>
      </c>
      <c r="B71" s="17" t="s">
        <v>8073</v>
      </c>
      <c r="C71" s="17" t="s">
        <v>189</v>
      </c>
      <c r="D71" s="55" t="s">
        <v>8397</v>
      </c>
      <c r="E71" s="17" t="s">
        <v>228</v>
      </c>
      <c r="F71" s="56" t="s">
        <v>8398</v>
      </c>
      <c r="G71" s="17" t="s">
        <v>8399</v>
      </c>
      <c r="H71" s="17"/>
      <c r="I71" s="17" t="s">
        <v>8312</v>
      </c>
      <c r="J71" s="17"/>
      <c r="K71" s="17"/>
      <c r="L71" s="17" t="s">
        <v>8395</v>
      </c>
      <c r="M71" s="17"/>
      <c r="N71" s="15" t="s">
        <v>91</v>
      </c>
      <c r="O71" s="17" t="s">
        <v>6936</v>
      </c>
      <c r="P71" s="15" t="n">
        <v>76</v>
      </c>
    </row>
    <row r="72" customFormat="false" ht="22.35" hidden="false" customHeight="false" outlineLevel="0" collapsed="false">
      <c r="A72" s="57" t="s">
        <v>8400</v>
      </c>
      <c r="B72" s="58" t="s">
        <v>8073</v>
      </c>
      <c r="C72" s="58" t="s">
        <v>189</v>
      </c>
      <c r="D72" s="59" t="s">
        <v>8401</v>
      </c>
      <c r="E72" s="58" t="s">
        <v>228</v>
      </c>
      <c r="F72" s="60" t="s">
        <v>8402</v>
      </c>
      <c r="G72" s="58" t="s">
        <v>8403</v>
      </c>
      <c r="H72" s="58"/>
      <c r="I72" s="58" t="s">
        <v>8317</v>
      </c>
      <c r="J72" s="58"/>
      <c r="K72" s="58"/>
      <c r="L72" s="58" t="s">
        <v>8395</v>
      </c>
      <c r="M72" s="58"/>
      <c r="N72" s="61" t="s">
        <v>91</v>
      </c>
      <c r="O72" s="58" t="s">
        <v>6936</v>
      </c>
      <c r="P72" s="61" t="n">
        <v>77</v>
      </c>
    </row>
    <row r="73" customFormat="false" ht="22.35" hidden="false" customHeight="false" outlineLevel="0" collapsed="false">
      <c r="A73" s="22" t="s">
        <v>8404</v>
      </c>
      <c r="B73" s="17" t="s">
        <v>8073</v>
      </c>
      <c r="C73" s="17" t="s">
        <v>189</v>
      </c>
      <c r="D73" s="55" t="s">
        <v>8405</v>
      </c>
      <c r="E73" s="17" t="s">
        <v>228</v>
      </c>
      <c r="F73" s="56" t="s">
        <v>8406</v>
      </c>
      <c r="G73" s="17" t="s">
        <v>8407</v>
      </c>
      <c r="H73" s="17"/>
      <c r="I73" s="17" t="s">
        <v>8323</v>
      </c>
      <c r="J73" s="17"/>
      <c r="K73" s="17"/>
      <c r="L73" s="17" t="s">
        <v>8408</v>
      </c>
      <c r="M73" s="17"/>
      <c r="N73" s="15" t="s">
        <v>91</v>
      </c>
      <c r="O73" s="17" t="s">
        <v>6936</v>
      </c>
      <c r="P73" s="15" t="n">
        <v>78</v>
      </c>
    </row>
    <row r="74" customFormat="false" ht="32.8" hidden="false" customHeight="false" outlineLevel="0" collapsed="false">
      <c r="A74" s="57" t="s">
        <v>8409</v>
      </c>
      <c r="B74" s="58" t="s">
        <v>8073</v>
      </c>
      <c r="C74" s="58" t="s">
        <v>189</v>
      </c>
      <c r="D74" s="59" t="s">
        <v>8410</v>
      </c>
      <c r="E74" s="58" t="s">
        <v>223</v>
      </c>
      <c r="F74" s="60" t="s">
        <v>8411</v>
      </c>
      <c r="G74" s="58" t="s">
        <v>8412</v>
      </c>
      <c r="H74" s="58"/>
      <c r="I74" s="58" t="s">
        <v>8413</v>
      </c>
      <c r="J74" s="58"/>
      <c r="K74" s="58"/>
      <c r="L74" s="58"/>
      <c r="M74" s="58" t="s">
        <v>8414</v>
      </c>
      <c r="N74" s="61" t="s">
        <v>91</v>
      </c>
      <c r="O74" s="58" t="s">
        <v>6936</v>
      </c>
      <c r="P74" s="61" t="n">
        <v>81</v>
      </c>
    </row>
    <row r="75" customFormat="false" ht="15" hidden="false" customHeight="false" outlineLevel="0" collapsed="false">
      <c r="A75" s="22" t="s">
        <v>8415</v>
      </c>
      <c r="B75" s="17" t="s">
        <v>8073</v>
      </c>
      <c r="C75" s="17" t="s">
        <v>189</v>
      </c>
      <c r="D75" s="55" t="s">
        <v>8416</v>
      </c>
      <c r="E75" s="17" t="s">
        <v>223</v>
      </c>
      <c r="F75" s="56" t="s">
        <v>8417</v>
      </c>
      <c r="G75" s="17" t="s">
        <v>8418</v>
      </c>
      <c r="H75" s="17"/>
      <c r="I75" s="17" t="s">
        <v>8419</v>
      </c>
      <c r="J75" s="17"/>
      <c r="K75" s="17"/>
      <c r="L75" s="17"/>
      <c r="M75" s="17" t="s">
        <v>8420</v>
      </c>
      <c r="N75" s="15" t="s">
        <v>91</v>
      </c>
      <c r="O75" s="17" t="s">
        <v>6936</v>
      </c>
      <c r="P75" s="15" t="n">
        <v>82</v>
      </c>
    </row>
    <row r="76" customFormat="false" ht="15" hidden="false" customHeight="false" outlineLevel="0" collapsed="false">
      <c r="A76" s="57" t="s">
        <v>8421</v>
      </c>
      <c r="B76" s="58" t="s">
        <v>8073</v>
      </c>
      <c r="C76" s="58" t="s">
        <v>189</v>
      </c>
      <c r="D76" s="59" t="s">
        <v>8422</v>
      </c>
      <c r="E76" s="58" t="s">
        <v>223</v>
      </c>
      <c r="F76" s="60" t="s">
        <v>8423</v>
      </c>
      <c r="G76" s="58" t="s">
        <v>8424</v>
      </c>
      <c r="H76" s="58"/>
      <c r="I76" s="58" t="s">
        <v>8425</v>
      </c>
      <c r="J76" s="58"/>
      <c r="K76" s="58" t="s">
        <v>1046</v>
      </c>
      <c r="L76" s="58"/>
      <c r="M76" s="58" t="s">
        <v>8420</v>
      </c>
      <c r="N76" s="61" t="s">
        <v>91</v>
      </c>
      <c r="O76" s="58" t="s">
        <v>6936</v>
      </c>
      <c r="P76" s="61" t="n">
        <v>83</v>
      </c>
    </row>
    <row r="77" customFormat="false" ht="22.35" hidden="false" customHeight="false" outlineLevel="0" collapsed="false">
      <c r="A77" s="22" t="s">
        <v>8426</v>
      </c>
      <c r="B77" s="17" t="s">
        <v>8073</v>
      </c>
      <c r="C77" s="17" t="s">
        <v>190</v>
      </c>
      <c r="D77" s="55" t="s">
        <v>8427</v>
      </c>
      <c r="E77" s="17" t="s">
        <v>223</v>
      </c>
      <c r="F77" s="56" t="s">
        <v>8428</v>
      </c>
      <c r="G77" s="17" t="s">
        <v>8429</v>
      </c>
      <c r="H77" s="17"/>
      <c r="I77" s="17" t="s">
        <v>8430</v>
      </c>
      <c r="J77" s="17"/>
      <c r="K77" s="17" t="s">
        <v>1046</v>
      </c>
      <c r="L77" s="17" t="s">
        <v>7301</v>
      </c>
      <c r="M77" s="17"/>
      <c r="N77" s="15" t="s">
        <v>91</v>
      </c>
      <c r="O77" s="17" t="s">
        <v>7797</v>
      </c>
      <c r="P77" s="15" t="n">
        <v>27</v>
      </c>
    </row>
    <row r="78" customFormat="false" ht="22.35" hidden="false" customHeight="false" outlineLevel="0" collapsed="false">
      <c r="A78" s="57" t="s">
        <v>8431</v>
      </c>
      <c r="B78" s="58" t="s">
        <v>8073</v>
      </c>
      <c r="C78" s="58" t="s">
        <v>190</v>
      </c>
      <c r="D78" s="59" t="s">
        <v>8432</v>
      </c>
      <c r="E78" s="58" t="s">
        <v>233</v>
      </c>
      <c r="F78" s="60" t="s">
        <v>8433</v>
      </c>
      <c r="G78" s="58" t="s">
        <v>8434</v>
      </c>
      <c r="H78" s="58"/>
      <c r="I78" s="58"/>
      <c r="J78" s="58"/>
      <c r="K78" s="58" t="s">
        <v>8435</v>
      </c>
      <c r="L78" s="58" t="s">
        <v>7645</v>
      </c>
      <c r="M78" s="58"/>
      <c r="N78" s="61" t="s">
        <v>91</v>
      </c>
      <c r="O78" s="58" t="s">
        <v>7804</v>
      </c>
      <c r="P78" s="61" t="n">
        <v>49</v>
      </c>
    </row>
    <row r="79" customFormat="false" ht="22.35" hidden="false" customHeight="false" outlineLevel="0" collapsed="false">
      <c r="A79" s="22" t="s">
        <v>8436</v>
      </c>
      <c r="B79" s="17" t="s">
        <v>8073</v>
      </c>
      <c r="C79" s="17" t="s">
        <v>190</v>
      </c>
      <c r="D79" s="55" t="s">
        <v>8437</v>
      </c>
      <c r="E79" s="17" t="s">
        <v>233</v>
      </c>
      <c r="F79" s="56" t="s">
        <v>8438</v>
      </c>
      <c r="G79" s="17" t="s">
        <v>8439</v>
      </c>
      <c r="H79" s="17"/>
      <c r="I79" s="17"/>
      <c r="J79" s="17"/>
      <c r="K79" s="17" t="s">
        <v>8435</v>
      </c>
      <c r="L79" s="17" t="s">
        <v>7645</v>
      </c>
      <c r="M79" s="17"/>
      <c r="N79" s="15" t="s">
        <v>91</v>
      </c>
      <c r="O79" s="17" t="s">
        <v>7804</v>
      </c>
      <c r="P79" s="15" t="n">
        <v>50</v>
      </c>
    </row>
    <row r="80" customFormat="false" ht="22.35" hidden="false" customHeight="false" outlineLevel="0" collapsed="false">
      <c r="A80" s="57" t="s">
        <v>8440</v>
      </c>
      <c r="B80" s="58" t="s">
        <v>8073</v>
      </c>
      <c r="C80" s="58" t="s">
        <v>190</v>
      </c>
      <c r="D80" s="59" t="s">
        <v>8441</v>
      </c>
      <c r="E80" s="58" t="s">
        <v>233</v>
      </c>
      <c r="F80" s="60" t="s">
        <v>8442</v>
      </c>
      <c r="G80" s="58" t="s">
        <v>8443</v>
      </c>
      <c r="H80" s="58"/>
      <c r="I80" s="58"/>
      <c r="J80" s="58"/>
      <c r="K80" s="58" t="s">
        <v>8435</v>
      </c>
      <c r="L80" s="58" t="s">
        <v>7645</v>
      </c>
      <c r="M80" s="58"/>
      <c r="N80" s="61" t="s">
        <v>91</v>
      </c>
      <c r="O80" s="58" t="s">
        <v>7804</v>
      </c>
      <c r="P80" s="61" t="n">
        <v>51</v>
      </c>
    </row>
    <row r="81" customFormat="false" ht="22.35" hidden="false" customHeight="false" outlineLevel="0" collapsed="false">
      <c r="A81" s="22" t="s">
        <v>8444</v>
      </c>
      <c r="B81" s="17" t="s">
        <v>8073</v>
      </c>
      <c r="C81" s="17" t="s">
        <v>190</v>
      </c>
      <c r="D81" s="55" t="s">
        <v>8445</v>
      </c>
      <c r="E81" s="17" t="s">
        <v>228</v>
      </c>
      <c r="F81" s="56" t="s">
        <v>8446</v>
      </c>
      <c r="G81" s="17" t="s">
        <v>8447</v>
      </c>
      <c r="H81" s="17"/>
      <c r="I81" s="17" t="s">
        <v>8275</v>
      </c>
      <c r="J81" s="17"/>
      <c r="K81" s="17"/>
      <c r="L81" s="17"/>
      <c r="M81" s="17"/>
      <c r="N81" s="15" t="s">
        <v>91</v>
      </c>
      <c r="O81" s="17" t="s">
        <v>7804</v>
      </c>
      <c r="P81" s="15" t="n">
        <v>52</v>
      </c>
    </row>
    <row r="82" customFormat="false" ht="22.35" hidden="false" customHeight="false" outlineLevel="0" collapsed="false">
      <c r="A82" s="57" t="s">
        <v>8448</v>
      </c>
      <c r="B82" s="58" t="s">
        <v>8073</v>
      </c>
      <c r="C82" s="58" t="s">
        <v>190</v>
      </c>
      <c r="D82" s="59" t="s">
        <v>8449</v>
      </c>
      <c r="E82" s="58" t="s">
        <v>233</v>
      </c>
      <c r="F82" s="60" t="s">
        <v>8450</v>
      </c>
      <c r="G82" s="58" t="s">
        <v>8451</v>
      </c>
      <c r="H82" s="58"/>
      <c r="I82" s="58"/>
      <c r="J82" s="58"/>
      <c r="K82" s="58" t="s">
        <v>8435</v>
      </c>
      <c r="L82" s="58" t="s">
        <v>8452</v>
      </c>
      <c r="M82" s="58"/>
      <c r="N82" s="61" t="s">
        <v>91</v>
      </c>
      <c r="O82" s="58" t="s">
        <v>7804</v>
      </c>
      <c r="P82" s="61" t="n">
        <v>55</v>
      </c>
    </row>
    <row r="83" customFormat="false" ht="22.35" hidden="false" customHeight="false" outlineLevel="0" collapsed="false">
      <c r="A83" s="22" t="s">
        <v>8453</v>
      </c>
      <c r="B83" s="17" t="s">
        <v>8073</v>
      </c>
      <c r="C83" s="17" t="s">
        <v>190</v>
      </c>
      <c r="D83" s="55" t="s">
        <v>8454</v>
      </c>
      <c r="E83" s="17" t="s">
        <v>233</v>
      </c>
      <c r="F83" s="56" t="s">
        <v>8455</v>
      </c>
      <c r="G83" s="17" t="s">
        <v>8456</v>
      </c>
      <c r="H83" s="17"/>
      <c r="I83" s="17"/>
      <c r="J83" s="17"/>
      <c r="K83" s="17" t="s">
        <v>8435</v>
      </c>
      <c r="L83" s="17" t="s">
        <v>8457</v>
      </c>
      <c r="M83" s="17" t="s">
        <v>8458</v>
      </c>
      <c r="N83" s="15" t="s">
        <v>91</v>
      </c>
      <c r="O83" s="17" t="s">
        <v>7804</v>
      </c>
      <c r="P83" s="15" t="n">
        <v>57</v>
      </c>
    </row>
    <row r="84" customFormat="false" ht="22.35" hidden="false" customHeight="false" outlineLevel="0" collapsed="false">
      <c r="A84" s="57" t="s">
        <v>8459</v>
      </c>
      <c r="B84" s="58" t="s">
        <v>8073</v>
      </c>
      <c r="C84" s="58" t="s">
        <v>190</v>
      </c>
      <c r="D84" s="59" t="s">
        <v>8460</v>
      </c>
      <c r="E84" s="58" t="s">
        <v>233</v>
      </c>
      <c r="F84" s="60" t="s">
        <v>8461</v>
      </c>
      <c r="G84" s="58" t="s">
        <v>8462</v>
      </c>
      <c r="H84" s="58"/>
      <c r="I84" s="58"/>
      <c r="J84" s="58"/>
      <c r="K84" s="58" t="s">
        <v>8435</v>
      </c>
      <c r="L84" s="58" t="s">
        <v>7442</v>
      </c>
      <c r="M84" s="58"/>
      <c r="N84" s="61" t="s">
        <v>91</v>
      </c>
      <c r="O84" s="58" t="s">
        <v>7804</v>
      </c>
      <c r="P84" s="61" t="n">
        <v>58</v>
      </c>
    </row>
    <row r="85" customFormat="false" ht="22.35" hidden="false" customHeight="false" outlineLevel="0" collapsed="false">
      <c r="A85" s="22" t="s">
        <v>8463</v>
      </c>
      <c r="B85" s="17" t="s">
        <v>8073</v>
      </c>
      <c r="C85" s="17" t="s">
        <v>190</v>
      </c>
      <c r="D85" s="55" t="s">
        <v>8464</v>
      </c>
      <c r="E85" s="17" t="s">
        <v>233</v>
      </c>
      <c r="F85" s="56" t="s">
        <v>8465</v>
      </c>
      <c r="G85" s="17" t="s">
        <v>8466</v>
      </c>
      <c r="H85" s="17"/>
      <c r="I85" s="17"/>
      <c r="J85" s="17"/>
      <c r="K85" s="17" t="s">
        <v>8435</v>
      </c>
      <c r="L85" s="17" t="s">
        <v>8467</v>
      </c>
      <c r="M85" s="17"/>
      <c r="N85" s="15" t="s">
        <v>91</v>
      </c>
      <c r="O85" s="17" t="s">
        <v>7804</v>
      </c>
      <c r="P85" s="15" t="n">
        <v>59</v>
      </c>
    </row>
    <row r="86" customFormat="false" ht="22.35" hidden="false" customHeight="false" outlineLevel="0" collapsed="false">
      <c r="A86" s="57" t="s">
        <v>8468</v>
      </c>
      <c r="B86" s="58" t="s">
        <v>8073</v>
      </c>
      <c r="C86" s="58" t="s">
        <v>190</v>
      </c>
      <c r="D86" s="59" t="s">
        <v>8469</v>
      </c>
      <c r="E86" s="58" t="s">
        <v>228</v>
      </c>
      <c r="F86" s="60" t="s">
        <v>8470</v>
      </c>
      <c r="G86" s="58" t="s">
        <v>8471</v>
      </c>
      <c r="H86" s="58"/>
      <c r="I86" s="58" t="s">
        <v>8472</v>
      </c>
      <c r="J86" s="58"/>
      <c r="K86" s="58"/>
      <c r="L86" s="58"/>
      <c r="M86" s="58"/>
      <c r="N86" s="61" t="s">
        <v>91</v>
      </c>
      <c r="O86" s="58" t="s">
        <v>7804</v>
      </c>
      <c r="P86" s="61" t="n">
        <v>60</v>
      </c>
    </row>
    <row r="87" customFormat="false" ht="22.35" hidden="false" customHeight="false" outlineLevel="0" collapsed="false">
      <c r="A87" s="22" t="s">
        <v>8473</v>
      </c>
      <c r="B87" s="17" t="s">
        <v>8073</v>
      </c>
      <c r="C87" s="17" t="s">
        <v>190</v>
      </c>
      <c r="D87" s="55" t="s">
        <v>8474</v>
      </c>
      <c r="E87" s="17" t="s">
        <v>228</v>
      </c>
      <c r="F87" s="56" t="s">
        <v>8475</v>
      </c>
      <c r="G87" s="17" t="s">
        <v>8476</v>
      </c>
      <c r="H87" s="17"/>
      <c r="I87" s="17" t="s">
        <v>8477</v>
      </c>
      <c r="J87" s="17"/>
      <c r="K87" s="17"/>
      <c r="L87" s="17"/>
      <c r="M87" s="17"/>
      <c r="N87" s="15" t="s">
        <v>91</v>
      </c>
      <c r="O87" s="17" t="s">
        <v>7804</v>
      </c>
      <c r="P87" s="15" t="n">
        <v>61</v>
      </c>
    </row>
    <row r="88" customFormat="false" ht="22.35" hidden="false" customHeight="false" outlineLevel="0" collapsed="false">
      <c r="A88" s="57" t="s">
        <v>8478</v>
      </c>
      <c r="B88" s="58" t="s">
        <v>8073</v>
      </c>
      <c r="C88" s="58" t="s">
        <v>190</v>
      </c>
      <c r="D88" s="59" t="s">
        <v>8479</v>
      </c>
      <c r="E88" s="58" t="s">
        <v>233</v>
      </c>
      <c r="F88" s="60" t="s">
        <v>8480</v>
      </c>
      <c r="G88" s="58" t="s">
        <v>8481</v>
      </c>
      <c r="H88" s="58"/>
      <c r="I88" s="58"/>
      <c r="J88" s="58"/>
      <c r="K88" s="58" t="s">
        <v>8435</v>
      </c>
      <c r="L88" s="58" t="s">
        <v>8482</v>
      </c>
      <c r="M88" s="58"/>
      <c r="N88" s="61" t="s">
        <v>91</v>
      </c>
      <c r="O88" s="58" t="s">
        <v>7804</v>
      </c>
      <c r="P88" s="61" t="n">
        <v>62</v>
      </c>
    </row>
    <row r="89" customFormat="false" ht="22.35" hidden="false" customHeight="false" outlineLevel="0" collapsed="false">
      <c r="A89" s="22" t="s">
        <v>8483</v>
      </c>
      <c r="B89" s="17" t="s">
        <v>8073</v>
      </c>
      <c r="C89" s="17" t="s">
        <v>190</v>
      </c>
      <c r="D89" s="55" t="s">
        <v>8484</v>
      </c>
      <c r="E89" s="17" t="s">
        <v>233</v>
      </c>
      <c r="F89" s="56" t="s">
        <v>8485</v>
      </c>
      <c r="G89" s="17" t="s">
        <v>8486</v>
      </c>
      <c r="H89" s="17"/>
      <c r="I89" s="17"/>
      <c r="J89" s="17"/>
      <c r="K89" s="17" t="s">
        <v>8435</v>
      </c>
      <c r="L89" s="17" t="s">
        <v>8487</v>
      </c>
      <c r="M89" s="17"/>
      <c r="N89" s="15" t="s">
        <v>91</v>
      </c>
      <c r="O89" s="17" t="s">
        <v>7804</v>
      </c>
      <c r="P89" s="15" t="n">
        <v>69</v>
      </c>
    </row>
    <row r="90" customFormat="false" ht="22.35" hidden="false" customHeight="false" outlineLevel="0" collapsed="false">
      <c r="A90" s="57" t="s">
        <v>8488</v>
      </c>
      <c r="B90" s="58" t="s">
        <v>8073</v>
      </c>
      <c r="C90" s="58" t="s">
        <v>190</v>
      </c>
      <c r="D90" s="59" t="s">
        <v>8489</v>
      </c>
      <c r="E90" s="58" t="s">
        <v>233</v>
      </c>
      <c r="F90" s="60" t="s">
        <v>8490</v>
      </c>
      <c r="G90" s="58" t="s">
        <v>8491</v>
      </c>
      <c r="H90" s="58"/>
      <c r="I90" s="58"/>
      <c r="J90" s="58"/>
      <c r="K90" s="58" t="s">
        <v>8435</v>
      </c>
      <c r="L90" s="58" t="s">
        <v>8492</v>
      </c>
      <c r="M90" s="58"/>
      <c r="N90" s="61" t="s">
        <v>91</v>
      </c>
      <c r="O90" s="58" t="s">
        <v>7804</v>
      </c>
      <c r="P90" s="61" t="n">
        <v>70</v>
      </c>
    </row>
    <row r="91" customFormat="false" ht="22.35" hidden="false" customHeight="false" outlineLevel="0" collapsed="false">
      <c r="A91" s="22" t="s">
        <v>8493</v>
      </c>
      <c r="B91" s="17" t="s">
        <v>8073</v>
      </c>
      <c r="C91" s="17" t="s">
        <v>190</v>
      </c>
      <c r="D91" s="55" t="s">
        <v>8494</v>
      </c>
      <c r="E91" s="17" t="s">
        <v>233</v>
      </c>
      <c r="F91" s="56" t="s">
        <v>8495</v>
      </c>
      <c r="G91" s="17" t="s">
        <v>8496</v>
      </c>
      <c r="H91" s="17"/>
      <c r="I91" s="17"/>
      <c r="J91" s="17"/>
      <c r="K91" s="17" t="s">
        <v>8435</v>
      </c>
      <c r="L91" s="17" t="s">
        <v>8497</v>
      </c>
      <c r="M91" s="17"/>
      <c r="N91" s="15" t="s">
        <v>91</v>
      </c>
      <c r="O91" s="17" t="s">
        <v>7804</v>
      </c>
      <c r="P91" s="15" t="n">
        <v>82</v>
      </c>
    </row>
    <row r="92" customFormat="false" ht="22.35" hidden="false" customHeight="false" outlineLevel="0" collapsed="false">
      <c r="A92" s="57" t="s">
        <v>8498</v>
      </c>
      <c r="B92" s="58" t="s">
        <v>8073</v>
      </c>
      <c r="C92" s="58" t="s">
        <v>190</v>
      </c>
      <c r="D92" s="59" t="s">
        <v>8499</v>
      </c>
      <c r="E92" s="58" t="s">
        <v>233</v>
      </c>
      <c r="F92" s="60" t="s">
        <v>8500</v>
      </c>
      <c r="G92" s="58" t="s">
        <v>8501</v>
      </c>
      <c r="H92" s="58"/>
      <c r="I92" s="58"/>
      <c r="J92" s="58"/>
      <c r="K92" s="58" t="s">
        <v>8435</v>
      </c>
      <c r="L92" s="58" t="s">
        <v>8502</v>
      </c>
      <c r="M92" s="58"/>
      <c r="N92" s="61" t="s">
        <v>91</v>
      </c>
      <c r="O92" s="58" t="s">
        <v>7804</v>
      </c>
      <c r="P92" s="61" t="n">
        <v>83</v>
      </c>
    </row>
    <row r="93" customFormat="false" ht="22.35" hidden="false" customHeight="false" outlineLevel="0" collapsed="false">
      <c r="A93" s="22" t="s">
        <v>8503</v>
      </c>
      <c r="B93" s="17" t="s">
        <v>8073</v>
      </c>
      <c r="C93" s="17" t="s">
        <v>190</v>
      </c>
      <c r="D93" s="55" t="s">
        <v>8504</v>
      </c>
      <c r="E93" s="17" t="s">
        <v>233</v>
      </c>
      <c r="F93" s="56" t="s">
        <v>8505</v>
      </c>
      <c r="G93" s="17" t="s">
        <v>8506</v>
      </c>
      <c r="H93" s="17"/>
      <c r="I93" s="17"/>
      <c r="J93" s="17"/>
      <c r="K93" s="17" t="s">
        <v>8435</v>
      </c>
      <c r="L93" s="17" t="s">
        <v>8507</v>
      </c>
      <c r="M93" s="17"/>
      <c r="N93" s="15" t="s">
        <v>91</v>
      </c>
      <c r="O93" s="17" t="s">
        <v>7804</v>
      </c>
      <c r="P93" s="15" t="n">
        <v>96</v>
      </c>
    </row>
    <row r="94" customFormat="false" ht="22.35" hidden="false" customHeight="false" outlineLevel="0" collapsed="false">
      <c r="A94" s="57" t="s">
        <v>8508</v>
      </c>
      <c r="B94" s="58" t="s">
        <v>8073</v>
      </c>
      <c r="C94" s="58" t="s">
        <v>190</v>
      </c>
      <c r="D94" s="59" t="s">
        <v>8509</v>
      </c>
      <c r="E94" s="58" t="s">
        <v>233</v>
      </c>
      <c r="F94" s="60" t="s">
        <v>8510</v>
      </c>
      <c r="G94" s="58" t="s">
        <v>8511</v>
      </c>
      <c r="H94" s="58"/>
      <c r="I94" s="58"/>
      <c r="J94" s="58"/>
      <c r="K94" s="58" t="s">
        <v>8435</v>
      </c>
      <c r="L94" s="58" t="s">
        <v>8482</v>
      </c>
      <c r="M94" s="58"/>
      <c r="N94" s="61" t="s">
        <v>91</v>
      </c>
      <c r="O94" s="58" t="s">
        <v>7804</v>
      </c>
      <c r="P94" s="61" t="n">
        <v>97</v>
      </c>
    </row>
    <row r="95" customFormat="false" ht="22.35" hidden="false" customHeight="false" outlineLevel="0" collapsed="false">
      <c r="A95" s="22" t="s">
        <v>8512</v>
      </c>
      <c r="B95" s="17" t="s">
        <v>8073</v>
      </c>
      <c r="C95" s="17" t="s">
        <v>190</v>
      </c>
      <c r="D95" s="55" t="s">
        <v>8513</v>
      </c>
      <c r="E95" s="17" t="s">
        <v>233</v>
      </c>
      <c r="F95" s="56" t="s">
        <v>8514</v>
      </c>
      <c r="G95" s="17" t="s">
        <v>8515</v>
      </c>
      <c r="H95" s="17"/>
      <c r="I95" s="17"/>
      <c r="J95" s="17"/>
      <c r="K95" s="17" t="s">
        <v>8435</v>
      </c>
      <c r="L95" s="17" t="s">
        <v>8482</v>
      </c>
      <c r="M95" s="17"/>
      <c r="N95" s="15" t="s">
        <v>91</v>
      </c>
      <c r="O95" s="17" t="s">
        <v>7804</v>
      </c>
      <c r="P95" s="15" t="n">
        <v>99</v>
      </c>
    </row>
    <row r="96" customFormat="false" ht="22.35" hidden="false" customHeight="false" outlineLevel="0" collapsed="false">
      <c r="A96" s="57" t="s">
        <v>8516</v>
      </c>
      <c r="B96" s="58" t="s">
        <v>8073</v>
      </c>
      <c r="C96" s="58" t="s">
        <v>190</v>
      </c>
      <c r="D96" s="59" t="s">
        <v>8517</v>
      </c>
      <c r="E96" s="58" t="s">
        <v>233</v>
      </c>
      <c r="F96" s="60" t="s">
        <v>8518</v>
      </c>
      <c r="G96" s="58" t="s">
        <v>8519</v>
      </c>
      <c r="H96" s="58"/>
      <c r="I96" s="58"/>
      <c r="J96" s="58"/>
      <c r="K96" s="58" t="s">
        <v>8435</v>
      </c>
      <c r="L96" s="58" t="s">
        <v>7296</v>
      </c>
      <c r="M96" s="58"/>
      <c r="N96" s="61" t="s">
        <v>91</v>
      </c>
      <c r="O96" s="58" t="s">
        <v>7804</v>
      </c>
      <c r="P96" s="61" t="n">
        <v>103</v>
      </c>
    </row>
    <row r="97" customFormat="false" ht="22.35" hidden="false" customHeight="false" outlineLevel="0" collapsed="false">
      <c r="A97" s="22" t="s">
        <v>8520</v>
      </c>
      <c r="B97" s="17" t="s">
        <v>8073</v>
      </c>
      <c r="C97" s="17" t="s">
        <v>190</v>
      </c>
      <c r="D97" s="55" t="s">
        <v>8521</v>
      </c>
      <c r="E97" s="17" t="s">
        <v>228</v>
      </c>
      <c r="F97" s="56" t="s">
        <v>8522</v>
      </c>
      <c r="G97" s="17" t="s">
        <v>8523</v>
      </c>
      <c r="H97" s="17"/>
      <c r="I97" s="17" t="s">
        <v>8524</v>
      </c>
      <c r="J97" s="17"/>
      <c r="K97" s="17"/>
      <c r="L97" s="17"/>
      <c r="M97" s="17"/>
      <c r="N97" s="15" t="s">
        <v>91</v>
      </c>
      <c r="O97" s="17" t="s">
        <v>7804</v>
      </c>
      <c r="P97" s="15" t="n">
        <v>104</v>
      </c>
    </row>
    <row r="98" customFormat="false" ht="22.35" hidden="false" customHeight="false" outlineLevel="0" collapsed="false">
      <c r="A98" s="57" t="s">
        <v>8525</v>
      </c>
      <c r="B98" s="58" t="s">
        <v>8073</v>
      </c>
      <c r="C98" s="58" t="s">
        <v>190</v>
      </c>
      <c r="D98" s="59" t="s">
        <v>8526</v>
      </c>
      <c r="E98" s="58" t="s">
        <v>228</v>
      </c>
      <c r="F98" s="60" t="s">
        <v>8527</v>
      </c>
      <c r="G98" s="58" t="s">
        <v>8528</v>
      </c>
      <c r="H98" s="58"/>
      <c r="I98" s="58" t="s">
        <v>8529</v>
      </c>
      <c r="J98" s="58"/>
      <c r="K98" s="58"/>
      <c r="L98" s="58"/>
      <c r="M98" s="58"/>
      <c r="N98" s="61" t="s">
        <v>91</v>
      </c>
      <c r="O98" s="58" t="s">
        <v>7804</v>
      </c>
      <c r="P98" s="61" t="n">
        <v>105</v>
      </c>
    </row>
    <row r="99" customFormat="false" ht="22.35" hidden="false" customHeight="false" outlineLevel="0" collapsed="false">
      <c r="A99" s="22" t="s">
        <v>8530</v>
      </c>
      <c r="B99" s="17" t="s">
        <v>8073</v>
      </c>
      <c r="C99" s="17" t="s">
        <v>190</v>
      </c>
      <c r="D99" s="55" t="s">
        <v>8531</v>
      </c>
      <c r="E99" s="17" t="s">
        <v>228</v>
      </c>
      <c r="F99" s="56" t="s">
        <v>8532</v>
      </c>
      <c r="G99" s="17" t="s">
        <v>8533</v>
      </c>
      <c r="H99" s="17"/>
      <c r="I99" s="17" t="s">
        <v>8534</v>
      </c>
      <c r="J99" s="17"/>
      <c r="K99" s="17"/>
      <c r="L99" s="17"/>
      <c r="M99" s="17"/>
      <c r="N99" s="15" t="s">
        <v>91</v>
      </c>
      <c r="O99" s="17" t="s">
        <v>7804</v>
      </c>
      <c r="P99" s="15" t="n">
        <v>106</v>
      </c>
    </row>
    <row r="100" customFormat="false" ht="22.35" hidden="false" customHeight="false" outlineLevel="0" collapsed="false">
      <c r="A100" s="57" t="s">
        <v>8535</v>
      </c>
      <c r="B100" s="58" t="s">
        <v>8073</v>
      </c>
      <c r="C100" s="58" t="s">
        <v>190</v>
      </c>
      <c r="D100" s="59" t="s">
        <v>8536</v>
      </c>
      <c r="E100" s="58" t="s">
        <v>228</v>
      </c>
      <c r="F100" s="60" t="s">
        <v>8537</v>
      </c>
      <c r="G100" s="58" t="s">
        <v>8538</v>
      </c>
      <c r="H100" s="58"/>
      <c r="I100" s="58" t="s">
        <v>8539</v>
      </c>
      <c r="J100" s="58"/>
      <c r="K100" s="58"/>
      <c r="L100" s="58"/>
      <c r="M100" s="58"/>
      <c r="N100" s="61" t="s">
        <v>91</v>
      </c>
      <c r="O100" s="58" t="s">
        <v>7804</v>
      </c>
      <c r="P100" s="61" t="n">
        <v>107</v>
      </c>
    </row>
    <row r="101" customFormat="false" ht="22.35" hidden="false" customHeight="false" outlineLevel="0" collapsed="false">
      <c r="A101" s="22" t="s">
        <v>8540</v>
      </c>
      <c r="B101" s="17" t="s">
        <v>8073</v>
      </c>
      <c r="C101" s="17" t="s">
        <v>190</v>
      </c>
      <c r="D101" s="55" t="s">
        <v>8541</v>
      </c>
      <c r="E101" s="17" t="s">
        <v>233</v>
      </c>
      <c r="F101" s="56" t="s">
        <v>8542</v>
      </c>
      <c r="G101" s="17" t="s">
        <v>8543</v>
      </c>
      <c r="H101" s="17"/>
      <c r="I101" s="17"/>
      <c r="J101" s="17"/>
      <c r="K101" s="17" t="s">
        <v>8435</v>
      </c>
      <c r="L101" s="17" t="s">
        <v>7296</v>
      </c>
      <c r="M101" s="17"/>
      <c r="N101" s="15" t="s">
        <v>91</v>
      </c>
      <c r="O101" s="17" t="s">
        <v>7804</v>
      </c>
      <c r="P101" s="15" t="n">
        <v>108</v>
      </c>
    </row>
    <row r="102" customFormat="false" ht="22.35" hidden="false" customHeight="false" outlineLevel="0" collapsed="false">
      <c r="A102" s="57" t="s">
        <v>8544</v>
      </c>
      <c r="B102" s="58" t="s">
        <v>8073</v>
      </c>
      <c r="C102" s="58" t="s">
        <v>190</v>
      </c>
      <c r="D102" s="59" t="s">
        <v>8545</v>
      </c>
      <c r="E102" s="58" t="s">
        <v>233</v>
      </c>
      <c r="F102" s="60" t="s">
        <v>8546</v>
      </c>
      <c r="G102" s="58" t="s">
        <v>8547</v>
      </c>
      <c r="H102" s="58"/>
      <c r="I102" s="58"/>
      <c r="J102" s="58"/>
      <c r="K102" s="58" t="s">
        <v>8435</v>
      </c>
      <c r="L102" s="58" t="s">
        <v>7296</v>
      </c>
      <c r="M102" s="58"/>
      <c r="N102" s="61" t="s">
        <v>91</v>
      </c>
      <c r="O102" s="58" t="s">
        <v>7804</v>
      </c>
      <c r="P102" s="61" t="n">
        <v>125</v>
      </c>
    </row>
    <row r="103" customFormat="false" ht="22.35" hidden="false" customHeight="false" outlineLevel="0" collapsed="false">
      <c r="A103" s="22" t="s">
        <v>8548</v>
      </c>
      <c r="B103" s="17" t="s">
        <v>8073</v>
      </c>
      <c r="C103" s="17" t="s">
        <v>190</v>
      </c>
      <c r="D103" s="55" t="s">
        <v>8549</v>
      </c>
      <c r="E103" s="17" t="s">
        <v>228</v>
      </c>
      <c r="F103" s="56" t="s">
        <v>8550</v>
      </c>
      <c r="G103" s="17" t="s">
        <v>8551</v>
      </c>
      <c r="H103" s="17"/>
      <c r="I103" s="17" t="s">
        <v>8552</v>
      </c>
      <c r="J103" s="17"/>
      <c r="K103" s="17"/>
      <c r="L103" s="17"/>
      <c r="M103" s="17"/>
      <c r="N103" s="15" t="s">
        <v>91</v>
      </c>
      <c r="O103" s="17" t="s">
        <v>7804</v>
      </c>
      <c r="P103" s="15" t="n">
        <v>126</v>
      </c>
    </row>
    <row r="104" customFormat="false" ht="22.35" hidden="false" customHeight="false" outlineLevel="0" collapsed="false">
      <c r="A104" s="57" t="s">
        <v>8553</v>
      </c>
      <c r="B104" s="58" t="s">
        <v>8073</v>
      </c>
      <c r="C104" s="58" t="s">
        <v>190</v>
      </c>
      <c r="D104" s="59" t="s">
        <v>8554</v>
      </c>
      <c r="E104" s="58" t="s">
        <v>228</v>
      </c>
      <c r="F104" s="60" t="s">
        <v>8555</v>
      </c>
      <c r="G104" s="58" t="s">
        <v>8556</v>
      </c>
      <c r="H104" s="58"/>
      <c r="I104" s="58" t="s">
        <v>8557</v>
      </c>
      <c r="J104" s="58"/>
      <c r="K104" s="58"/>
      <c r="L104" s="58"/>
      <c r="M104" s="58"/>
      <c r="N104" s="61" t="s">
        <v>91</v>
      </c>
      <c r="O104" s="58" t="s">
        <v>7804</v>
      </c>
      <c r="P104" s="61" t="n">
        <v>127</v>
      </c>
    </row>
    <row r="105" customFormat="false" ht="22.35" hidden="false" customHeight="false" outlineLevel="0" collapsed="false">
      <c r="A105" s="22" t="s">
        <v>8558</v>
      </c>
      <c r="B105" s="17" t="s">
        <v>8073</v>
      </c>
      <c r="C105" s="17" t="s">
        <v>190</v>
      </c>
      <c r="D105" s="55" t="s">
        <v>8559</v>
      </c>
      <c r="E105" s="17" t="s">
        <v>228</v>
      </c>
      <c r="F105" s="56" t="s">
        <v>8560</v>
      </c>
      <c r="G105" s="17" t="s">
        <v>8561</v>
      </c>
      <c r="H105" s="17"/>
      <c r="I105" s="17" t="s">
        <v>8562</v>
      </c>
      <c r="J105" s="17"/>
      <c r="K105" s="17"/>
      <c r="L105" s="17"/>
      <c r="M105" s="17"/>
      <c r="N105" s="15" t="s">
        <v>91</v>
      </c>
      <c r="O105" s="17" t="s">
        <v>7804</v>
      </c>
      <c r="P105" s="15" t="n">
        <v>128</v>
      </c>
    </row>
    <row r="106" customFormat="false" ht="22.35" hidden="false" customHeight="false" outlineLevel="0" collapsed="false">
      <c r="A106" s="57" t="s">
        <v>8563</v>
      </c>
      <c r="B106" s="58" t="s">
        <v>8073</v>
      </c>
      <c r="C106" s="58" t="s">
        <v>190</v>
      </c>
      <c r="D106" s="59" t="s">
        <v>8564</v>
      </c>
      <c r="E106" s="58" t="s">
        <v>233</v>
      </c>
      <c r="F106" s="60" t="s">
        <v>8565</v>
      </c>
      <c r="G106" s="58" t="s">
        <v>8566</v>
      </c>
      <c r="H106" s="58"/>
      <c r="I106" s="58"/>
      <c r="J106" s="58"/>
      <c r="K106" s="58" t="s">
        <v>8435</v>
      </c>
      <c r="L106" s="58" t="s">
        <v>7296</v>
      </c>
      <c r="M106" s="58"/>
      <c r="N106" s="61" t="s">
        <v>91</v>
      </c>
      <c r="O106" s="58" t="s">
        <v>7804</v>
      </c>
      <c r="P106" s="61" t="n">
        <v>153</v>
      </c>
    </row>
    <row r="107" customFormat="false" ht="22.35" hidden="false" customHeight="false" outlineLevel="0" collapsed="false">
      <c r="A107" s="22" t="s">
        <v>8567</v>
      </c>
      <c r="B107" s="17" t="s">
        <v>8073</v>
      </c>
      <c r="C107" s="17" t="s">
        <v>190</v>
      </c>
      <c r="D107" s="55" t="s">
        <v>8568</v>
      </c>
      <c r="E107" s="17" t="s">
        <v>233</v>
      </c>
      <c r="F107" s="56" t="s">
        <v>8569</v>
      </c>
      <c r="G107" s="17" t="s">
        <v>8570</v>
      </c>
      <c r="H107" s="17"/>
      <c r="I107" s="17"/>
      <c r="J107" s="17"/>
      <c r="K107" s="17" t="s">
        <v>8435</v>
      </c>
      <c r="L107" s="17" t="s">
        <v>7296</v>
      </c>
      <c r="M107" s="17"/>
      <c r="N107" s="15" t="s">
        <v>91</v>
      </c>
      <c r="O107" s="17" t="s">
        <v>7804</v>
      </c>
      <c r="P107" s="15" t="n">
        <v>154</v>
      </c>
    </row>
    <row r="108" customFormat="false" ht="22.35" hidden="false" customHeight="false" outlineLevel="0" collapsed="false">
      <c r="A108" s="57" t="s">
        <v>8571</v>
      </c>
      <c r="B108" s="58" t="s">
        <v>8073</v>
      </c>
      <c r="C108" s="58" t="s">
        <v>190</v>
      </c>
      <c r="D108" s="59" t="s">
        <v>8572</v>
      </c>
      <c r="E108" s="58" t="s">
        <v>233</v>
      </c>
      <c r="F108" s="60" t="s">
        <v>8573</v>
      </c>
      <c r="G108" s="58" t="s">
        <v>8574</v>
      </c>
      <c r="H108" s="58"/>
      <c r="I108" s="58"/>
      <c r="J108" s="58"/>
      <c r="K108" s="58" t="s">
        <v>8435</v>
      </c>
      <c r="L108" s="58" t="s">
        <v>8482</v>
      </c>
      <c r="M108" s="58"/>
      <c r="N108" s="61" t="s">
        <v>91</v>
      </c>
      <c r="O108" s="58" t="s">
        <v>7804</v>
      </c>
      <c r="P108" s="61" t="n">
        <v>157</v>
      </c>
    </row>
    <row r="109" customFormat="false" ht="22.35" hidden="false" customHeight="false" outlineLevel="0" collapsed="false">
      <c r="A109" s="22" t="s">
        <v>8575</v>
      </c>
      <c r="B109" s="17" t="s">
        <v>8073</v>
      </c>
      <c r="C109" s="17" t="s">
        <v>190</v>
      </c>
      <c r="D109" s="55" t="s">
        <v>8576</v>
      </c>
      <c r="E109" s="17" t="s">
        <v>233</v>
      </c>
      <c r="F109" s="56" t="s">
        <v>8577</v>
      </c>
      <c r="G109" s="17" t="s">
        <v>8578</v>
      </c>
      <c r="H109" s="17"/>
      <c r="I109" s="17"/>
      <c r="J109" s="17"/>
      <c r="K109" s="17" t="s">
        <v>8435</v>
      </c>
      <c r="L109" s="17" t="s">
        <v>8579</v>
      </c>
      <c r="M109" s="17"/>
      <c r="N109" s="15" t="s">
        <v>91</v>
      </c>
      <c r="O109" s="17" t="s">
        <v>7804</v>
      </c>
      <c r="P109" s="15" t="n">
        <v>166</v>
      </c>
    </row>
    <row r="110" customFormat="false" ht="22.35" hidden="false" customHeight="false" outlineLevel="0" collapsed="false">
      <c r="A110" s="57" t="s">
        <v>8580</v>
      </c>
      <c r="B110" s="58" t="s">
        <v>8073</v>
      </c>
      <c r="C110" s="58" t="s">
        <v>190</v>
      </c>
      <c r="D110" s="59" t="s">
        <v>8581</v>
      </c>
      <c r="E110" s="58" t="s">
        <v>228</v>
      </c>
      <c r="F110" s="60" t="s">
        <v>8582</v>
      </c>
      <c r="G110" s="58" t="s">
        <v>8583</v>
      </c>
      <c r="H110" s="58"/>
      <c r="I110" s="58" t="s">
        <v>8584</v>
      </c>
      <c r="J110" s="58"/>
      <c r="K110" s="58"/>
      <c r="L110" s="58"/>
      <c r="M110" s="58"/>
      <c r="N110" s="61" t="s">
        <v>91</v>
      </c>
      <c r="O110" s="58" t="s">
        <v>7804</v>
      </c>
      <c r="P110" s="61" t="n">
        <v>167</v>
      </c>
    </row>
    <row r="111" customFormat="false" ht="22.35" hidden="false" customHeight="false" outlineLevel="0" collapsed="false">
      <c r="A111" s="22" t="s">
        <v>8585</v>
      </c>
      <c r="B111" s="17" t="s">
        <v>8073</v>
      </c>
      <c r="C111" s="17" t="s">
        <v>190</v>
      </c>
      <c r="D111" s="55" t="s">
        <v>8586</v>
      </c>
      <c r="E111" s="17" t="s">
        <v>228</v>
      </c>
      <c r="F111" s="56" t="s">
        <v>8587</v>
      </c>
      <c r="G111" s="17" t="s">
        <v>8588</v>
      </c>
      <c r="H111" s="17"/>
      <c r="I111" s="17" t="s">
        <v>8589</v>
      </c>
      <c r="J111" s="17"/>
      <c r="K111" s="17"/>
      <c r="L111" s="17"/>
      <c r="M111" s="17"/>
      <c r="N111" s="15" t="s">
        <v>91</v>
      </c>
      <c r="O111" s="17" t="s">
        <v>7804</v>
      </c>
      <c r="P111" s="15" t="n">
        <v>168</v>
      </c>
    </row>
    <row r="112" customFormat="false" ht="22.35" hidden="false" customHeight="false" outlineLevel="0" collapsed="false">
      <c r="A112" s="57" t="s">
        <v>8590</v>
      </c>
      <c r="B112" s="58" t="s">
        <v>8073</v>
      </c>
      <c r="C112" s="58" t="s">
        <v>190</v>
      </c>
      <c r="D112" s="59" t="s">
        <v>8591</v>
      </c>
      <c r="E112" s="58" t="s">
        <v>228</v>
      </c>
      <c r="F112" s="60" t="s">
        <v>8592</v>
      </c>
      <c r="G112" s="58" t="s">
        <v>8593</v>
      </c>
      <c r="H112" s="58"/>
      <c r="I112" s="58" t="s">
        <v>8594</v>
      </c>
      <c r="J112" s="58"/>
      <c r="K112" s="58"/>
      <c r="L112" s="58"/>
      <c r="M112" s="58"/>
      <c r="N112" s="61" t="s">
        <v>91</v>
      </c>
      <c r="O112" s="58" t="s">
        <v>7804</v>
      </c>
      <c r="P112" s="61" t="n">
        <v>169</v>
      </c>
    </row>
    <row r="113" customFormat="false" ht="22.35" hidden="false" customHeight="false" outlineLevel="0" collapsed="false">
      <c r="A113" s="22" t="s">
        <v>8595</v>
      </c>
      <c r="B113" s="17" t="s">
        <v>8073</v>
      </c>
      <c r="C113" s="17" t="s">
        <v>190</v>
      </c>
      <c r="D113" s="55" t="s">
        <v>8596</v>
      </c>
      <c r="E113" s="17" t="s">
        <v>228</v>
      </c>
      <c r="F113" s="56" t="s">
        <v>8597</v>
      </c>
      <c r="G113" s="17" t="s">
        <v>8598</v>
      </c>
      <c r="H113" s="17"/>
      <c r="I113" s="17" t="s">
        <v>8599</v>
      </c>
      <c r="J113" s="17"/>
      <c r="K113" s="17"/>
      <c r="L113" s="17"/>
      <c r="M113" s="17"/>
      <c r="N113" s="15" t="s">
        <v>91</v>
      </c>
      <c r="O113" s="17" t="s">
        <v>7804</v>
      </c>
      <c r="P113" s="15" t="n">
        <v>170</v>
      </c>
    </row>
    <row r="114" customFormat="false" ht="22.35" hidden="false" customHeight="false" outlineLevel="0" collapsed="false">
      <c r="A114" s="57" t="s">
        <v>8600</v>
      </c>
      <c r="B114" s="58" t="s">
        <v>8073</v>
      </c>
      <c r="C114" s="58" t="s">
        <v>190</v>
      </c>
      <c r="D114" s="59" t="s">
        <v>8601</v>
      </c>
      <c r="E114" s="58" t="s">
        <v>233</v>
      </c>
      <c r="F114" s="60" t="s">
        <v>8602</v>
      </c>
      <c r="G114" s="58" t="s">
        <v>8603</v>
      </c>
      <c r="H114" s="58"/>
      <c r="I114" s="58"/>
      <c r="J114" s="58"/>
      <c r="K114" s="58" t="s">
        <v>8435</v>
      </c>
      <c r="L114" s="58" t="s">
        <v>8604</v>
      </c>
      <c r="M114" s="58"/>
      <c r="N114" s="61" t="s">
        <v>91</v>
      </c>
      <c r="O114" s="58" t="s">
        <v>7804</v>
      </c>
      <c r="P114" s="61" t="n">
        <v>264</v>
      </c>
    </row>
    <row r="115" customFormat="false" ht="22.35" hidden="false" customHeight="false" outlineLevel="0" collapsed="false">
      <c r="A115" s="22" t="s">
        <v>8605</v>
      </c>
      <c r="B115" s="17" t="s">
        <v>8073</v>
      </c>
      <c r="C115" s="17" t="s">
        <v>190</v>
      </c>
      <c r="D115" s="55" t="s">
        <v>8606</v>
      </c>
      <c r="E115" s="17" t="s">
        <v>233</v>
      </c>
      <c r="F115" s="56" t="s">
        <v>8607</v>
      </c>
      <c r="G115" s="17" t="s">
        <v>8608</v>
      </c>
      <c r="H115" s="17"/>
      <c r="I115" s="17"/>
      <c r="J115" s="17"/>
      <c r="K115" s="17" t="s">
        <v>8435</v>
      </c>
      <c r="L115" s="17" t="s">
        <v>8609</v>
      </c>
      <c r="M115" s="17"/>
      <c r="N115" s="15" t="s">
        <v>91</v>
      </c>
      <c r="O115" s="17" t="s">
        <v>7804</v>
      </c>
      <c r="P115" s="15" t="n">
        <v>265</v>
      </c>
    </row>
    <row r="116" customFormat="false" ht="22.35" hidden="false" customHeight="false" outlineLevel="0" collapsed="false">
      <c r="A116" s="57" t="s">
        <v>8610</v>
      </c>
      <c r="B116" s="58" t="s">
        <v>8073</v>
      </c>
      <c r="C116" s="58" t="s">
        <v>190</v>
      </c>
      <c r="D116" s="59" t="s">
        <v>8611</v>
      </c>
      <c r="E116" s="58" t="s">
        <v>233</v>
      </c>
      <c r="F116" s="60" t="s">
        <v>8612</v>
      </c>
      <c r="G116" s="58" t="s">
        <v>8613</v>
      </c>
      <c r="H116" s="58"/>
      <c r="I116" s="58"/>
      <c r="J116" s="58"/>
      <c r="K116" s="58" t="s">
        <v>8435</v>
      </c>
      <c r="L116" s="58" t="s">
        <v>8614</v>
      </c>
      <c r="M116" s="58"/>
      <c r="N116" s="61" t="s">
        <v>91</v>
      </c>
      <c r="O116" s="58" t="s">
        <v>7804</v>
      </c>
      <c r="P116" s="61" t="n">
        <v>266</v>
      </c>
    </row>
    <row r="117" customFormat="false" ht="22.35" hidden="false" customHeight="false" outlineLevel="0" collapsed="false">
      <c r="A117" s="22" t="s">
        <v>8615</v>
      </c>
      <c r="B117" s="17" t="s">
        <v>8073</v>
      </c>
      <c r="C117" s="17" t="s">
        <v>190</v>
      </c>
      <c r="D117" s="55" t="s">
        <v>8616</v>
      </c>
      <c r="E117" s="17" t="s">
        <v>233</v>
      </c>
      <c r="F117" s="56" t="s">
        <v>8617</v>
      </c>
      <c r="G117" s="17" t="s">
        <v>8618</v>
      </c>
      <c r="H117" s="17"/>
      <c r="I117" s="17"/>
      <c r="J117" s="17"/>
      <c r="K117" s="17" t="s">
        <v>8435</v>
      </c>
      <c r="L117" s="17" t="s">
        <v>8619</v>
      </c>
      <c r="M117" s="17"/>
      <c r="N117" s="15" t="s">
        <v>91</v>
      </c>
      <c r="O117" s="17" t="s">
        <v>7804</v>
      </c>
      <c r="P117" s="15" t="n">
        <v>267</v>
      </c>
    </row>
    <row r="118" customFormat="false" ht="22.35" hidden="false" customHeight="false" outlineLevel="0" collapsed="false">
      <c r="A118" s="57" t="s">
        <v>8620</v>
      </c>
      <c r="B118" s="58" t="s">
        <v>8073</v>
      </c>
      <c r="C118" s="58" t="s">
        <v>190</v>
      </c>
      <c r="D118" s="59" t="s">
        <v>8621</v>
      </c>
      <c r="E118" s="58" t="s">
        <v>228</v>
      </c>
      <c r="F118" s="60" t="s">
        <v>8622</v>
      </c>
      <c r="G118" s="58" t="s">
        <v>8623</v>
      </c>
      <c r="H118" s="58"/>
      <c r="I118" s="58" t="s">
        <v>8599</v>
      </c>
      <c r="J118" s="58"/>
      <c r="K118" s="58"/>
      <c r="L118" s="58"/>
      <c r="M118" s="58"/>
      <c r="N118" s="61" t="s">
        <v>91</v>
      </c>
      <c r="O118" s="58" t="s">
        <v>7804</v>
      </c>
      <c r="P118" s="61" t="n">
        <v>276</v>
      </c>
    </row>
    <row r="119" customFormat="false" ht="22.35" hidden="false" customHeight="false" outlineLevel="0" collapsed="false">
      <c r="A119" s="22" t="s">
        <v>8624</v>
      </c>
      <c r="B119" s="17" t="s">
        <v>8073</v>
      </c>
      <c r="C119" s="17" t="s">
        <v>190</v>
      </c>
      <c r="D119" s="55" t="s">
        <v>8625</v>
      </c>
      <c r="E119" s="17" t="s">
        <v>228</v>
      </c>
      <c r="F119" s="56" t="s">
        <v>8626</v>
      </c>
      <c r="G119" s="17" t="s">
        <v>8627</v>
      </c>
      <c r="H119" s="17"/>
      <c r="I119" s="17" t="s">
        <v>8594</v>
      </c>
      <c r="J119" s="17"/>
      <c r="K119" s="17"/>
      <c r="L119" s="17"/>
      <c r="M119" s="17"/>
      <c r="N119" s="15" t="s">
        <v>91</v>
      </c>
      <c r="O119" s="17" t="s">
        <v>7804</v>
      </c>
      <c r="P119" s="15" t="n">
        <v>277</v>
      </c>
    </row>
    <row r="120" customFormat="false" ht="22.35" hidden="false" customHeight="false" outlineLevel="0" collapsed="false">
      <c r="A120" s="57" t="s">
        <v>8628</v>
      </c>
      <c r="B120" s="58" t="s">
        <v>8073</v>
      </c>
      <c r="C120" s="58" t="s">
        <v>190</v>
      </c>
      <c r="D120" s="59" t="s">
        <v>8629</v>
      </c>
      <c r="E120" s="58" t="s">
        <v>228</v>
      </c>
      <c r="F120" s="60" t="s">
        <v>8630</v>
      </c>
      <c r="G120" s="58" t="s">
        <v>8631</v>
      </c>
      <c r="H120" s="58"/>
      <c r="I120" s="58" t="s">
        <v>8632</v>
      </c>
      <c r="J120" s="58"/>
      <c r="K120" s="58"/>
      <c r="L120" s="58"/>
      <c r="M120" s="58"/>
      <c r="N120" s="61" t="s">
        <v>91</v>
      </c>
      <c r="O120" s="58" t="s">
        <v>7804</v>
      </c>
      <c r="P120" s="61" t="n">
        <v>278</v>
      </c>
    </row>
    <row r="121" customFormat="false" ht="22.35" hidden="false" customHeight="false" outlineLevel="0" collapsed="false">
      <c r="A121" s="22" t="s">
        <v>8633</v>
      </c>
      <c r="B121" s="17" t="s">
        <v>8073</v>
      </c>
      <c r="C121" s="17" t="s">
        <v>190</v>
      </c>
      <c r="D121" s="55" t="s">
        <v>8634</v>
      </c>
      <c r="E121" s="17" t="s">
        <v>228</v>
      </c>
      <c r="F121" s="56" t="s">
        <v>8635</v>
      </c>
      <c r="G121" s="17" t="s">
        <v>8636</v>
      </c>
      <c r="H121" s="17"/>
      <c r="I121" s="17" t="s">
        <v>8637</v>
      </c>
      <c r="J121" s="17"/>
      <c r="K121" s="17"/>
      <c r="L121" s="17"/>
      <c r="M121" s="17"/>
      <c r="N121" s="15" t="s">
        <v>91</v>
      </c>
      <c r="O121" s="17" t="s">
        <v>7804</v>
      </c>
      <c r="P121" s="15" t="n">
        <v>279</v>
      </c>
    </row>
    <row r="122" customFormat="false" ht="22.35" hidden="false" customHeight="false" outlineLevel="0" collapsed="false">
      <c r="A122" s="57" t="s">
        <v>8638</v>
      </c>
      <c r="B122" s="58" t="s">
        <v>8073</v>
      </c>
      <c r="C122" s="58" t="s">
        <v>190</v>
      </c>
      <c r="D122" s="59" t="s">
        <v>8639</v>
      </c>
      <c r="E122" s="58" t="s">
        <v>228</v>
      </c>
      <c r="F122" s="60" t="s">
        <v>8640</v>
      </c>
      <c r="G122" s="58" t="s">
        <v>8641</v>
      </c>
      <c r="H122" s="58"/>
      <c r="I122" s="58" t="s">
        <v>8642</v>
      </c>
      <c r="J122" s="58"/>
      <c r="K122" s="58"/>
      <c r="L122" s="58"/>
      <c r="M122" s="58"/>
      <c r="N122" s="61" t="s">
        <v>91</v>
      </c>
      <c r="O122" s="58" t="s">
        <v>7804</v>
      </c>
      <c r="P122" s="61" t="n">
        <v>280</v>
      </c>
    </row>
    <row r="123" customFormat="false" ht="22.35" hidden="false" customHeight="false" outlineLevel="0" collapsed="false">
      <c r="A123" s="22" t="s">
        <v>8643</v>
      </c>
      <c r="B123" s="17" t="s">
        <v>8073</v>
      </c>
      <c r="C123" s="17" t="s">
        <v>190</v>
      </c>
      <c r="D123" s="55" t="s">
        <v>8644</v>
      </c>
      <c r="E123" s="17" t="s">
        <v>228</v>
      </c>
      <c r="F123" s="56" t="s">
        <v>8645</v>
      </c>
      <c r="G123" s="17" t="s">
        <v>8646</v>
      </c>
      <c r="H123" s="17"/>
      <c r="I123" s="17" t="s">
        <v>8647</v>
      </c>
      <c r="J123" s="17"/>
      <c r="K123" s="17"/>
      <c r="L123" s="17"/>
      <c r="M123" s="17"/>
      <c r="N123" s="15" t="s">
        <v>91</v>
      </c>
      <c r="O123" s="17" t="s">
        <v>7804</v>
      </c>
      <c r="P123" s="15" t="n">
        <v>281</v>
      </c>
    </row>
    <row r="124" customFormat="false" ht="22.35" hidden="false" customHeight="false" outlineLevel="0" collapsed="false">
      <c r="A124" s="57" t="s">
        <v>8648</v>
      </c>
      <c r="B124" s="58" t="s">
        <v>8073</v>
      </c>
      <c r="C124" s="58" t="s">
        <v>190</v>
      </c>
      <c r="D124" s="59" t="s">
        <v>8649</v>
      </c>
      <c r="E124" s="58" t="s">
        <v>228</v>
      </c>
      <c r="F124" s="60" t="s">
        <v>8650</v>
      </c>
      <c r="G124" s="58" t="s">
        <v>8651</v>
      </c>
      <c r="H124" s="58"/>
      <c r="I124" s="58" t="s">
        <v>8652</v>
      </c>
      <c r="J124" s="58"/>
      <c r="K124" s="58"/>
      <c r="L124" s="58"/>
      <c r="M124" s="58"/>
      <c r="N124" s="61" t="s">
        <v>91</v>
      </c>
      <c r="O124" s="58" t="s">
        <v>7804</v>
      </c>
      <c r="P124" s="61" t="n">
        <v>282</v>
      </c>
    </row>
    <row r="125" customFormat="false" ht="22.35" hidden="false" customHeight="false" outlineLevel="0" collapsed="false">
      <c r="A125" s="22" t="s">
        <v>8653</v>
      </c>
      <c r="B125" s="17" t="s">
        <v>8073</v>
      </c>
      <c r="C125" s="17" t="s">
        <v>190</v>
      </c>
      <c r="D125" s="55" t="s">
        <v>8654</v>
      </c>
      <c r="E125" s="17" t="s">
        <v>228</v>
      </c>
      <c r="F125" s="56" t="s">
        <v>8655</v>
      </c>
      <c r="G125" s="17" t="s">
        <v>8656</v>
      </c>
      <c r="H125" s="17"/>
      <c r="I125" s="17" t="s">
        <v>8599</v>
      </c>
      <c r="J125" s="17"/>
      <c r="K125" s="17"/>
      <c r="L125" s="17"/>
      <c r="M125" s="17"/>
      <c r="N125" s="15" t="s">
        <v>91</v>
      </c>
      <c r="O125" s="17" t="s">
        <v>7804</v>
      </c>
      <c r="P125" s="15" t="n">
        <v>283</v>
      </c>
    </row>
    <row r="126" customFormat="false" ht="32.8" hidden="false" customHeight="false" outlineLevel="0" collapsed="false">
      <c r="A126" s="57" t="s">
        <v>8657</v>
      </c>
      <c r="B126" s="58" t="s">
        <v>8073</v>
      </c>
      <c r="C126" s="58" t="s">
        <v>190</v>
      </c>
      <c r="D126" s="59" t="s">
        <v>8658</v>
      </c>
      <c r="E126" s="58" t="s">
        <v>233</v>
      </c>
      <c r="F126" s="60" t="s">
        <v>8659</v>
      </c>
      <c r="G126" s="58" t="s">
        <v>8660</v>
      </c>
      <c r="H126" s="58"/>
      <c r="I126" s="58"/>
      <c r="J126" s="58"/>
      <c r="K126" s="58" t="s">
        <v>8435</v>
      </c>
      <c r="L126" s="58" t="s">
        <v>8661</v>
      </c>
      <c r="M126" s="58" t="s">
        <v>8662</v>
      </c>
      <c r="N126" s="61" t="s">
        <v>91</v>
      </c>
      <c r="O126" s="58" t="s">
        <v>7804</v>
      </c>
      <c r="P126" s="61" t="n">
        <v>288</v>
      </c>
    </row>
    <row r="127" customFormat="false" ht="22.35" hidden="false" customHeight="false" outlineLevel="0" collapsed="false">
      <c r="A127" s="22" t="s">
        <v>8663</v>
      </c>
      <c r="B127" s="17" t="s">
        <v>8073</v>
      </c>
      <c r="C127" s="17" t="s">
        <v>190</v>
      </c>
      <c r="D127" s="55" t="s">
        <v>8664</v>
      </c>
      <c r="E127" s="17" t="s">
        <v>228</v>
      </c>
      <c r="F127" s="56" t="s">
        <v>8665</v>
      </c>
      <c r="G127" s="17" t="s">
        <v>8666</v>
      </c>
      <c r="H127" s="17"/>
      <c r="I127" s="17" t="s">
        <v>8667</v>
      </c>
      <c r="J127" s="17"/>
      <c r="K127" s="17"/>
      <c r="L127" s="17"/>
      <c r="M127" s="17"/>
      <c r="N127" s="15" t="s">
        <v>91</v>
      </c>
      <c r="O127" s="17" t="s">
        <v>7804</v>
      </c>
      <c r="P127" s="15" t="n">
        <v>289</v>
      </c>
    </row>
    <row r="128" customFormat="false" ht="22.35" hidden="false" customHeight="false" outlineLevel="0" collapsed="false">
      <c r="A128" s="57" t="s">
        <v>8668</v>
      </c>
      <c r="B128" s="58" t="s">
        <v>8073</v>
      </c>
      <c r="C128" s="58" t="s">
        <v>190</v>
      </c>
      <c r="D128" s="59" t="s">
        <v>8669</v>
      </c>
      <c r="E128" s="58" t="s">
        <v>228</v>
      </c>
      <c r="F128" s="60" t="s">
        <v>8670</v>
      </c>
      <c r="G128" s="58" t="s">
        <v>8671</v>
      </c>
      <c r="H128" s="58"/>
      <c r="I128" s="58" t="s">
        <v>8672</v>
      </c>
      <c r="J128" s="58"/>
      <c r="K128" s="58"/>
      <c r="L128" s="58"/>
      <c r="M128" s="58"/>
      <c r="N128" s="61" t="s">
        <v>91</v>
      </c>
      <c r="O128" s="58" t="s">
        <v>7804</v>
      </c>
      <c r="P128" s="61" t="n">
        <v>290</v>
      </c>
    </row>
    <row r="129" customFormat="false" ht="22.35" hidden="false" customHeight="false" outlineLevel="0" collapsed="false">
      <c r="A129" s="22" t="s">
        <v>8673</v>
      </c>
      <c r="B129" s="17" t="s">
        <v>8073</v>
      </c>
      <c r="C129" s="17" t="s">
        <v>190</v>
      </c>
      <c r="D129" s="55" t="s">
        <v>8674</v>
      </c>
      <c r="E129" s="17" t="s">
        <v>228</v>
      </c>
      <c r="F129" s="56" t="s">
        <v>8675</v>
      </c>
      <c r="G129" s="17" t="s">
        <v>8676</v>
      </c>
      <c r="H129" s="17"/>
      <c r="I129" s="17" t="s">
        <v>8677</v>
      </c>
      <c r="J129" s="17"/>
      <c r="K129" s="17"/>
      <c r="L129" s="17"/>
      <c r="M129" s="17"/>
      <c r="N129" s="15" t="s">
        <v>91</v>
      </c>
      <c r="O129" s="17" t="s">
        <v>7804</v>
      </c>
      <c r="P129" s="15" t="n">
        <v>291</v>
      </c>
    </row>
    <row r="130" customFormat="false" ht="22.35" hidden="false" customHeight="false" outlineLevel="0" collapsed="false">
      <c r="A130" s="57" t="s">
        <v>8678</v>
      </c>
      <c r="B130" s="58" t="s">
        <v>8073</v>
      </c>
      <c r="C130" s="58" t="s">
        <v>190</v>
      </c>
      <c r="D130" s="59" t="s">
        <v>8679</v>
      </c>
      <c r="E130" s="58" t="s">
        <v>228</v>
      </c>
      <c r="F130" s="60" t="s">
        <v>8680</v>
      </c>
      <c r="G130" s="58" t="s">
        <v>8681</v>
      </c>
      <c r="H130" s="58"/>
      <c r="I130" s="58" t="s">
        <v>8682</v>
      </c>
      <c r="J130" s="58"/>
      <c r="K130" s="58"/>
      <c r="L130" s="58"/>
      <c r="M130" s="58"/>
      <c r="N130" s="61" t="s">
        <v>91</v>
      </c>
      <c r="O130" s="58" t="s">
        <v>7804</v>
      </c>
      <c r="P130" s="61" t="n">
        <v>317</v>
      </c>
    </row>
    <row r="131" customFormat="false" ht="22.35" hidden="false" customHeight="false" outlineLevel="0" collapsed="false">
      <c r="A131" s="22" t="s">
        <v>8683</v>
      </c>
      <c r="B131" s="17" t="s">
        <v>8073</v>
      </c>
      <c r="C131" s="17" t="s">
        <v>190</v>
      </c>
      <c r="D131" s="55" t="s">
        <v>8684</v>
      </c>
      <c r="E131" s="17" t="s">
        <v>228</v>
      </c>
      <c r="F131" s="56" t="s">
        <v>8685</v>
      </c>
      <c r="G131" s="17" t="s">
        <v>8686</v>
      </c>
      <c r="H131" s="17"/>
      <c r="I131" s="17" t="s">
        <v>8687</v>
      </c>
      <c r="J131" s="17"/>
      <c r="K131" s="17"/>
      <c r="L131" s="17"/>
      <c r="M131" s="17"/>
      <c r="N131" s="15" t="s">
        <v>91</v>
      </c>
      <c r="O131" s="17" t="s">
        <v>7804</v>
      </c>
      <c r="P131" s="15" t="n">
        <v>335</v>
      </c>
    </row>
    <row r="132" customFormat="false" ht="22.35" hidden="false" customHeight="false" outlineLevel="0" collapsed="false">
      <c r="A132" s="57" t="s">
        <v>8688</v>
      </c>
      <c r="B132" s="58" t="s">
        <v>8073</v>
      </c>
      <c r="C132" s="58" t="s">
        <v>190</v>
      </c>
      <c r="D132" s="59" t="s">
        <v>8689</v>
      </c>
      <c r="E132" s="58" t="s">
        <v>228</v>
      </c>
      <c r="F132" s="60" t="s">
        <v>8690</v>
      </c>
      <c r="G132" s="58" t="s">
        <v>8691</v>
      </c>
      <c r="H132" s="58"/>
      <c r="I132" s="58" t="s">
        <v>8692</v>
      </c>
      <c r="J132" s="58"/>
      <c r="K132" s="58"/>
      <c r="L132" s="58"/>
      <c r="M132" s="58"/>
      <c r="N132" s="61" t="s">
        <v>91</v>
      </c>
      <c r="O132" s="58" t="s">
        <v>7804</v>
      </c>
      <c r="P132" s="61" t="n">
        <v>344</v>
      </c>
    </row>
    <row r="133" customFormat="false" ht="22.35" hidden="false" customHeight="false" outlineLevel="0" collapsed="false">
      <c r="A133" s="22" t="s">
        <v>8693</v>
      </c>
      <c r="B133" s="17" t="s">
        <v>8073</v>
      </c>
      <c r="C133" s="17" t="s">
        <v>190</v>
      </c>
      <c r="D133" s="55" t="s">
        <v>8694</v>
      </c>
      <c r="E133" s="17" t="s">
        <v>228</v>
      </c>
      <c r="F133" s="56" t="s">
        <v>8695</v>
      </c>
      <c r="G133" s="17" t="s">
        <v>8696</v>
      </c>
      <c r="H133" s="17"/>
      <c r="I133" s="17" t="s">
        <v>8697</v>
      </c>
      <c r="J133" s="17"/>
      <c r="K133" s="17"/>
      <c r="L133" s="17"/>
      <c r="M133" s="17"/>
      <c r="N133" s="15" t="s">
        <v>91</v>
      </c>
      <c r="O133" s="17" t="s">
        <v>7804</v>
      </c>
      <c r="P133" s="15" t="n">
        <v>362</v>
      </c>
    </row>
    <row r="134" customFormat="false" ht="22.35" hidden="false" customHeight="false" outlineLevel="0" collapsed="false">
      <c r="A134" s="57" t="s">
        <v>8698</v>
      </c>
      <c r="B134" s="58" t="s">
        <v>8073</v>
      </c>
      <c r="C134" s="58" t="s">
        <v>190</v>
      </c>
      <c r="D134" s="59" t="s">
        <v>8699</v>
      </c>
      <c r="E134" s="58" t="s">
        <v>233</v>
      </c>
      <c r="F134" s="60" t="s">
        <v>8700</v>
      </c>
      <c r="G134" s="58" t="s">
        <v>8701</v>
      </c>
      <c r="H134" s="58"/>
      <c r="I134" s="58"/>
      <c r="J134" s="58"/>
      <c r="K134" s="58" t="s">
        <v>8435</v>
      </c>
      <c r="L134" s="58" t="s">
        <v>8482</v>
      </c>
      <c r="M134" s="58" t="s">
        <v>8702</v>
      </c>
      <c r="N134" s="61" t="s">
        <v>91</v>
      </c>
      <c r="O134" s="58" t="s">
        <v>7804</v>
      </c>
      <c r="P134" s="61" t="n">
        <v>364</v>
      </c>
    </row>
    <row r="135" customFormat="false" ht="22.35" hidden="false" customHeight="false" outlineLevel="0" collapsed="false">
      <c r="A135" s="22" t="s">
        <v>8703</v>
      </c>
      <c r="B135" s="17" t="s">
        <v>8073</v>
      </c>
      <c r="C135" s="17" t="s">
        <v>190</v>
      </c>
      <c r="D135" s="55" t="s">
        <v>8704</v>
      </c>
      <c r="E135" s="17" t="s">
        <v>228</v>
      </c>
      <c r="F135" s="56" t="s">
        <v>8705</v>
      </c>
      <c r="G135" s="17" t="s">
        <v>8706</v>
      </c>
      <c r="H135" s="17"/>
      <c r="I135" s="17" t="s">
        <v>8707</v>
      </c>
      <c r="J135" s="17"/>
      <c r="K135" s="17"/>
      <c r="L135" s="17"/>
      <c r="M135" s="17"/>
      <c r="N135" s="15" t="s">
        <v>91</v>
      </c>
      <c r="O135" s="17" t="s">
        <v>7804</v>
      </c>
      <c r="P135" s="15" t="n">
        <v>370</v>
      </c>
    </row>
    <row r="136" customFormat="false" ht="22.35" hidden="false" customHeight="false" outlineLevel="0" collapsed="false">
      <c r="A136" s="57" t="s">
        <v>8708</v>
      </c>
      <c r="B136" s="58" t="s">
        <v>8073</v>
      </c>
      <c r="C136" s="58" t="s">
        <v>190</v>
      </c>
      <c r="D136" s="59" t="s">
        <v>8709</v>
      </c>
      <c r="E136" s="58" t="s">
        <v>228</v>
      </c>
      <c r="F136" s="60" t="s">
        <v>8710</v>
      </c>
      <c r="G136" s="58" t="s">
        <v>8711</v>
      </c>
      <c r="H136" s="58"/>
      <c r="I136" s="58" t="s">
        <v>8712</v>
      </c>
      <c r="J136" s="58"/>
      <c r="K136" s="58"/>
      <c r="L136" s="58"/>
      <c r="M136" s="58"/>
      <c r="N136" s="61" t="s">
        <v>91</v>
      </c>
      <c r="O136" s="58" t="s">
        <v>7804</v>
      </c>
      <c r="P136" s="61" t="n">
        <v>399</v>
      </c>
    </row>
    <row r="137" customFormat="false" ht="22.35" hidden="false" customHeight="false" outlineLevel="0" collapsed="false">
      <c r="A137" s="22" t="s">
        <v>8713</v>
      </c>
      <c r="B137" s="17" t="s">
        <v>8073</v>
      </c>
      <c r="C137" s="17" t="s">
        <v>190</v>
      </c>
      <c r="D137" s="55" t="s">
        <v>8714</v>
      </c>
      <c r="E137" s="17" t="s">
        <v>228</v>
      </c>
      <c r="F137" s="56" t="s">
        <v>8715</v>
      </c>
      <c r="G137" s="17" t="s">
        <v>8716</v>
      </c>
      <c r="H137" s="17"/>
      <c r="I137" s="17" t="s">
        <v>8712</v>
      </c>
      <c r="J137" s="17"/>
      <c r="K137" s="17"/>
      <c r="L137" s="17"/>
      <c r="M137" s="17"/>
      <c r="N137" s="15" t="s">
        <v>91</v>
      </c>
      <c r="O137" s="17" t="s">
        <v>7804</v>
      </c>
      <c r="P137" s="15" t="n">
        <v>428</v>
      </c>
    </row>
  </sheetData>
  <autoFilter ref="A4:P137"/>
  <mergeCells count="1">
    <mergeCell ref="A2:J2"/>
  </mergeCells>
  <printOptions headings="false" gridLines="false" gridLinesSet="true" horizontalCentered="true" verticalCentered="false"/>
  <pageMargins left="0.4" right="0.4" top="0.5" bottom="0.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&amp;LiW-ASCEJ-01-API-Reference-R1.0-REL1.0&amp;C&amp;A&amp;RPage &amp;P of &amp;N</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P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8"/>
    <col collapsed="false" customWidth="true" hidden="false" outlineLevel="0" max="4" min="4" style="0" width="30"/>
    <col collapsed="false" customWidth="true" hidden="false" outlineLevel="0" max="5" min="5" style="0" width="12"/>
    <col collapsed="false" customWidth="true" hidden="false" outlineLevel="0" max="6" min="6" style="0" width="46"/>
    <col collapsed="false" customWidth="true" hidden="false" outlineLevel="0" max="7" min="7" style="0" width="52"/>
    <col collapsed="false" customWidth="true" hidden="false" outlineLevel="0" max="9" min="8" style="0" width="34"/>
    <col collapsed="false" customWidth="true" hidden="false" outlineLevel="0" max="10" min="10" style="0" width="46"/>
    <col collapsed="false" customWidth="true" hidden="false" outlineLevel="0" max="11" min="11" style="0" width="10"/>
    <col collapsed="false" customWidth="true" hidden="false" outlineLevel="0" max="12" min="12" style="0" width="34"/>
    <col collapsed="false" customWidth="true" hidden="false" outlineLevel="0" max="13" min="13" style="0" width="40"/>
    <col collapsed="false" customWidth="true" hidden="false" outlineLevel="0" max="14" min="14" style="0" width="6"/>
    <col collapsed="false" customWidth="true" hidden="false" outlineLevel="0" max="15" min="15" style="0" width="46"/>
    <col collapsed="false" customWidth="true" hidden="false" outlineLevel="0" max="16" min="16" style="0" width="7"/>
  </cols>
  <sheetData>
    <row r="1" customFormat="false" ht="25.5" hidden="false" customHeight="true" outlineLevel="0" collapsed="false">
      <c r="A1" s="12" t="s">
        <v>8717</v>
      </c>
    </row>
    <row r="2" customFormat="false" ht="30" hidden="false" customHeight="true" outlineLevel="0" collapsed="false">
      <c r="A2" s="13" t="s">
        <v>66</v>
      </c>
      <c r="B2" s="13"/>
      <c r="C2" s="13"/>
      <c r="D2" s="13"/>
      <c r="E2" s="13"/>
      <c r="F2" s="13"/>
      <c r="G2" s="13"/>
      <c r="H2" s="13"/>
      <c r="I2" s="13"/>
      <c r="J2" s="13"/>
    </row>
    <row r="3" customFormat="false" ht="15" hidden="false" customHeight="false" outlineLevel="0" collapsed="false">
      <c r="A3" s="9" t="s">
        <v>8718</v>
      </c>
    </row>
    <row r="4" customFormat="false" ht="30" hidden="false" customHeight="true" outlineLevel="0" collapsed="false">
      <c r="A4" s="14" t="s">
        <v>398</v>
      </c>
      <c r="B4" s="14" t="s">
        <v>1006</v>
      </c>
      <c r="C4" s="14" t="s">
        <v>98</v>
      </c>
      <c r="D4" s="14" t="s">
        <v>1007</v>
      </c>
      <c r="E4" s="14" t="s">
        <v>220</v>
      </c>
      <c r="F4" s="14" t="s">
        <v>1008</v>
      </c>
      <c r="G4" s="14" t="s">
        <v>1009</v>
      </c>
      <c r="H4" s="14" t="s">
        <v>1010</v>
      </c>
      <c r="I4" s="14" t="s">
        <v>1011</v>
      </c>
      <c r="J4" s="14" t="s">
        <v>1012</v>
      </c>
      <c r="K4" s="14" t="s">
        <v>1013</v>
      </c>
      <c r="L4" s="14" t="s">
        <v>1014</v>
      </c>
      <c r="M4" s="14" t="s">
        <v>1015</v>
      </c>
      <c r="N4" s="14" t="s">
        <v>1016</v>
      </c>
      <c r="O4" s="14" t="s">
        <v>1017</v>
      </c>
      <c r="P4" s="14" t="s">
        <v>1018</v>
      </c>
    </row>
    <row r="5" customFormat="false" ht="22.35" hidden="false" customHeight="false" outlineLevel="0" collapsed="false">
      <c r="A5" s="22" t="s">
        <v>8719</v>
      </c>
      <c r="B5" s="17" t="s">
        <v>8720</v>
      </c>
      <c r="C5" s="17" t="s">
        <v>191</v>
      </c>
      <c r="D5" s="55" t="s">
        <v>8721</v>
      </c>
      <c r="E5" s="17" t="s">
        <v>223</v>
      </c>
      <c r="F5" s="56" t="s">
        <v>8722</v>
      </c>
      <c r="G5" s="17" t="s">
        <v>8723</v>
      </c>
      <c r="H5" s="17"/>
      <c r="I5" s="17" t="s">
        <v>8724</v>
      </c>
      <c r="J5" s="17" t="s">
        <v>8725</v>
      </c>
      <c r="K5" s="17" t="s">
        <v>1046</v>
      </c>
      <c r="L5" s="17"/>
      <c r="M5" s="17"/>
      <c r="N5" s="15" t="s">
        <v>91</v>
      </c>
      <c r="O5" s="17" t="s">
        <v>8726</v>
      </c>
      <c r="P5" s="15" t="n">
        <v>60</v>
      </c>
    </row>
    <row r="6" customFormat="false" ht="22.35" hidden="false" customHeight="false" outlineLevel="0" collapsed="false">
      <c r="A6" s="57" t="s">
        <v>8727</v>
      </c>
      <c r="B6" s="58" t="s">
        <v>8720</v>
      </c>
      <c r="C6" s="58" t="s">
        <v>191</v>
      </c>
      <c r="D6" s="59" t="s">
        <v>8728</v>
      </c>
      <c r="E6" s="58" t="s">
        <v>223</v>
      </c>
      <c r="F6" s="60" t="s">
        <v>8729</v>
      </c>
      <c r="G6" s="58" t="s">
        <v>8730</v>
      </c>
      <c r="H6" s="58"/>
      <c r="I6" s="58" t="s">
        <v>1707</v>
      </c>
      <c r="J6" s="58" t="s">
        <v>8731</v>
      </c>
      <c r="K6" s="58" t="s">
        <v>8732</v>
      </c>
      <c r="L6" s="58"/>
      <c r="M6" s="58"/>
      <c r="N6" s="61" t="s">
        <v>91</v>
      </c>
      <c r="O6" s="58" t="s">
        <v>8726</v>
      </c>
      <c r="P6" s="61" t="n">
        <v>61</v>
      </c>
    </row>
    <row r="7" customFormat="false" ht="32.8" hidden="false" customHeight="false" outlineLevel="0" collapsed="false">
      <c r="A7" s="22" t="s">
        <v>8733</v>
      </c>
      <c r="B7" s="17" t="s">
        <v>8720</v>
      </c>
      <c r="C7" s="17" t="s">
        <v>191</v>
      </c>
      <c r="D7" s="55" t="s">
        <v>7896</v>
      </c>
      <c r="E7" s="17" t="s">
        <v>224</v>
      </c>
      <c r="F7" s="56" t="s">
        <v>7897</v>
      </c>
      <c r="G7" s="17" t="s">
        <v>8734</v>
      </c>
      <c r="H7" s="17"/>
      <c r="I7" s="17"/>
      <c r="J7" s="17"/>
      <c r="K7" s="17"/>
      <c r="L7" s="17" t="s">
        <v>8735</v>
      </c>
      <c r="M7" s="17"/>
      <c r="N7" s="15" t="s">
        <v>91</v>
      </c>
      <c r="O7" s="17" t="s">
        <v>8726</v>
      </c>
      <c r="P7" s="15" t="n">
        <v>64</v>
      </c>
    </row>
    <row r="8" customFormat="false" ht="22.35" hidden="false" customHeight="false" outlineLevel="0" collapsed="false">
      <c r="A8" s="57" t="s">
        <v>8736</v>
      </c>
      <c r="B8" s="58" t="s">
        <v>8720</v>
      </c>
      <c r="C8" s="58" t="s">
        <v>191</v>
      </c>
      <c r="D8" s="59" t="s">
        <v>8737</v>
      </c>
      <c r="E8" s="58" t="s">
        <v>223</v>
      </c>
      <c r="F8" s="60" t="s">
        <v>8738</v>
      </c>
      <c r="G8" s="58" t="s">
        <v>8739</v>
      </c>
      <c r="H8" s="58"/>
      <c r="I8" s="58" t="s">
        <v>8740</v>
      </c>
      <c r="J8" s="58"/>
      <c r="K8" s="58"/>
      <c r="L8" s="58"/>
      <c r="M8" s="58"/>
      <c r="N8" s="61" t="s">
        <v>91</v>
      </c>
      <c r="O8" s="58" t="s">
        <v>8726</v>
      </c>
      <c r="P8" s="61" t="n">
        <v>70</v>
      </c>
    </row>
    <row r="9" customFormat="false" ht="22.35" hidden="false" customHeight="false" outlineLevel="0" collapsed="false">
      <c r="A9" s="22" t="s">
        <v>8741</v>
      </c>
      <c r="B9" s="17" t="s">
        <v>8720</v>
      </c>
      <c r="C9" s="17" t="s">
        <v>191</v>
      </c>
      <c r="D9" s="55" t="s">
        <v>8742</v>
      </c>
      <c r="E9" s="17" t="s">
        <v>226</v>
      </c>
      <c r="F9" s="56" t="s">
        <v>8743</v>
      </c>
      <c r="G9" s="17" t="s">
        <v>8744</v>
      </c>
      <c r="H9" s="17" t="s">
        <v>8745</v>
      </c>
      <c r="I9" s="17"/>
      <c r="J9" s="17"/>
      <c r="K9" s="17"/>
      <c r="L9" s="17"/>
      <c r="M9" s="17"/>
      <c r="N9" s="15" t="s">
        <v>91</v>
      </c>
      <c r="O9" s="17" t="s">
        <v>8726</v>
      </c>
      <c r="P9" s="15" t="n">
        <v>72</v>
      </c>
    </row>
    <row r="10" customFormat="false" ht="32.8" hidden="false" customHeight="false" outlineLevel="0" collapsed="false">
      <c r="A10" s="57" t="s">
        <v>8746</v>
      </c>
      <c r="B10" s="58" t="s">
        <v>8720</v>
      </c>
      <c r="C10" s="58" t="s">
        <v>191</v>
      </c>
      <c r="D10" s="59" t="s">
        <v>8747</v>
      </c>
      <c r="E10" s="58" t="s">
        <v>226</v>
      </c>
      <c r="F10" s="60" t="s">
        <v>8748</v>
      </c>
      <c r="G10" s="58" t="s">
        <v>8749</v>
      </c>
      <c r="H10" s="58"/>
      <c r="I10" s="58" t="s">
        <v>8750</v>
      </c>
      <c r="J10" s="58"/>
      <c r="K10" s="58"/>
      <c r="L10" s="58" t="s">
        <v>8751</v>
      </c>
      <c r="M10" s="58" t="s">
        <v>8752</v>
      </c>
      <c r="N10" s="61" t="s">
        <v>91</v>
      </c>
      <c r="O10" s="58" t="s">
        <v>8726</v>
      </c>
      <c r="P10" s="61" t="n">
        <v>83</v>
      </c>
    </row>
    <row r="11" customFormat="false" ht="32.8" hidden="false" customHeight="false" outlineLevel="0" collapsed="false">
      <c r="A11" s="22" t="s">
        <v>8753</v>
      </c>
      <c r="B11" s="17" t="s">
        <v>8720</v>
      </c>
      <c r="C11" s="17" t="s">
        <v>191</v>
      </c>
      <c r="D11" s="55" t="s">
        <v>8754</v>
      </c>
      <c r="E11" s="17" t="s">
        <v>226</v>
      </c>
      <c r="F11" s="56" t="s">
        <v>8755</v>
      </c>
      <c r="G11" s="17" t="s">
        <v>8756</v>
      </c>
      <c r="H11" s="17" t="s">
        <v>8757</v>
      </c>
      <c r="I11" s="17" t="s">
        <v>8758</v>
      </c>
      <c r="J11" s="17"/>
      <c r="K11" s="17" t="s">
        <v>1046</v>
      </c>
      <c r="L11" s="17" t="s">
        <v>8759</v>
      </c>
      <c r="M11" s="17" t="s">
        <v>8760</v>
      </c>
      <c r="N11" s="15" t="s">
        <v>91</v>
      </c>
      <c r="O11" s="17" t="s">
        <v>8726</v>
      </c>
      <c r="P11" s="15" t="n">
        <v>106</v>
      </c>
    </row>
    <row r="12" customFormat="false" ht="43.25" hidden="false" customHeight="false" outlineLevel="0" collapsed="false">
      <c r="A12" s="57" t="s">
        <v>8761</v>
      </c>
      <c r="B12" s="58" t="s">
        <v>8720</v>
      </c>
      <c r="C12" s="58" t="s">
        <v>191</v>
      </c>
      <c r="D12" s="59" t="s">
        <v>4285</v>
      </c>
      <c r="E12" s="58" t="s">
        <v>222</v>
      </c>
      <c r="F12" s="60" t="s">
        <v>8762</v>
      </c>
      <c r="G12" s="58" t="s">
        <v>8763</v>
      </c>
      <c r="H12" s="58" t="s">
        <v>8764</v>
      </c>
      <c r="I12" s="58" t="s">
        <v>8765</v>
      </c>
      <c r="J12" s="58"/>
      <c r="K12" s="58"/>
      <c r="L12" s="58" t="s">
        <v>8766</v>
      </c>
      <c r="M12" s="58" t="s">
        <v>8767</v>
      </c>
      <c r="N12" s="61" t="s">
        <v>91</v>
      </c>
      <c r="O12" s="58" t="s">
        <v>8726</v>
      </c>
      <c r="P12" s="61" t="n">
        <v>132</v>
      </c>
    </row>
    <row r="13" customFormat="false" ht="22.35" hidden="false" customHeight="false" outlineLevel="0" collapsed="false">
      <c r="A13" s="22" t="s">
        <v>8768</v>
      </c>
      <c r="B13" s="17" t="s">
        <v>8720</v>
      </c>
      <c r="C13" s="17" t="s">
        <v>191</v>
      </c>
      <c r="D13" s="55" t="s">
        <v>8769</v>
      </c>
      <c r="E13" s="17" t="s">
        <v>248</v>
      </c>
      <c r="F13" s="56" t="s">
        <v>8770</v>
      </c>
      <c r="G13" s="17" t="s">
        <v>8771</v>
      </c>
      <c r="H13" s="17" t="s">
        <v>8772</v>
      </c>
      <c r="I13" s="17" t="s">
        <v>8773</v>
      </c>
      <c r="J13" s="17"/>
      <c r="K13" s="17"/>
      <c r="L13" s="17" t="s">
        <v>8774</v>
      </c>
      <c r="M13" s="17" t="s">
        <v>8775</v>
      </c>
      <c r="N13" s="15" t="s">
        <v>91</v>
      </c>
      <c r="O13" s="17" t="s">
        <v>8726</v>
      </c>
      <c r="P13" s="15" t="n">
        <v>134</v>
      </c>
    </row>
    <row r="14" customFormat="false" ht="32.8" hidden="false" customHeight="false" outlineLevel="0" collapsed="false">
      <c r="A14" s="57" t="s">
        <v>8776</v>
      </c>
      <c r="B14" s="58" t="s">
        <v>8720</v>
      </c>
      <c r="C14" s="58" t="s">
        <v>191</v>
      </c>
      <c r="D14" s="59" t="s">
        <v>8777</v>
      </c>
      <c r="E14" s="58" t="s">
        <v>248</v>
      </c>
      <c r="F14" s="60" t="s">
        <v>8778</v>
      </c>
      <c r="G14" s="58" t="s">
        <v>8779</v>
      </c>
      <c r="H14" s="58" t="s">
        <v>8772</v>
      </c>
      <c r="I14" s="58" t="s">
        <v>8780</v>
      </c>
      <c r="J14" s="58"/>
      <c r="K14" s="58"/>
      <c r="L14" s="58" t="s">
        <v>8781</v>
      </c>
      <c r="M14" s="58" t="s">
        <v>8782</v>
      </c>
      <c r="N14" s="61" t="s">
        <v>91</v>
      </c>
      <c r="O14" s="58" t="s">
        <v>8726</v>
      </c>
      <c r="P14" s="61" t="n">
        <v>135</v>
      </c>
    </row>
    <row r="15" customFormat="false" ht="22.35" hidden="false" customHeight="false" outlineLevel="0" collapsed="false">
      <c r="A15" s="22" t="s">
        <v>8783</v>
      </c>
      <c r="B15" s="17" t="s">
        <v>8720</v>
      </c>
      <c r="C15" s="17" t="s">
        <v>191</v>
      </c>
      <c r="D15" s="55" t="s">
        <v>8784</v>
      </c>
      <c r="E15" s="17" t="s">
        <v>231</v>
      </c>
      <c r="F15" s="56" t="s">
        <v>8785</v>
      </c>
      <c r="G15" s="17" t="s">
        <v>8786</v>
      </c>
      <c r="H15" s="17"/>
      <c r="I15" s="17"/>
      <c r="J15" s="17"/>
      <c r="K15" s="17"/>
      <c r="L15" s="17" t="s">
        <v>8787</v>
      </c>
      <c r="M15" s="17"/>
      <c r="N15" s="15" t="s">
        <v>91</v>
      </c>
      <c r="O15" s="17" t="s">
        <v>8726</v>
      </c>
      <c r="P15" s="15" t="n">
        <v>144</v>
      </c>
    </row>
    <row r="16" customFormat="false" ht="22.35" hidden="false" customHeight="false" outlineLevel="0" collapsed="false">
      <c r="A16" s="57" t="s">
        <v>8788</v>
      </c>
      <c r="B16" s="58" t="s">
        <v>8720</v>
      </c>
      <c r="C16" s="58" t="s">
        <v>191</v>
      </c>
      <c r="D16" s="59" t="s">
        <v>8789</v>
      </c>
      <c r="E16" s="58" t="s">
        <v>231</v>
      </c>
      <c r="F16" s="60" t="s">
        <v>8790</v>
      </c>
      <c r="G16" s="58" t="s">
        <v>8791</v>
      </c>
      <c r="H16" s="58"/>
      <c r="I16" s="58"/>
      <c r="J16" s="58"/>
      <c r="K16" s="58"/>
      <c r="L16" s="58"/>
      <c r="M16" s="58"/>
      <c r="N16" s="61" t="s">
        <v>91</v>
      </c>
      <c r="O16" s="58" t="s">
        <v>8726</v>
      </c>
      <c r="P16" s="61" t="n">
        <v>151</v>
      </c>
    </row>
    <row r="17" customFormat="false" ht="22.35" hidden="false" customHeight="false" outlineLevel="0" collapsed="false">
      <c r="A17" s="22" t="s">
        <v>8792</v>
      </c>
      <c r="B17" s="17" t="s">
        <v>8720</v>
      </c>
      <c r="C17" s="17" t="s">
        <v>191</v>
      </c>
      <c r="D17" s="55" t="s">
        <v>8793</v>
      </c>
      <c r="E17" s="17" t="s">
        <v>231</v>
      </c>
      <c r="F17" s="56" t="s">
        <v>8794</v>
      </c>
      <c r="G17" s="17" t="s">
        <v>8795</v>
      </c>
      <c r="H17" s="17"/>
      <c r="I17" s="17"/>
      <c r="J17" s="17"/>
      <c r="K17" s="17"/>
      <c r="L17" s="17"/>
      <c r="M17" s="17"/>
      <c r="N17" s="15" t="s">
        <v>91</v>
      </c>
      <c r="O17" s="17" t="s">
        <v>8726</v>
      </c>
      <c r="P17" s="15" t="n">
        <v>155</v>
      </c>
    </row>
    <row r="18" customFormat="false" ht="22.35" hidden="false" customHeight="false" outlineLevel="0" collapsed="false">
      <c r="A18" s="57" t="s">
        <v>8796</v>
      </c>
      <c r="B18" s="58" t="s">
        <v>8720</v>
      </c>
      <c r="C18" s="58" t="s">
        <v>191</v>
      </c>
      <c r="D18" s="59" t="s">
        <v>8797</v>
      </c>
      <c r="E18" s="58" t="s">
        <v>231</v>
      </c>
      <c r="F18" s="60" t="s">
        <v>8798</v>
      </c>
      <c r="G18" s="58" t="s">
        <v>8799</v>
      </c>
      <c r="H18" s="58"/>
      <c r="I18" s="58"/>
      <c r="J18" s="58"/>
      <c r="K18" s="58"/>
      <c r="L18" s="58" t="s">
        <v>8787</v>
      </c>
      <c r="M18" s="58"/>
      <c r="N18" s="61" t="s">
        <v>91</v>
      </c>
      <c r="O18" s="58" t="s">
        <v>8726</v>
      </c>
      <c r="P18" s="61" t="n">
        <v>158</v>
      </c>
    </row>
    <row r="19" customFormat="false" ht="22.35" hidden="false" customHeight="false" outlineLevel="0" collapsed="false">
      <c r="A19" s="22" t="s">
        <v>8800</v>
      </c>
      <c r="B19" s="17" t="s">
        <v>8720</v>
      </c>
      <c r="C19" s="17" t="s">
        <v>191</v>
      </c>
      <c r="D19" s="55" t="s">
        <v>8801</v>
      </c>
      <c r="E19" s="17" t="s">
        <v>231</v>
      </c>
      <c r="F19" s="56" t="s">
        <v>8802</v>
      </c>
      <c r="G19" s="17" t="s">
        <v>8803</v>
      </c>
      <c r="H19" s="17"/>
      <c r="I19" s="17"/>
      <c r="J19" s="17"/>
      <c r="K19" s="17"/>
      <c r="L19" s="17" t="s">
        <v>8787</v>
      </c>
      <c r="M19" s="17"/>
      <c r="N19" s="15" t="s">
        <v>91</v>
      </c>
      <c r="O19" s="17" t="s">
        <v>8726</v>
      </c>
      <c r="P19" s="15" t="n">
        <v>166</v>
      </c>
    </row>
    <row r="20" customFormat="false" ht="22.35" hidden="false" customHeight="false" outlineLevel="0" collapsed="false">
      <c r="A20" s="57" t="s">
        <v>8804</v>
      </c>
      <c r="B20" s="58" t="s">
        <v>8720</v>
      </c>
      <c r="C20" s="58" t="s">
        <v>191</v>
      </c>
      <c r="D20" s="59" t="s">
        <v>8805</v>
      </c>
      <c r="E20" s="58" t="s">
        <v>222</v>
      </c>
      <c r="F20" s="60" t="s">
        <v>8806</v>
      </c>
      <c r="G20" s="58" t="s">
        <v>8807</v>
      </c>
      <c r="H20" s="58" t="s">
        <v>7879</v>
      </c>
      <c r="I20" s="58" t="s">
        <v>8808</v>
      </c>
      <c r="J20" s="58"/>
      <c r="K20" s="58"/>
      <c r="L20" s="58"/>
      <c r="M20" s="58"/>
      <c r="N20" s="61" t="s">
        <v>91</v>
      </c>
      <c r="O20" s="58" t="s">
        <v>8726</v>
      </c>
      <c r="P20" s="61" t="n">
        <v>181</v>
      </c>
    </row>
    <row r="21" customFormat="false" ht="22.35" hidden="false" customHeight="false" outlineLevel="0" collapsed="false">
      <c r="A21" s="22" t="s">
        <v>8809</v>
      </c>
      <c r="B21" s="17" t="s">
        <v>8720</v>
      </c>
      <c r="C21" s="17" t="s">
        <v>191</v>
      </c>
      <c r="D21" s="55" t="s">
        <v>8810</v>
      </c>
      <c r="E21" s="17" t="s">
        <v>231</v>
      </c>
      <c r="F21" s="56" t="s">
        <v>8811</v>
      </c>
      <c r="G21" s="17" t="s">
        <v>8812</v>
      </c>
      <c r="H21" s="17"/>
      <c r="I21" s="17"/>
      <c r="J21" s="17"/>
      <c r="K21" s="17"/>
      <c r="L21" s="17" t="s">
        <v>8787</v>
      </c>
      <c r="M21" s="17"/>
      <c r="N21" s="15" t="s">
        <v>91</v>
      </c>
      <c r="O21" s="17" t="s">
        <v>8726</v>
      </c>
      <c r="P21" s="15" t="n">
        <v>182</v>
      </c>
    </row>
    <row r="22" customFormat="false" ht="22.35" hidden="false" customHeight="false" outlineLevel="0" collapsed="false">
      <c r="A22" s="57" t="s">
        <v>8813</v>
      </c>
      <c r="B22" s="58" t="s">
        <v>8720</v>
      </c>
      <c r="C22" s="58" t="s">
        <v>191</v>
      </c>
      <c r="D22" s="59" t="s">
        <v>8814</v>
      </c>
      <c r="E22" s="58" t="s">
        <v>231</v>
      </c>
      <c r="F22" s="60" t="s">
        <v>8815</v>
      </c>
      <c r="G22" s="58" t="s">
        <v>8816</v>
      </c>
      <c r="H22" s="58"/>
      <c r="I22" s="58"/>
      <c r="J22" s="58"/>
      <c r="K22" s="58"/>
      <c r="L22" s="58"/>
      <c r="M22" s="58"/>
      <c r="N22" s="61" t="s">
        <v>91</v>
      </c>
      <c r="O22" s="58" t="s">
        <v>8726</v>
      </c>
      <c r="P22" s="61" t="n">
        <v>189</v>
      </c>
    </row>
    <row r="23" customFormat="false" ht="22.35" hidden="false" customHeight="false" outlineLevel="0" collapsed="false">
      <c r="A23" s="22" t="s">
        <v>8817</v>
      </c>
      <c r="B23" s="17" t="s">
        <v>8720</v>
      </c>
      <c r="C23" s="17" t="s">
        <v>191</v>
      </c>
      <c r="D23" s="55" t="s">
        <v>8818</v>
      </c>
      <c r="E23" s="17" t="s">
        <v>222</v>
      </c>
      <c r="F23" s="56" t="s">
        <v>8819</v>
      </c>
      <c r="G23" s="17" t="s">
        <v>8820</v>
      </c>
      <c r="H23" s="17"/>
      <c r="I23" s="17" t="s">
        <v>8821</v>
      </c>
      <c r="J23" s="17"/>
      <c r="K23" s="17"/>
      <c r="L23" s="17"/>
      <c r="M23" s="17" t="s">
        <v>8822</v>
      </c>
      <c r="N23" s="15" t="s">
        <v>91</v>
      </c>
      <c r="O23" s="17" t="s">
        <v>8726</v>
      </c>
      <c r="P23" s="15" t="n">
        <v>197</v>
      </c>
    </row>
    <row r="24" customFormat="false" ht="22.35" hidden="false" customHeight="false" outlineLevel="0" collapsed="false">
      <c r="A24" s="57" t="s">
        <v>8823</v>
      </c>
      <c r="B24" s="58" t="s">
        <v>8720</v>
      </c>
      <c r="C24" s="58" t="s">
        <v>191</v>
      </c>
      <c r="D24" s="59" t="s">
        <v>8824</v>
      </c>
      <c r="E24" s="58" t="s">
        <v>231</v>
      </c>
      <c r="F24" s="60" t="s">
        <v>8825</v>
      </c>
      <c r="G24" s="58" t="s">
        <v>8826</v>
      </c>
      <c r="H24" s="58"/>
      <c r="I24" s="58"/>
      <c r="J24" s="58"/>
      <c r="K24" s="58"/>
      <c r="L24" s="58" t="s">
        <v>8787</v>
      </c>
      <c r="M24" s="58"/>
      <c r="N24" s="61" t="s">
        <v>91</v>
      </c>
      <c r="O24" s="58" t="s">
        <v>8726</v>
      </c>
      <c r="P24" s="61" t="n">
        <v>202</v>
      </c>
    </row>
    <row r="25" customFormat="false" ht="22.35" hidden="false" customHeight="false" outlineLevel="0" collapsed="false">
      <c r="A25" s="22" t="s">
        <v>8827</v>
      </c>
      <c r="B25" s="17" t="s">
        <v>8720</v>
      </c>
      <c r="C25" s="17" t="s">
        <v>191</v>
      </c>
      <c r="D25" s="55" t="s">
        <v>8828</v>
      </c>
      <c r="E25" s="17" t="s">
        <v>231</v>
      </c>
      <c r="F25" s="56" t="s">
        <v>8829</v>
      </c>
      <c r="G25" s="17" t="s">
        <v>8830</v>
      </c>
      <c r="H25" s="17"/>
      <c r="I25" s="17"/>
      <c r="J25" s="17"/>
      <c r="K25" s="17"/>
      <c r="L25" s="17" t="s">
        <v>8831</v>
      </c>
      <c r="M25" s="17"/>
      <c r="N25" s="15" t="s">
        <v>91</v>
      </c>
      <c r="O25" s="17" t="s">
        <v>8726</v>
      </c>
      <c r="P25" s="15" t="n">
        <v>206</v>
      </c>
    </row>
    <row r="26" customFormat="false" ht="22.35" hidden="false" customHeight="false" outlineLevel="0" collapsed="false">
      <c r="A26" s="57" t="s">
        <v>8832</v>
      </c>
      <c r="B26" s="58" t="s">
        <v>8720</v>
      </c>
      <c r="C26" s="58" t="s">
        <v>191</v>
      </c>
      <c r="D26" s="59" t="s">
        <v>8833</v>
      </c>
      <c r="E26" s="58" t="s">
        <v>231</v>
      </c>
      <c r="F26" s="60" t="s">
        <v>8834</v>
      </c>
      <c r="G26" s="58" t="s">
        <v>8835</v>
      </c>
      <c r="H26" s="58"/>
      <c r="I26" s="58"/>
      <c r="J26" s="58"/>
      <c r="K26" s="58"/>
      <c r="L26" s="58" t="s">
        <v>8836</v>
      </c>
      <c r="M26" s="58"/>
      <c r="N26" s="61" t="s">
        <v>91</v>
      </c>
      <c r="O26" s="58" t="s">
        <v>8726</v>
      </c>
      <c r="P26" s="61" t="n">
        <v>211</v>
      </c>
    </row>
    <row r="27" customFormat="false" ht="43.25" hidden="false" customHeight="false" outlineLevel="0" collapsed="false">
      <c r="A27" s="22" t="s">
        <v>8837</v>
      </c>
      <c r="B27" s="17" t="s">
        <v>8720</v>
      </c>
      <c r="C27" s="17" t="s">
        <v>191</v>
      </c>
      <c r="D27" s="55" t="s">
        <v>8838</v>
      </c>
      <c r="E27" s="17" t="s">
        <v>222</v>
      </c>
      <c r="F27" s="56" t="s">
        <v>8839</v>
      </c>
      <c r="G27" s="17" t="s">
        <v>8840</v>
      </c>
      <c r="H27" s="17" t="s">
        <v>8841</v>
      </c>
      <c r="I27" s="17" t="s">
        <v>8842</v>
      </c>
      <c r="J27" s="17" t="s">
        <v>8843</v>
      </c>
      <c r="K27" s="17" t="s">
        <v>8844</v>
      </c>
      <c r="L27" s="17"/>
      <c r="M27" s="17" t="s">
        <v>8845</v>
      </c>
      <c r="N27" s="15" t="s">
        <v>91</v>
      </c>
      <c r="O27" s="17" t="s">
        <v>8726</v>
      </c>
      <c r="P27" s="15" t="n">
        <v>240</v>
      </c>
    </row>
    <row r="28" customFormat="false" ht="22.35" hidden="false" customHeight="false" outlineLevel="0" collapsed="false">
      <c r="A28" s="57" t="s">
        <v>8846</v>
      </c>
      <c r="B28" s="58" t="s">
        <v>8720</v>
      </c>
      <c r="C28" s="58" t="s">
        <v>191</v>
      </c>
      <c r="D28" s="59" t="s">
        <v>8847</v>
      </c>
      <c r="E28" s="58" t="s">
        <v>231</v>
      </c>
      <c r="F28" s="60" t="s">
        <v>8848</v>
      </c>
      <c r="G28" s="58" t="s">
        <v>8849</v>
      </c>
      <c r="H28" s="58"/>
      <c r="I28" s="58"/>
      <c r="J28" s="58"/>
      <c r="K28" s="58"/>
      <c r="L28" s="58" t="s">
        <v>8850</v>
      </c>
      <c r="M28" s="58"/>
      <c r="N28" s="61" t="s">
        <v>91</v>
      </c>
      <c r="O28" s="58" t="s">
        <v>8726</v>
      </c>
      <c r="P28" s="61" t="n">
        <v>252</v>
      </c>
    </row>
    <row r="29" customFormat="false" ht="22.35" hidden="false" customHeight="false" outlineLevel="0" collapsed="false">
      <c r="A29" s="22" t="s">
        <v>8851</v>
      </c>
      <c r="B29" s="17" t="s">
        <v>8720</v>
      </c>
      <c r="C29" s="17" t="s">
        <v>191</v>
      </c>
      <c r="D29" s="55" t="s">
        <v>8852</v>
      </c>
      <c r="E29" s="17" t="s">
        <v>231</v>
      </c>
      <c r="F29" s="56" t="s">
        <v>8853</v>
      </c>
      <c r="G29" s="17" t="s">
        <v>8854</v>
      </c>
      <c r="H29" s="17"/>
      <c r="I29" s="17"/>
      <c r="J29" s="17"/>
      <c r="K29" s="17"/>
      <c r="L29" s="17" t="s">
        <v>8855</v>
      </c>
      <c r="M29" s="17"/>
      <c r="N29" s="15" t="s">
        <v>91</v>
      </c>
      <c r="O29" s="17" t="s">
        <v>8726</v>
      </c>
      <c r="P29" s="15" t="n">
        <v>255</v>
      </c>
    </row>
    <row r="30" customFormat="false" ht="22.35" hidden="false" customHeight="false" outlineLevel="0" collapsed="false">
      <c r="A30" s="57" t="s">
        <v>8856</v>
      </c>
      <c r="B30" s="58" t="s">
        <v>8720</v>
      </c>
      <c r="C30" s="58" t="s">
        <v>191</v>
      </c>
      <c r="D30" s="59" t="s">
        <v>8857</v>
      </c>
      <c r="E30" s="58" t="s">
        <v>231</v>
      </c>
      <c r="F30" s="60" t="s">
        <v>8858</v>
      </c>
      <c r="G30" s="58" t="s">
        <v>8859</v>
      </c>
      <c r="H30" s="58"/>
      <c r="I30" s="58"/>
      <c r="J30" s="58"/>
      <c r="K30" s="58"/>
      <c r="L30" s="58" t="s">
        <v>8860</v>
      </c>
      <c r="M30" s="58"/>
      <c r="N30" s="61" t="s">
        <v>91</v>
      </c>
      <c r="O30" s="58" t="s">
        <v>8726</v>
      </c>
      <c r="P30" s="61" t="n">
        <v>262</v>
      </c>
    </row>
    <row r="31" customFormat="false" ht="22.35" hidden="false" customHeight="false" outlineLevel="0" collapsed="false">
      <c r="A31" s="22" t="s">
        <v>8861</v>
      </c>
      <c r="B31" s="17" t="s">
        <v>8720</v>
      </c>
      <c r="C31" s="17" t="s">
        <v>191</v>
      </c>
      <c r="D31" s="55" t="s">
        <v>8862</v>
      </c>
      <c r="E31" s="17" t="s">
        <v>231</v>
      </c>
      <c r="F31" s="56" t="s">
        <v>8863</v>
      </c>
      <c r="G31" s="17" t="s">
        <v>8864</v>
      </c>
      <c r="H31" s="17"/>
      <c r="I31" s="17"/>
      <c r="J31" s="17"/>
      <c r="K31" s="17"/>
      <c r="L31" s="17" t="s">
        <v>8831</v>
      </c>
      <c r="M31" s="17"/>
      <c r="N31" s="15" t="s">
        <v>91</v>
      </c>
      <c r="O31" s="17" t="s">
        <v>8726</v>
      </c>
      <c r="P31" s="15" t="n">
        <v>264</v>
      </c>
    </row>
    <row r="32" customFormat="false" ht="22.35" hidden="false" customHeight="false" outlineLevel="0" collapsed="false">
      <c r="A32" s="57" t="s">
        <v>8865</v>
      </c>
      <c r="B32" s="58" t="s">
        <v>8720</v>
      </c>
      <c r="C32" s="58" t="s">
        <v>191</v>
      </c>
      <c r="D32" s="59" t="s">
        <v>8866</v>
      </c>
      <c r="E32" s="58" t="s">
        <v>231</v>
      </c>
      <c r="F32" s="60" t="s">
        <v>8867</v>
      </c>
      <c r="G32" s="58" t="s">
        <v>8868</v>
      </c>
      <c r="H32" s="58"/>
      <c r="I32" s="58"/>
      <c r="J32" s="58"/>
      <c r="K32" s="58"/>
      <c r="L32" s="58" t="s">
        <v>8860</v>
      </c>
      <c r="M32" s="58"/>
      <c r="N32" s="61" t="s">
        <v>91</v>
      </c>
      <c r="O32" s="58" t="s">
        <v>8726</v>
      </c>
      <c r="P32" s="61" t="n">
        <v>266</v>
      </c>
    </row>
    <row r="33" customFormat="false" ht="32.8" hidden="false" customHeight="false" outlineLevel="0" collapsed="false">
      <c r="A33" s="22" t="s">
        <v>8869</v>
      </c>
      <c r="B33" s="17" t="s">
        <v>8720</v>
      </c>
      <c r="C33" s="17" t="s">
        <v>191</v>
      </c>
      <c r="D33" s="55" t="s">
        <v>8870</v>
      </c>
      <c r="E33" s="17" t="s">
        <v>223</v>
      </c>
      <c r="F33" s="56" t="s">
        <v>8871</v>
      </c>
      <c r="G33" s="17" t="s">
        <v>8872</v>
      </c>
      <c r="H33" s="17"/>
      <c r="I33" s="17"/>
      <c r="J33" s="17" t="s">
        <v>8873</v>
      </c>
      <c r="K33" s="17" t="s">
        <v>8874</v>
      </c>
      <c r="L33" s="17" t="s">
        <v>8875</v>
      </c>
      <c r="M33" s="17" t="s">
        <v>8876</v>
      </c>
      <c r="N33" s="15" t="s">
        <v>91</v>
      </c>
      <c r="O33" s="17" t="s">
        <v>8726</v>
      </c>
      <c r="P33" s="15" t="n">
        <v>279</v>
      </c>
    </row>
    <row r="34" customFormat="false" ht="32.8" hidden="false" customHeight="false" outlineLevel="0" collapsed="false">
      <c r="A34" s="57" t="s">
        <v>8877</v>
      </c>
      <c r="B34" s="58" t="s">
        <v>8720</v>
      </c>
      <c r="C34" s="58" t="s">
        <v>191</v>
      </c>
      <c r="D34" s="59" t="s">
        <v>8878</v>
      </c>
      <c r="E34" s="58" t="s">
        <v>231</v>
      </c>
      <c r="F34" s="60" t="s">
        <v>8879</v>
      </c>
      <c r="G34" s="58" t="s">
        <v>8880</v>
      </c>
      <c r="H34" s="58"/>
      <c r="I34" s="58"/>
      <c r="J34" s="58"/>
      <c r="K34" s="58"/>
      <c r="L34" s="58" t="s">
        <v>8881</v>
      </c>
      <c r="M34" s="58"/>
      <c r="N34" s="61" t="s">
        <v>91</v>
      </c>
      <c r="O34" s="58" t="s">
        <v>8726</v>
      </c>
      <c r="P34" s="61" t="n">
        <v>280</v>
      </c>
    </row>
    <row r="35" customFormat="false" ht="22.35" hidden="false" customHeight="false" outlineLevel="0" collapsed="false">
      <c r="A35" s="22" t="s">
        <v>8882</v>
      </c>
      <c r="B35" s="17" t="s">
        <v>8720</v>
      </c>
      <c r="C35" s="17" t="s">
        <v>191</v>
      </c>
      <c r="D35" s="55" t="s">
        <v>8883</v>
      </c>
      <c r="E35" s="17" t="s">
        <v>231</v>
      </c>
      <c r="F35" s="56" t="s">
        <v>8884</v>
      </c>
      <c r="G35" s="17" t="s">
        <v>8885</v>
      </c>
      <c r="H35" s="17"/>
      <c r="I35" s="17"/>
      <c r="J35" s="17"/>
      <c r="K35" s="17"/>
      <c r="L35" s="17"/>
      <c r="M35" s="17"/>
      <c r="N35" s="15" t="s">
        <v>91</v>
      </c>
      <c r="O35" s="17" t="s">
        <v>8726</v>
      </c>
      <c r="P35" s="15" t="n">
        <v>287</v>
      </c>
    </row>
    <row r="36" customFormat="false" ht="32.8" hidden="false" customHeight="false" outlineLevel="0" collapsed="false">
      <c r="A36" s="57" t="s">
        <v>8886</v>
      </c>
      <c r="B36" s="58" t="s">
        <v>8720</v>
      </c>
      <c r="C36" s="58" t="s">
        <v>191</v>
      </c>
      <c r="D36" s="59" t="s">
        <v>8887</v>
      </c>
      <c r="E36" s="58" t="s">
        <v>222</v>
      </c>
      <c r="F36" s="60" t="s">
        <v>8888</v>
      </c>
      <c r="G36" s="58" t="s">
        <v>8889</v>
      </c>
      <c r="H36" s="58"/>
      <c r="I36" s="58"/>
      <c r="J36" s="58"/>
      <c r="K36" s="58"/>
      <c r="L36" s="58"/>
      <c r="M36" s="58" t="s">
        <v>8890</v>
      </c>
      <c r="N36" s="61" t="s">
        <v>91</v>
      </c>
      <c r="O36" s="58" t="s">
        <v>8726</v>
      </c>
      <c r="P36" s="61" t="n">
        <v>290</v>
      </c>
    </row>
    <row r="37" customFormat="false" ht="22.35" hidden="false" customHeight="false" outlineLevel="0" collapsed="false">
      <c r="A37" s="22" t="s">
        <v>8891</v>
      </c>
      <c r="B37" s="17" t="s">
        <v>8720</v>
      </c>
      <c r="C37" s="17" t="s">
        <v>191</v>
      </c>
      <c r="D37" s="55" t="s">
        <v>8892</v>
      </c>
      <c r="E37" s="17" t="s">
        <v>231</v>
      </c>
      <c r="F37" s="56" t="s">
        <v>8893</v>
      </c>
      <c r="G37" s="17" t="s">
        <v>8894</v>
      </c>
      <c r="H37" s="17"/>
      <c r="I37" s="17"/>
      <c r="J37" s="17"/>
      <c r="K37" s="17"/>
      <c r="L37" s="17"/>
      <c r="M37" s="17"/>
      <c r="N37" s="15" t="s">
        <v>91</v>
      </c>
      <c r="O37" s="17" t="s">
        <v>8726</v>
      </c>
      <c r="P37" s="15" t="n">
        <v>314</v>
      </c>
    </row>
    <row r="38" customFormat="false" ht="22.35" hidden="false" customHeight="false" outlineLevel="0" collapsed="false">
      <c r="A38" s="57" t="s">
        <v>8895</v>
      </c>
      <c r="B38" s="58" t="s">
        <v>8720</v>
      </c>
      <c r="C38" s="58" t="s">
        <v>191</v>
      </c>
      <c r="D38" s="59" t="s">
        <v>8896</v>
      </c>
      <c r="E38" s="58" t="s">
        <v>223</v>
      </c>
      <c r="F38" s="60" t="s">
        <v>8897</v>
      </c>
      <c r="G38" s="58" t="s">
        <v>8898</v>
      </c>
      <c r="H38" s="58"/>
      <c r="I38" s="58"/>
      <c r="J38" s="58" t="s">
        <v>8899</v>
      </c>
      <c r="K38" s="58"/>
      <c r="L38" s="58" t="s">
        <v>8900</v>
      </c>
      <c r="M38" s="58" t="s">
        <v>8901</v>
      </c>
      <c r="N38" s="61" t="s">
        <v>91</v>
      </c>
      <c r="O38" s="58" t="s">
        <v>8902</v>
      </c>
      <c r="P38" s="61" t="n">
        <v>24</v>
      </c>
    </row>
    <row r="39" customFormat="false" ht="22.35" hidden="false" customHeight="false" outlineLevel="0" collapsed="false">
      <c r="A39" s="22" t="s">
        <v>8903</v>
      </c>
      <c r="B39" s="17" t="s">
        <v>8720</v>
      </c>
      <c r="C39" s="17" t="s">
        <v>192</v>
      </c>
      <c r="D39" s="55" t="s">
        <v>8904</v>
      </c>
      <c r="E39" s="17" t="s">
        <v>223</v>
      </c>
      <c r="F39" s="56" t="s">
        <v>8905</v>
      </c>
      <c r="G39" s="17" t="s">
        <v>8906</v>
      </c>
      <c r="H39" s="17"/>
      <c r="I39" s="17" t="s">
        <v>8907</v>
      </c>
      <c r="J39" s="17"/>
      <c r="K39" s="17"/>
      <c r="L39" s="17"/>
      <c r="M39" s="17"/>
      <c r="N39" s="15" t="s">
        <v>91</v>
      </c>
      <c r="O39" s="17" t="s">
        <v>8908</v>
      </c>
      <c r="P39" s="15" t="n">
        <v>103</v>
      </c>
    </row>
    <row r="40" customFormat="false" ht="22.35" hidden="false" customHeight="false" outlineLevel="0" collapsed="false">
      <c r="A40" s="57" t="s">
        <v>8909</v>
      </c>
      <c r="B40" s="58" t="s">
        <v>8720</v>
      </c>
      <c r="C40" s="58" t="s">
        <v>192</v>
      </c>
      <c r="D40" s="59" t="s">
        <v>8910</v>
      </c>
      <c r="E40" s="58" t="s">
        <v>223</v>
      </c>
      <c r="F40" s="60" t="s">
        <v>8911</v>
      </c>
      <c r="G40" s="58" t="s">
        <v>8912</v>
      </c>
      <c r="H40" s="58"/>
      <c r="I40" s="58" t="s">
        <v>8913</v>
      </c>
      <c r="J40" s="58"/>
      <c r="K40" s="58"/>
      <c r="L40" s="58"/>
      <c r="M40" s="58"/>
      <c r="N40" s="61" t="s">
        <v>91</v>
      </c>
      <c r="O40" s="58" t="s">
        <v>8908</v>
      </c>
      <c r="P40" s="61" t="n">
        <v>104</v>
      </c>
    </row>
    <row r="41" customFormat="false" ht="22.35" hidden="false" customHeight="false" outlineLevel="0" collapsed="false">
      <c r="A41" s="22" t="s">
        <v>8914</v>
      </c>
      <c r="B41" s="17" t="s">
        <v>8720</v>
      </c>
      <c r="C41" s="17" t="s">
        <v>192</v>
      </c>
      <c r="D41" s="55" t="s">
        <v>8915</v>
      </c>
      <c r="E41" s="17" t="s">
        <v>223</v>
      </c>
      <c r="F41" s="56" t="s">
        <v>8916</v>
      </c>
      <c r="G41" s="17" t="s">
        <v>8917</v>
      </c>
      <c r="H41" s="17"/>
      <c r="I41" s="17" t="s">
        <v>8918</v>
      </c>
      <c r="J41" s="17"/>
      <c r="K41" s="17" t="s">
        <v>1046</v>
      </c>
      <c r="L41" s="17"/>
      <c r="M41" s="17"/>
      <c r="N41" s="15" t="s">
        <v>91</v>
      </c>
      <c r="O41" s="17" t="s">
        <v>8908</v>
      </c>
      <c r="P41" s="15" t="n">
        <v>105</v>
      </c>
    </row>
    <row r="42" customFormat="false" ht="22.35" hidden="false" customHeight="false" outlineLevel="0" collapsed="false">
      <c r="A42" s="57" t="s">
        <v>8919</v>
      </c>
      <c r="B42" s="58" t="s">
        <v>8720</v>
      </c>
      <c r="C42" s="58" t="s">
        <v>192</v>
      </c>
      <c r="D42" s="59" t="s">
        <v>8920</v>
      </c>
      <c r="E42" s="58" t="s">
        <v>223</v>
      </c>
      <c r="F42" s="60" t="s">
        <v>8921</v>
      </c>
      <c r="G42" s="58" t="s">
        <v>8922</v>
      </c>
      <c r="H42" s="58"/>
      <c r="I42" s="58" t="s">
        <v>8923</v>
      </c>
      <c r="J42" s="58"/>
      <c r="K42" s="58" t="s">
        <v>1046</v>
      </c>
      <c r="L42" s="58"/>
      <c r="M42" s="58"/>
      <c r="N42" s="61" t="s">
        <v>91</v>
      </c>
      <c r="O42" s="58" t="s">
        <v>8908</v>
      </c>
      <c r="P42" s="61" t="n">
        <v>106</v>
      </c>
    </row>
    <row r="43" customFormat="false" ht="22.35" hidden="false" customHeight="false" outlineLevel="0" collapsed="false">
      <c r="A43" s="22" t="s">
        <v>8924</v>
      </c>
      <c r="B43" s="17" t="s">
        <v>8720</v>
      </c>
      <c r="C43" s="17" t="s">
        <v>192</v>
      </c>
      <c r="D43" s="55" t="s">
        <v>8925</v>
      </c>
      <c r="E43" s="17" t="s">
        <v>223</v>
      </c>
      <c r="F43" s="56" t="s">
        <v>8926</v>
      </c>
      <c r="G43" s="17" t="s">
        <v>8927</v>
      </c>
      <c r="H43" s="17"/>
      <c r="I43" s="17" t="s">
        <v>7971</v>
      </c>
      <c r="J43" s="17"/>
      <c r="K43" s="17" t="s">
        <v>8732</v>
      </c>
      <c r="L43" s="17"/>
      <c r="M43" s="17"/>
      <c r="N43" s="15" t="s">
        <v>91</v>
      </c>
      <c r="O43" s="17" t="s">
        <v>8908</v>
      </c>
      <c r="P43" s="15" t="n">
        <v>107</v>
      </c>
    </row>
    <row r="44" customFormat="false" ht="22.35" hidden="false" customHeight="false" outlineLevel="0" collapsed="false">
      <c r="A44" s="57" t="s">
        <v>8928</v>
      </c>
      <c r="B44" s="58" t="s">
        <v>8720</v>
      </c>
      <c r="C44" s="58" t="s">
        <v>192</v>
      </c>
      <c r="D44" s="59" t="s">
        <v>8929</v>
      </c>
      <c r="E44" s="58" t="s">
        <v>223</v>
      </c>
      <c r="F44" s="60" t="s">
        <v>8930</v>
      </c>
      <c r="G44" s="58" t="s">
        <v>8931</v>
      </c>
      <c r="H44" s="58"/>
      <c r="I44" s="58" t="s">
        <v>7090</v>
      </c>
      <c r="J44" s="58"/>
      <c r="K44" s="58" t="s">
        <v>4210</v>
      </c>
      <c r="L44" s="58" t="s">
        <v>8932</v>
      </c>
      <c r="M44" s="58"/>
      <c r="N44" s="61" t="s">
        <v>91</v>
      </c>
      <c r="O44" s="58" t="s">
        <v>8908</v>
      </c>
      <c r="P44" s="61" t="n">
        <v>109</v>
      </c>
    </row>
    <row r="45" customFormat="false" ht="22.35" hidden="false" customHeight="false" outlineLevel="0" collapsed="false">
      <c r="A45" s="22" t="s">
        <v>8933</v>
      </c>
      <c r="B45" s="17" t="s">
        <v>8720</v>
      </c>
      <c r="C45" s="17" t="s">
        <v>192</v>
      </c>
      <c r="D45" s="55" t="s">
        <v>8934</v>
      </c>
      <c r="E45" s="17" t="s">
        <v>223</v>
      </c>
      <c r="F45" s="56" t="s">
        <v>8935</v>
      </c>
      <c r="G45" s="17" t="s">
        <v>8936</v>
      </c>
      <c r="H45" s="17"/>
      <c r="I45" s="17" t="s">
        <v>8937</v>
      </c>
      <c r="J45" s="17" t="s">
        <v>8938</v>
      </c>
      <c r="K45" s="17" t="s">
        <v>8939</v>
      </c>
      <c r="L45" s="17" t="s">
        <v>8932</v>
      </c>
      <c r="M45" s="17"/>
      <c r="N45" s="15" t="s">
        <v>91</v>
      </c>
      <c r="O45" s="17" t="s">
        <v>8908</v>
      </c>
      <c r="P45" s="15" t="n">
        <v>110</v>
      </c>
    </row>
    <row r="46" customFormat="false" ht="22.35" hidden="false" customHeight="false" outlineLevel="0" collapsed="false">
      <c r="A46" s="57" t="s">
        <v>8940</v>
      </c>
      <c r="B46" s="58" t="s">
        <v>8720</v>
      </c>
      <c r="C46" s="58" t="s">
        <v>192</v>
      </c>
      <c r="D46" s="59" t="s">
        <v>8941</v>
      </c>
      <c r="E46" s="58" t="s">
        <v>223</v>
      </c>
      <c r="F46" s="60" t="s">
        <v>8942</v>
      </c>
      <c r="G46" s="58" t="s">
        <v>8943</v>
      </c>
      <c r="H46" s="58"/>
      <c r="I46" s="58" t="s">
        <v>8944</v>
      </c>
      <c r="J46" s="58" t="s">
        <v>8945</v>
      </c>
      <c r="K46" s="58" t="s">
        <v>8939</v>
      </c>
      <c r="L46" s="58" t="s">
        <v>8946</v>
      </c>
      <c r="M46" s="58"/>
      <c r="N46" s="61" t="s">
        <v>91</v>
      </c>
      <c r="O46" s="58" t="s">
        <v>8908</v>
      </c>
      <c r="P46" s="61" t="n">
        <v>111</v>
      </c>
    </row>
    <row r="47" customFormat="false" ht="22.35" hidden="false" customHeight="false" outlineLevel="0" collapsed="false">
      <c r="A47" s="22" t="s">
        <v>8947</v>
      </c>
      <c r="B47" s="17" t="s">
        <v>8720</v>
      </c>
      <c r="C47" s="17" t="s">
        <v>192</v>
      </c>
      <c r="D47" s="55" t="s">
        <v>8948</v>
      </c>
      <c r="E47" s="17" t="s">
        <v>223</v>
      </c>
      <c r="F47" s="56" t="s">
        <v>8949</v>
      </c>
      <c r="G47" s="17" t="s">
        <v>8950</v>
      </c>
      <c r="H47" s="17"/>
      <c r="I47" s="17" t="s">
        <v>2801</v>
      </c>
      <c r="J47" s="17"/>
      <c r="K47" s="17" t="s">
        <v>918</v>
      </c>
      <c r="L47" s="17" t="s">
        <v>8951</v>
      </c>
      <c r="M47" s="17"/>
      <c r="N47" s="15" t="s">
        <v>91</v>
      </c>
      <c r="O47" s="17" t="s">
        <v>8908</v>
      </c>
      <c r="P47" s="15" t="n">
        <v>113</v>
      </c>
    </row>
    <row r="48" customFormat="false" ht="32.8" hidden="false" customHeight="false" outlineLevel="0" collapsed="false">
      <c r="A48" s="57" t="s">
        <v>8952</v>
      </c>
      <c r="B48" s="58" t="s">
        <v>8720</v>
      </c>
      <c r="C48" s="58" t="s">
        <v>192</v>
      </c>
      <c r="D48" s="59" t="s">
        <v>8953</v>
      </c>
      <c r="E48" s="58" t="s">
        <v>223</v>
      </c>
      <c r="F48" s="60" t="s">
        <v>8954</v>
      </c>
      <c r="G48" s="58" t="s">
        <v>8955</v>
      </c>
      <c r="H48" s="58"/>
      <c r="I48" s="58" t="s">
        <v>2801</v>
      </c>
      <c r="J48" s="58"/>
      <c r="K48" s="58" t="s">
        <v>918</v>
      </c>
      <c r="L48" s="58" t="s">
        <v>8951</v>
      </c>
      <c r="M48" s="58"/>
      <c r="N48" s="61" t="s">
        <v>91</v>
      </c>
      <c r="O48" s="58" t="s">
        <v>8908</v>
      </c>
      <c r="P48" s="61" t="n">
        <v>114</v>
      </c>
    </row>
    <row r="49" customFormat="false" ht="22.35" hidden="false" customHeight="false" outlineLevel="0" collapsed="false">
      <c r="A49" s="22" t="s">
        <v>8956</v>
      </c>
      <c r="B49" s="17" t="s">
        <v>8720</v>
      </c>
      <c r="C49" s="17" t="s">
        <v>192</v>
      </c>
      <c r="D49" s="55" t="s">
        <v>8957</v>
      </c>
      <c r="E49" s="17" t="s">
        <v>223</v>
      </c>
      <c r="F49" s="56" t="s">
        <v>8958</v>
      </c>
      <c r="G49" s="17" t="s">
        <v>8959</v>
      </c>
      <c r="H49" s="17"/>
      <c r="I49" s="17" t="s">
        <v>7216</v>
      </c>
      <c r="J49" s="17"/>
      <c r="K49" s="17" t="s">
        <v>8960</v>
      </c>
      <c r="L49" s="17" t="s">
        <v>8961</v>
      </c>
      <c r="M49" s="17"/>
      <c r="N49" s="15" t="s">
        <v>91</v>
      </c>
      <c r="O49" s="17" t="s">
        <v>8908</v>
      </c>
      <c r="P49" s="15" t="n">
        <v>115</v>
      </c>
    </row>
    <row r="50" customFormat="false" ht="22.35" hidden="false" customHeight="false" outlineLevel="0" collapsed="false">
      <c r="A50" s="57" t="s">
        <v>8962</v>
      </c>
      <c r="B50" s="58" t="s">
        <v>8720</v>
      </c>
      <c r="C50" s="58" t="s">
        <v>192</v>
      </c>
      <c r="D50" s="59" t="s">
        <v>8963</v>
      </c>
      <c r="E50" s="58" t="s">
        <v>223</v>
      </c>
      <c r="F50" s="60" t="s">
        <v>8964</v>
      </c>
      <c r="G50" s="58" t="s">
        <v>8965</v>
      </c>
      <c r="H50" s="58"/>
      <c r="I50" s="58" t="s">
        <v>7216</v>
      </c>
      <c r="J50" s="58"/>
      <c r="K50" s="58" t="s">
        <v>8966</v>
      </c>
      <c r="L50" s="58" t="s">
        <v>8967</v>
      </c>
      <c r="M50" s="58"/>
      <c r="N50" s="61" t="s">
        <v>91</v>
      </c>
      <c r="O50" s="58" t="s">
        <v>8908</v>
      </c>
      <c r="P50" s="61" t="n">
        <v>116</v>
      </c>
    </row>
    <row r="51" customFormat="false" ht="22.35" hidden="false" customHeight="false" outlineLevel="0" collapsed="false">
      <c r="A51" s="22" t="s">
        <v>8968</v>
      </c>
      <c r="B51" s="17" t="s">
        <v>8720</v>
      </c>
      <c r="C51" s="17" t="s">
        <v>192</v>
      </c>
      <c r="D51" s="55" t="s">
        <v>8969</v>
      </c>
      <c r="E51" s="17" t="s">
        <v>223</v>
      </c>
      <c r="F51" s="56" t="s">
        <v>8970</v>
      </c>
      <c r="G51" s="17" t="s">
        <v>8971</v>
      </c>
      <c r="H51" s="17"/>
      <c r="I51" s="17" t="s">
        <v>7200</v>
      </c>
      <c r="J51" s="17"/>
      <c r="K51" s="17"/>
      <c r="L51" s="17" t="s">
        <v>8972</v>
      </c>
      <c r="M51" s="17"/>
      <c r="N51" s="15" t="s">
        <v>91</v>
      </c>
      <c r="O51" s="17" t="s">
        <v>8908</v>
      </c>
      <c r="P51" s="15" t="n">
        <v>117</v>
      </c>
    </row>
    <row r="52" customFormat="false" ht="22.35" hidden="false" customHeight="false" outlineLevel="0" collapsed="false">
      <c r="A52" s="57" t="s">
        <v>8973</v>
      </c>
      <c r="B52" s="58" t="s">
        <v>8720</v>
      </c>
      <c r="C52" s="58" t="s">
        <v>192</v>
      </c>
      <c r="D52" s="59" t="s">
        <v>8974</v>
      </c>
      <c r="E52" s="58" t="s">
        <v>223</v>
      </c>
      <c r="F52" s="60" t="s">
        <v>8975</v>
      </c>
      <c r="G52" s="58" t="s">
        <v>8976</v>
      </c>
      <c r="H52" s="58"/>
      <c r="I52" s="58"/>
      <c r="J52" s="58"/>
      <c r="K52" s="58"/>
      <c r="L52" s="58"/>
      <c r="M52" s="58"/>
      <c r="N52" s="61" t="s">
        <v>91</v>
      </c>
      <c r="O52" s="58" t="s">
        <v>8908</v>
      </c>
      <c r="P52" s="61" t="n">
        <v>120</v>
      </c>
    </row>
    <row r="53" customFormat="false" ht="22.35" hidden="false" customHeight="false" outlineLevel="0" collapsed="false">
      <c r="A53" s="22" t="s">
        <v>8977</v>
      </c>
      <c r="B53" s="17" t="s">
        <v>8720</v>
      </c>
      <c r="C53" s="17" t="s">
        <v>192</v>
      </c>
      <c r="D53" s="55" t="s">
        <v>8978</v>
      </c>
      <c r="E53" s="17" t="s">
        <v>223</v>
      </c>
      <c r="F53" s="56" t="s">
        <v>8979</v>
      </c>
      <c r="G53" s="17" t="s">
        <v>8980</v>
      </c>
      <c r="H53" s="17"/>
      <c r="I53" s="17"/>
      <c r="J53" s="17"/>
      <c r="K53" s="17"/>
      <c r="L53" s="17"/>
      <c r="M53" s="17"/>
      <c r="N53" s="15" t="s">
        <v>91</v>
      </c>
      <c r="O53" s="17" t="s">
        <v>8908</v>
      </c>
      <c r="P53" s="15" t="n">
        <v>121</v>
      </c>
    </row>
    <row r="54" customFormat="false" ht="22.35" hidden="false" customHeight="false" outlineLevel="0" collapsed="false">
      <c r="A54" s="57" t="s">
        <v>8981</v>
      </c>
      <c r="B54" s="58" t="s">
        <v>8720</v>
      </c>
      <c r="C54" s="58" t="s">
        <v>192</v>
      </c>
      <c r="D54" s="59" t="s">
        <v>8742</v>
      </c>
      <c r="E54" s="58" t="s">
        <v>226</v>
      </c>
      <c r="F54" s="60" t="s">
        <v>8982</v>
      </c>
      <c r="G54" s="58" t="s">
        <v>8983</v>
      </c>
      <c r="H54" s="58"/>
      <c r="I54" s="58"/>
      <c r="J54" s="58"/>
      <c r="K54" s="58"/>
      <c r="L54" s="58"/>
      <c r="M54" s="58"/>
      <c r="N54" s="61" t="s">
        <v>91</v>
      </c>
      <c r="O54" s="58" t="s">
        <v>8908</v>
      </c>
      <c r="P54" s="61" t="n">
        <v>124</v>
      </c>
    </row>
    <row r="55" customFormat="false" ht="22.35" hidden="false" customHeight="false" outlineLevel="0" collapsed="false">
      <c r="A55" s="22" t="s">
        <v>8984</v>
      </c>
      <c r="B55" s="17" t="s">
        <v>8720</v>
      </c>
      <c r="C55" s="17" t="s">
        <v>192</v>
      </c>
      <c r="D55" s="55" t="s">
        <v>8985</v>
      </c>
      <c r="E55" s="17" t="s">
        <v>226</v>
      </c>
      <c r="F55" s="56" t="s">
        <v>8986</v>
      </c>
      <c r="G55" s="17" t="s">
        <v>8987</v>
      </c>
      <c r="H55" s="17"/>
      <c r="I55" s="17"/>
      <c r="J55" s="17"/>
      <c r="K55" s="17"/>
      <c r="L55" s="17"/>
      <c r="M55" s="17"/>
      <c r="N55" s="15" t="s">
        <v>91</v>
      </c>
      <c r="O55" s="17" t="s">
        <v>8908</v>
      </c>
      <c r="P55" s="15" t="n">
        <v>125</v>
      </c>
    </row>
    <row r="56" customFormat="false" ht="22.35" hidden="false" customHeight="false" outlineLevel="0" collapsed="false">
      <c r="A56" s="57" t="s">
        <v>8988</v>
      </c>
      <c r="B56" s="58" t="s">
        <v>8720</v>
      </c>
      <c r="C56" s="58" t="s">
        <v>192</v>
      </c>
      <c r="D56" s="59" t="s">
        <v>8747</v>
      </c>
      <c r="E56" s="58" t="s">
        <v>226</v>
      </c>
      <c r="F56" s="60" t="s">
        <v>8748</v>
      </c>
      <c r="G56" s="58" t="s">
        <v>8989</v>
      </c>
      <c r="H56" s="58"/>
      <c r="I56" s="58" t="s">
        <v>8990</v>
      </c>
      <c r="J56" s="58"/>
      <c r="K56" s="58"/>
      <c r="L56" s="58" t="s">
        <v>8751</v>
      </c>
      <c r="M56" s="58" t="s">
        <v>8991</v>
      </c>
      <c r="N56" s="61" t="s">
        <v>91</v>
      </c>
      <c r="O56" s="58" t="s">
        <v>8908</v>
      </c>
      <c r="P56" s="61" t="n">
        <v>132</v>
      </c>
    </row>
    <row r="57" customFormat="false" ht="22.35" hidden="false" customHeight="false" outlineLevel="0" collapsed="false">
      <c r="A57" s="22" t="s">
        <v>8992</v>
      </c>
      <c r="B57" s="17" t="s">
        <v>8720</v>
      </c>
      <c r="C57" s="17" t="s">
        <v>192</v>
      </c>
      <c r="D57" s="55" t="s">
        <v>8993</v>
      </c>
      <c r="E57" s="17" t="s">
        <v>226</v>
      </c>
      <c r="F57" s="56" t="s">
        <v>8994</v>
      </c>
      <c r="G57" s="17" t="s">
        <v>8995</v>
      </c>
      <c r="H57" s="17" t="s">
        <v>656</v>
      </c>
      <c r="I57" s="17"/>
      <c r="J57" s="17"/>
      <c r="K57" s="17" t="s">
        <v>656</v>
      </c>
      <c r="L57" s="17" t="s">
        <v>8996</v>
      </c>
      <c r="M57" s="17"/>
      <c r="N57" s="15" t="s">
        <v>91</v>
      </c>
      <c r="O57" s="17" t="s">
        <v>8908</v>
      </c>
      <c r="P57" s="15" t="n">
        <v>158</v>
      </c>
    </row>
    <row r="58" customFormat="false" ht="32.8" hidden="false" customHeight="false" outlineLevel="0" collapsed="false">
      <c r="A58" s="57" t="s">
        <v>8997</v>
      </c>
      <c r="B58" s="58" t="s">
        <v>8720</v>
      </c>
      <c r="C58" s="58" t="s">
        <v>192</v>
      </c>
      <c r="D58" s="59" t="s">
        <v>8998</v>
      </c>
      <c r="E58" s="58" t="s">
        <v>223</v>
      </c>
      <c r="F58" s="60" t="s">
        <v>8999</v>
      </c>
      <c r="G58" s="58" t="s">
        <v>9000</v>
      </c>
      <c r="H58" s="58"/>
      <c r="I58" s="58"/>
      <c r="J58" s="58"/>
      <c r="K58" s="58" t="s">
        <v>9001</v>
      </c>
      <c r="L58" s="58"/>
      <c r="M58" s="58"/>
      <c r="N58" s="61" t="s">
        <v>91</v>
      </c>
      <c r="O58" s="58" t="s">
        <v>8908</v>
      </c>
      <c r="P58" s="61" t="n">
        <v>170</v>
      </c>
    </row>
    <row r="59" customFormat="false" ht="22.35" hidden="false" customHeight="false" outlineLevel="0" collapsed="false">
      <c r="A59" s="22" t="s">
        <v>9002</v>
      </c>
      <c r="B59" s="17" t="s">
        <v>8720</v>
      </c>
      <c r="C59" s="17" t="s">
        <v>192</v>
      </c>
      <c r="D59" s="55" t="s">
        <v>9003</v>
      </c>
      <c r="E59" s="17" t="s">
        <v>223</v>
      </c>
      <c r="F59" s="56" t="s">
        <v>9004</v>
      </c>
      <c r="G59" s="17" t="s">
        <v>9005</v>
      </c>
      <c r="H59" s="17"/>
      <c r="I59" s="17"/>
      <c r="J59" s="17"/>
      <c r="K59" s="17"/>
      <c r="L59" s="17"/>
      <c r="M59" s="17"/>
      <c r="N59" s="15" t="s">
        <v>91</v>
      </c>
      <c r="O59" s="17" t="s">
        <v>8908</v>
      </c>
      <c r="P59" s="15" t="n">
        <v>172</v>
      </c>
    </row>
    <row r="60" customFormat="false" ht="22.35" hidden="false" customHeight="false" outlineLevel="0" collapsed="false">
      <c r="A60" s="57" t="s">
        <v>9006</v>
      </c>
      <c r="B60" s="58" t="s">
        <v>8720</v>
      </c>
      <c r="C60" s="58" t="s">
        <v>192</v>
      </c>
      <c r="D60" s="59" t="s">
        <v>9007</v>
      </c>
      <c r="E60" s="58" t="s">
        <v>226</v>
      </c>
      <c r="F60" s="60" t="s">
        <v>9008</v>
      </c>
      <c r="G60" s="58" t="s">
        <v>9009</v>
      </c>
      <c r="H60" s="58" t="s">
        <v>3168</v>
      </c>
      <c r="I60" s="58" t="s">
        <v>9010</v>
      </c>
      <c r="J60" s="58"/>
      <c r="K60" s="58"/>
      <c r="L60" s="58" t="s">
        <v>9011</v>
      </c>
      <c r="M60" s="58" t="s">
        <v>9012</v>
      </c>
      <c r="N60" s="61" t="s">
        <v>91</v>
      </c>
      <c r="O60" s="58" t="s">
        <v>8908</v>
      </c>
      <c r="P60" s="61" t="n">
        <v>181</v>
      </c>
    </row>
    <row r="61" customFormat="false" ht="22.35" hidden="false" customHeight="false" outlineLevel="0" collapsed="false">
      <c r="A61" s="22" t="s">
        <v>9013</v>
      </c>
      <c r="B61" s="17" t="s">
        <v>8720</v>
      </c>
      <c r="C61" s="17" t="s">
        <v>192</v>
      </c>
      <c r="D61" s="55" t="s">
        <v>9014</v>
      </c>
      <c r="E61" s="17" t="s">
        <v>231</v>
      </c>
      <c r="F61" s="56" t="s">
        <v>9015</v>
      </c>
      <c r="G61" s="17" t="s">
        <v>9016</v>
      </c>
      <c r="H61" s="17"/>
      <c r="I61" s="17"/>
      <c r="J61" s="17"/>
      <c r="K61" s="17"/>
      <c r="L61" s="17" t="s">
        <v>9017</v>
      </c>
      <c r="M61" s="17"/>
      <c r="N61" s="15" t="s">
        <v>91</v>
      </c>
      <c r="O61" s="17" t="s">
        <v>8908</v>
      </c>
      <c r="P61" s="15" t="n">
        <v>188</v>
      </c>
    </row>
    <row r="62" customFormat="false" ht="32.8" hidden="false" customHeight="false" outlineLevel="0" collapsed="false">
      <c r="A62" s="57" t="s">
        <v>9018</v>
      </c>
      <c r="B62" s="58" t="s">
        <v>8720</v>
      </c>
      <c r="C62" s="58" t="s">
        <v>192</v>
      </c>
      <c r="D62" s="59" t="s">
        <v>9019</v>
      </c>
      <c r="E62" s="58" t="s">
        <v>226</v>
      </c>
      <c r="F62" s="60" t="s">
        <v>9020</v>
      </c>
      <c r="G62" s="58" t="s">
        <v>9021</v>
      </c>
      <c r="H62" s="58"/>
      <c r="I62" s="58" t="s">
        <v>9022</v>
      </c>
      <c r="J62" s="58"/>
      <c r="K62" s="58"/>
      <c r="L62" s="58" t="s">
        <v>9023</v>
      </c>
      <c r="M62" s="58" t="s">
        <v>9024</v>
      </c>
      <c r="N62" s="61" t="s">
        <v>91</v>
      </c>
      <c r="O62" s="58" t="s">
        <v>8908</v>
      </c>
      <c r="P62" s="61" t="n">
        <v>208</v>
      </c>
    </row>
    <row r="63" customFormat="false" ht="22.35" hidden="false" customHeight="false" outlineLevel="0" collapsed="false">
      <c r="A63" s="22" t="s">
        <v>9025</v>
      </c>
      <c r="B63" s="17" t="s">
        <v>8720</v>
      </c>
      <c r="C63" s="17" t="s">
        <v>192</v>
      </c>
      <c r="D63" s="55" t="s">
        <v>9026</v>
      </c>
      <c r="E63" s="17" t="s">
        <v>226</v>
      </c>
      <c r="F63" s="56" t="s">
        <v>9027</v>
      </c>
      <c r="G63" s="17" t="s">
        <v>9028</v>
      </c>
      <c r="H63" s="17" t="s">
        <v>8757</v>
      </c>
      <c r="I63" s="17" t="s">
        <v>9029</v>
      </c>
      <c r="J63" s="17"/>
      <c r="K63" s="17" t="s">
        <v>1046</v>
      </c>
      <c r="L63" s="17" t="s">
        <v>9030</v>
      </c>
      <c r="M63" s="17"/>
      <c r="N63" s="15" t="s">
        <v>91</v>
      </c>
      <c r="O63" s="17" t="s">
        <v>8908</v>
      </c>
      <c r="P63" s="15" t="n">
        <v>239</v>
      </c>
    </row>
    <row r="64" customFormat="false" ht="43.25" hidden="false" customHeight="false" outlineLevel="0" collapsed="false">
      <c r="A64" s="57" t="s">
        <v>9031</v>
      </c>
      <c r="B64" s="58" t="s">
        <v>8720</v>
      </c>
      <c r="C64" s="58" t="s">
        <v>192</v>
      </c>
      <c r="D64" s="59" t="s">
        <v>9032</v>
      </c>
      <c r="E64" s="58" t="s">
        <v>226</v>
      </c>
      <c r="F64" s="60" t="s">
        <v>9033</v>
      </c>
      <c r="G64" s="58" t="s">
        <v>9034</v>
      </c>
      <c r="H64" s="58" t="s">
        <v>9035</v>
      </c>
      <c r="I64" s="58" t="s">
        <v>9036</v>
      </c>
      <c r="J64" s="58"/>
      <c r="K64" s="58"/>
      <c r="L64" s="58" t="s">
        <v>9037</v>
      </c>
      <c r="M64" s="58" t="s">
        <v>9038</v>
      </c>
      <c r="N64" s="61" t="s">
        <v>91</v>
      </c>
      <c r="O64" s="58" t="s">
        <v>8908</v>
      </c>
      <c r="P64" s="61" t="n">
        <v>264</v>
      </c>
    </row>
    <row r="65" customFormat="false" ht="22.35" hidden="false" customHeight="false" outlineLevel="0" collapsed="false">
      <c r="A65" s="22" t="s">
        <v>9039</v>
      </c>
      <c r="B65" s="17" t="s">
        <v>8720</v>
      </c>
      <c r="C65" s="17" t="s">
        <v>192</v>
      </c>
      <c r="D65" s="55" t="s">
        <v>9040</v>
      </c>
      <c r="E65" s="17" t="s">
        <v>231</v>
      </c>
      <c r="F65" s="56" t="s">
        <v>9041</v>
      </c>
      <c r="G65" s="17" t="s">
        <v>9042</v>
      </c>
      <c r="H65" s="17"/>
      <c r="I65" s="17"/>
      <c r="J65" s="17"/>
      <c r="K65" s="17"/>
      <c r="L65" s="17" t="s">
        <v>9043</v>
      </c>
      <c r="M65" s="17"/>
      <c r="N65" s="15" t="s">
        <v>91</v>
      </c>
      <c r="O65" s="17" t="s">
        <v>8908</v>
      </c>
      <c r="P65" s="15" t="n">
        <v>275</v>
      </c>
    </row>
    <row r="66" customFormat="false" ht="32.8" hidden="false" customHeight="false" outlineLevel="0" collapsed="false">
      <c r="A66" s="57" t="s">
        <v>9044</v>
      </c>
      <c r="B66" s="58" t="s">
        <v>8720</v>
      </c>
      <c r="C66" s="58" t="s">
        <v>192</v>
      </c>
      <c r="D66" s="59" t="s">
        <v>9045</v>
      </c>
      <c r="E66" s="58" t="s">
        <v>231</v>
      </c>
      <c r="F66" s="60" t="s">
        <v>9046</v>
      </c>
      <c r="G66" s="58" t="s">
        <v>9047</v>
      </c>
      <c r="H66" s="58"/>
      <c r="I66" s="58"/>
      <c r="J66" s="58"/>
      <c r="K66" s="58"/>
      <c r="L66" s="58"/>
      <c r="M66" s="58"/>
      <c r="N66" s="61" t="s">
        <v>91</v>
      </c>
      <c r="O66" s="58" t="s">
        <v>8908</v>
      </c>
      <c r="P66" s="61" t="n">
        <v>282</v>
      </c>
    </row>
    <row r="67" customFormat="false" ht="53.7" hidden="false" customHeight="false" outlineLevel="0" collapsed="false">
      <c r="A67" s="22" t="s">
        <v>9048</v>
      </c>
      <c r="B67" s="17" t="s">
        <v>8720</v>
      </c>
      <c r="C67" s="17" t="s">
        <v>192</v>
      </c>
      <c r="D67" s="55" t="s">
        <v>9049</v>
      </c>
      <c r="E67" s="17" t="s">
        <v>226</v>
      </c>
      <c r="F67" s="56" t="s">
        <v>9050</v>
      </c>
      <c r="G67" s="17" t="s">
        <v>9051</v>
      </c>
      <c r="H67" s="17"/>
      <c r="I67" s="17"/>
      <c r="J67" s="17"/>
      <c r="K67" s="17"/>
      <c r="L67" s="17" t="s">
        <v>9052</v>
      </c>
      <c r="M67" s="17"/>
      <c r="N67" s="15" t="s">
        <v>91</v>
      </c>
      <c r="O67" s="17" t="s">
        <v>8908</v>
      </c>
      <c r="P67" s="15" t="n">
        <v>307</v>
      </c>
    </row>
    <row r="68" customFormat="false" ht="32.8" hidden="false" customHeight="false" outlineLevel="0" collapsed="false">
      <c r="A68" s="57" t="s">
        <v>9053</v>
      </c>
      <c r="B68" s="58" t="s">
        <v>8720</v>
      </c>
      <c r="C68" s="58" t="s">
        <v>192</v>
      </c>
      <c r="D68" s="59" t="s">
        <v>9054</v>
      </c>
      <c r="E68" s="58" t="s">
        <v>231</v>
      </c>
      <c r="F68" s="60" t="s">
        <v>9055</v>
      </c>
      <c r="G68" s="58" t="s">
        <v>9056</v>
      </c>
      <c r="H68" s="58"/>
      <c r="I68" s="58"/>
      <c r="J68" s="58"/>
      <c r="K68" s="58"/>
      <c r="L68" s="58" t="s">
        <v>9057</v>
      </c>
      <c r="M68" s="58"/>
      <c r="N68" s="61" t="s">
        <v>91</v>
      </c>
      <c r="O68" s="58" t="s">
        <v>8908</v>
      </c>
      <c r="P68" s="61" t="n">
        <v>310</v>
      </c>
    </row>
    <row r="69" customFormat="false" ht="53.7" hidden="false" customHeight="false" outlineLevel="0" collapsed="false">
      <c r="A69" s="22" t="s">
        <v>9058</v>
      </c>
      <c r="B69" s="17" t="s">
        <v>8720</v>
      </c>
      <c r="C69" s="17" t="s">
        <v>192</v>
      </c>
      <c r="D69" s="55" t="s">
        <v>9059</v>
      </c>
      <c r="E69" s="17" t="s">
        <v>226</v>
      </c>
      <c r="F69" s="56" t="s">
        <v>9060</v>
      </c>
      <c r="G69" s="17" t="s">
        <v>9061</v>
      </c>
      <c r="H69" s="17"/>
      <c r="I69" s="17" t="s">
        <v>9036</v>
      </c>
      <c r="J69" s="17"/>
      <c r="K69" s="17" t="s">
        <v>918</v>
      </c>
      <c r="L69" s="17" t="s">
        <v>9037</v>
      </c>
      <c r="M69" s="17" t="s">
        <v>9062</v>
      </c>
      <c r="N69" s="15" t="s">
        <v>91</v>
      </c>
      <c r="O69" s="17" t="s">
        <v>8908</v>
      </c>
      <c r="P69" s="15" t="n">
        <v>324</v>
      </c>
    </row>
    <row r="70" customFormat="false" ht="22.35" hidden="false" customHeight="false" outlineLevel="0" collapsed="false">
      <c r="A70" s="57" t="s">
        <v>9063</v>
      </c>
      <c r="B70" s="58" t="s">
        <v>8720</v>
      </c>
      <c r="C70" s="58" t="s">
        <v>192</v>
      </c>
      <c r="D70" s="59" t="s">
        <v>9064</v>
      </c>
      <c r="E70" s="58" t="s">
        <v>231</v>
      </c>
      <c r="F70" s="60" t="s">
        <v>9065</v>
      </c>
      <c r="G70" s="58" t="s">
        <v>9066</v>
      </c>
      <c r="H70" s="58"/>
      <c r="I70" s="58"/>
      <c r="J70" s="58"/>
      <c r="K70" s="58"/>
      <c r="L70" s="58" t="s">
        <v>9067</v>
      </c>
      <c r="M70" s="58"/>
      <c r="N70" s="61" t="s">
        <v>91</v>
      </c>
      <c r="O70" s="58" t="s">
        <v>8908</v>
      </c>
      <c r="P70" s="61" t="n">
        <v>344</v>
      </c>
    </row>
    <row r="71" customFormat="false" ht="22.35" hidden="false" customHeight="false" outlineLevel="0" collapsed="false">
      <c r="A71" s="22" t="s">
        <v>9068</v>
      </c>
      <c r="B71" s="17" t="s">
        <v>8720</v>
      </c>
      <c r="C71" s="17" t="s">
        <v>192</v>
      </c>
      <c r="D71" s="55" t="s">
        <v>9069</v>
      </c>
      <c r="E71" s="17" t="s">
        <v>226</v>
      </c>
      <c r="F71" s="56" t="s">
        <v>9070</v>
      </c>
      <c r="G71" s="17" t="s">
        <v>9071</v>
      </c>
      <c r="H71" s="17" t="s">
        <v>9072</v>
      </c>
      <c r="I71" s="17" t="s">
        <v>9073</v>
      </c>
      <c r="J71" s="17"/>
      <c r="K71" s="17"/>
      <c r="L71" s="17" t="s">
        <v>9074</v>
      </c>
      <c r="M71" s="17"/>
      <c r="N71" s="15" t="s">
        <v>91</v>
      </c>
      <c r="O71" s="17" t="s">
        <v>8908</v>
      </c>
      <c r="P71" s="15" t="n">
        <v>358</v>
      </c>
    </row>
    <row r="72" customFormat="false" ht="22.35" hidden="false" customHeight="false" outlineLevel="0" collapsed="false">
      <c r="A72" s="57" t="s">
        <v>9075</v>
      </c>
      <c r="B72" s="58" t="s">
        <v>8720</v>
      </c>
      <c r="C72" s="58" t="s">
        <v>192</v>
      </c>
      <c r="D72" s="59" t="s">
        <v>9076</v>
      </c>
      <c r="E72" s="58" t="s">
        <v>231</v>
      </c>
      <c r="F72" s="60" t="s">
        <v>9077</v>
      </c>
      <c r="G72" s="58" t="s">
        <v>9078</v>
      </c>
      <c r="H72" s="58"/>
      <c r="I72" s="58"/>
      <c r="J72" s="58"/>
      <c r="K72" s="58"/>
      <c r="L72" s="58" t="s">
        <v>9079</v>
      </c>
      <c r="M72" s="58"/>
      <c r="N72" s="61" t="s">
        <v>91</v>
      </c>
      <c r="O72" s="58" t="s">
        <v>8908</v>
      </c>
      <c r="P72" s="61" t="n">
        <v>372</v>
      </c>
    </row>
    <row r="73" customFormat="false" ht="43.25" hidden="false" customHeight="false" outlineLevel="0" collapsed="false">
      <c r="A73" s="22" t="s">
        <v>9080</v>
      </c>
      <c r="B73" s="17" t="s">
        <v>8720</v>
      </c>
      <c r="C73" s="17" t="s">
        <v>192</v>
      </c>
      <c r="D73" s="55" t="s">
        <v>9081</v>
      </c>
      <c r="E73" s="17" t="s">
        <v>226</v>
      </c>
      <c r="F73" s="56" t="s">
        <v>9082</v>
      </c>
      <c r="G73" s="17" t="s">
        <v>9083</v>
      </c>
      <c r="H73" s="17" t="s">
        <v>9084</v>
      </c>
      <c r="I73" s="17" t="s">
        <v>9085</v>
      </c>
      <c r="J73" s="17"/>
      <c r="K73" s="17" t="s">
        <v>656</v>
      </c>
      <c r="L73" s="17" t="s">
        <v>9086</v>
      </c>
      <c r="M73" s="17" t="s">
        <v>9087</v>
      </c>
      <c r="N73" s="15" t="s">
        <v>91</v>
      </c>
      <c r="O73" s="17" t="s">
        <v>8908</v>
      </c>
      <c r="P73" s="15" t="n">
        <v>391</v>
      </c>
    </row>
    <row r="74" customFormat="false" ht="32.8" hidden="false" customHeight="false" outlineLevel="0" collapsed="false">
      <c r="A74" s="57" t="s">
        <v>9088</v>
      </c>
      <c r="B74" s="58" t="s">
        <v>8720</v>
      </c>
      <c r="C74" s="58" t="s">
        <v>192</v>
      </c>
      <c r="D74" s="59" t="s">
        <v>9089</v>
      </c>
      <c r="E74" s="58" t="s">
        <v>231</v>
      </c>
      <c r="F74" s="60" t="s">
        <v>9090</v>
      </c>
      <c r="G74" s="58" t="s">
        <v>9091</v>
      </c>
      <c r="H74" s="58"/>
      <c r="I74" s="58"/>
      <c r="J74" s="58"/>
      <c r="K74" s="58"/>
      <c r="L74" s="58"/>
      <c r="M74" s="58"/>
      <c r="N74" s="61" t="s">
        <v>91</v>
      </c>
      <c r="O74" s="58" t="s">
        <v>8908</v>
      </c>
      <c r="P74" s="61" t="n">
        <v>407</v>
      </c>
    </row>
    <row r="75" customFormat="false" ht="32.8" hidden="false" customHeight="false" outlineLevel="0" collapsed="false">
      <c r="A75" s="22" t="s">
        <v>9092</v>
      </c>
      <c r="B75" s="17" t="s">
        <v>8720</v>
      </c>
      <c r="C75" s="17" t="s">
        <v>192</v>
      </c>
      <c r="D75" s="55" t="s">
        <v>9093</v>
      </c>
      <c r="E75" s="17" t="s">
        <v>231</v>
      </c>
      <c r="F75" s="56" t="s">
        <v>9094</v>
      </c>
      <c r="G75" s="17" t="s">
        <v>9095</v>
      </c>
      <c r="H75" s="17"/>
      <c r="I75" s="17"/>
      <c r="J75" s="17"/>
      <c r="K75" s="17"/>
      <c r="L75" s="17"/>
      <c r="M75" s="17"/>
      <c r="N75" s="15" t="s">
        <v>91</v>
      </c>
      <c r="O75" s="17" t="s">
        <v>8908</v>
      </c>
      <c r="P75" s="15" t="n">
        <v>411</v>
      </c>
    </row>
    <row r="76" customFormat="false" ht="22.35" hidden="false" customHeight="false" outlineLevel="0" collapsed="false">
      <c r="A76" s="57" t="s">
        <v>9096</v>
      </c>
      <c r="B76" s="58" t="s">
        <v>8720</v>
      </c>
      <c r="C76" s="58" t="s">
        <v>192</v>
      </c>
      <c r="D76" s="59" t="s">
        <v>9097</v>
      </c>
      <c r="E76" s="58" t="s">
        <v>231</v>
      </c>
      <c r="F76" s="60" t="s">
        <v>9098</v>
      </c>
      <c r="G76" s="58" t="s">
        <v>9099</v>
      </c>
      <c r="H76" s="58"/>
      <c r="I76" s="58"/>
      <c r="J76" s="58"/>
      <c r="K76" s="58"/>
      <c r="L76" s="58"/>
      <c r="M76" s="58"/>
      <c r="N76" s="61" t="s">
        <v>91</v>
      </c>
      <c r="O76" s="58" t="s">
        <v>8908</v>
      </c>
      <c r="P76" s="61" t="n">
        <v>420</v>
      </c>
    </row>
    <row r="77" customFormat="false" ht="32.8" hidden="false" customHeight="false" outlineLevel="0" collapsed="false">
      <c r="A77" s="22" t="s">
        <v>9100</v>
      </c>
      <c r="B77" s="17" t="s">
        <v>8720</v>
      </c>
      <c r="C77" s="17" t="s">
        <v>192</v>
      </c>
      <c r="D77" s="55" t="s">
        <v>9101</v>
      </c>
      <c r="E77" s="17" t="s">
        <v>231</v>
      </c>
      <c r="F77" s="56" t="s">
        <v>9102</v>
      </c>
      <c r="G77" s="17" t="s">
        <v>9103</v>
      </c>
      <c r="H77" s="17"/>
      <c r="I77" s="17"/>
      <c r="J77" s="17"/>
      <c r="K77" s="17"/>
      <c r="L77" s="17" t="s">
        <v>9104</v>
      </c>
      <c r="M77" s="17"/>
      <c r="N77" s="15" t="s">
        <v>91</v>
      </c>
      <c r="O77" s="17" t="s">
        <v>8908</v>
      </c>
      <c r="P77" s="15" t="n">
        <v>429</v>
      </c>
    </row>
    <row r="78" customFormat="false" ht="64.15" hidden="false" customHeight="false" outlineLevel="0" collapsed="false">
      <c r="A78" s="57" t="s">
        <v>9105</v>
      </c>
      <c r="B78" s="58" t="s">
        <v>8720</v>
      </c>
      <c r="C78" s="58" t="s">
        <v>192</v>
      </c>
      <c r="D78" s="59" t="s">
        <v>4285</v>
      </c>
      <c r="E78" s="58" t="s">
        <v>222</v>
      </c>
      <c r="F78" s="60" t="s">
        <v>8762</v>
      </c>
      <c r="G78" s="58" t="s">
        <v>9106</v>
      </c>
      <c r="H78" s="58" t="s">
        <v>9107</v>
      </c>
      <c r="I78" s="58" t="s">
        <v>9108</v>
      </c>
      <c r="J78" s="58"/>
      <c r="K78" s="58"/>
      <c r="L78" s="58" t="s">
        <v>9109</v>
      </c>
      <c r="M78" s="58" t="s">
        <v>9110</v>
      </c>
      <c r="N78" s="61" t="s">
        <v>91</v>
      </c>
      <c r="O78" s="58" t="s">
        <v>8908</v>
      </c>
      <c r="P78" s="61" t="n">
        <v>438</v>
      </c>
    </row>
    <row r="79" customFormat="false" ht="22.35" hidden="false" customHeight="false" outlineLevel="0" collapsed="false">
      <c r="A79" s="22" t="s">
        <v>9111</v>
      </c>
      <c r="B79" s="17" t="s">
        <v>8720</v>
      </c>
      <c r="C79" s="17" t="s">
        <v>192</v>
      </c>
      <c r="D79" s="55" t="s">
        <v>9112</v>
      </c>
      <c r="E79" s="17" t="s">
        <v>248</v>
      </c>
      <c r="F79" s="56" t="s">
        <v>9113</v>
      </c>
      <c r="G79" s="17" t="s">
        <v>9114</v>
      </c>
      <c r="H79" s="17"/>
      <c r="I79" s="17" t="s">
        <v>9115</v>
      </c>
      <c r="J79" s="17"/>
      <c r="K79" s="17"/>
      <c r="L79" s="17" t="s">
        <v>9116</v>
      </c>
      <c r="M79" s="17"/>
      <c r="N79" s="15" t="s">
        <v>91</v>
      </c>
      <c r="O79" s="17" t="s">
        <v>8908</v>
      </c>
      <c r="P79" s="15" t="n">
        <v>440</v>
      </c>
    </row>
    <row r="80" customFormat="false" ht="22.35" hidden="false" customHeight="false" outlineLevel="0" collapsed="false">
      <c r="A80" s="57" t="s">
        <v>9117</v>
      </c>
      <c r="B80" s="58" t="s">
        <v>8720</v>
      </c>
      <c r="C80" s="58" t="s">
        <v>192</v>
      </c>
      <c r="D80" s="59" t="s">
        <v>9118</v>
      </c>
      <c r="E80" s="58" t="s">
        <v>248</v>
      </c>
      <c r="F80" s="60" t="s">
        <v>9119</v>
      </c>
      <c r="G80" s="58" t="s">
        <v>9120</v>
      </c>
      <c r="H80" s="58"/>
      <c r="I80" s="58" t="s">
        <v>9121</v>
      </c>
      <c r="J80" s="58"/>
      <c r="K80" s="58"/>
      <c r="L80" s="58" t="s">
        <v>9122</v>
      </c>
      <c r="M80" s="58"/>
      <c r="N80" s="61" t="s">
        <v>91</v>
      </c>
      <c r="O80" s="58" t="s">
        <v>8908</v>
      </c>
      <c r="P80" s="61" t="n">
        <v>441</v>
      </c>
    </row>
    <row r="81" customFormat="false" ht="32.8" hidden="false" customHeight="false" outlineLevel="0" collapsed="false">
      <c r="A81" s="22" t="s">
        <v>9123</v>
      </c>
      <c r="B81" s="17" t="s">
        <v>8720</v>
      </c>
      <c r="C81" s="17" t="s">
        <v>192</v>
      </c>
      <c r="D81" s="55" t="s">
        <v>9124</v>
      </c>
      <c r="E81" s="17" t="s">
        <v>248</v>
      </c>
      <c r="F81" s="56" t="s">
        <v>9125</v>
      </c>
      <c r="G81" s="17" t="s">
        <v>9126</v>
      </c>
      <c r="H81" s="17" t="s">
        <v>9127</v>
      </c>
      <c r="I81" s="17" t="s">
        <v>9128</v>
      </c>
      <c r="J81" s="17"/>
      <c r="K81" s="17" t="s">
        <v>1046</v>
      </c>
      <c r="L81" s="17" t="s">
        <v>9129</v>
      </c>
      <c r="M81" s="17"/>
      <c r="N81" s="15" t="s">
        <v>91</v>
      </c>
      <c r="O81" s="17" t="s">
        <v>8908</v>
      </c>
      <c r="P81" s="15" t="n">
        <v>442</v>
      </c>
    </row>
    <row r="82" customFormat="false" ht="22.35" hidden="false" customHeight="false" outlineLevel="0" collapsed="false">
      <c r="A82" s="57" t="s">
        <v>9130</v>
      </c>
      <c r="B82" s="58" t="s">
        <v>8720</v>
      </c>
      <c r="C82" s="58" t="s">
        <v>192</v>
      </c>
      <c r="D82" s="59" t="s">
        <v>9131</v>
      </c>
      <c r="E82" s="58" t="s">
        <v>231</v>
      </c>
      <c r="F82" s="60" t="s">
        <v>9132</v>
      </c>
      <c r="G82" s="58" t="s">
        <v>9133</v>
      </c>
      <c r="H82" s="58"/>
      <c r="I82" s="58"/>
      <c r="J82" s="58"/>
      <c r="K82" s="58"/>
      <c r="L82" s="58" t="s">
        <v>9134</v>
      </c>
      <c r="M82" s="58"/>
      <c r="N82" s="61" t="s">
        <v>91</v>
      </c>
      <c r="O82" s="58" t="s">
        <v>8908</v>
      </c>
      <c r="P82" s="61" t="n">
        <v>445</v>
      </c>
    </row>
    <row r="83" customFormat="false" ht="22.35" hidden="false" customHeight="false" outlineLevel="0" collapsed="false">
      <c r="A83" s="22" t="s">
        <v>9135</v>
      </c>
      <c r="B83" s="17" t="s">
        <v>8720</v>
      </c>
      <c r="C83" s="17" t="s">
        <v>192</v>
      </c>
      <c r="D83" s="55" t="s">
        <v>9136</v>
      </c>
      <c r="E83" s="17" t="s">
        <v>231</v>
      </c>
      <c r="F83" s="56" t="s">
        <v>9137</v>
      </c>
      <c r="G83" s="17" t="s">
        <v>9138</v>
      </c>
      <c r="H83" s="17"/>
      <c r="I83" s="17"/>
      <c r="J83" s="17"/>
      <c r="K83" s="17"/>
      <c r="L83" s="17"/>
      <c r="M83" s="17"/>
      <c r="N83" s="15" t="s">
        <v>91</v>
      </c>
      <c r="O83" s="17" t="s">
        <v>8908</v>
      </c>
      <c r="P83" s="15" t="n">
        <v>471</v>
      </c>
    </row>
    <row r="84" customFormat="false" ht="22.35" hidden="false" customHeight="false" outlineLevel="0" collapsed="false">
      <c r="A84" s="57" t="s">
        <v>9139</v>
      </c>
      <c r="B84" s="58" t="s">
        <v>8720</v>
      </c>
      <c r="C84" s="58" t="s">
        <v>192</v>
      </c>
      <c r="D84" s="59" t="s">
        <v>9140</v>
      </c>
      <c r="E84" s="58" t="s">
        <v>231</v>
      </c>
      <c r="F84" s="60" t="s">
        <v>9141</v>
      </c>
      <c r="G84" s="58" t="s">
        <v>9142</v>
      </c>
      <c r="H84" s="58"/>
      <c r="I84" s="58"/>
      <c r="J84" s="58"/>
      <c r="K84" s="58"/>
      <c r="L84" s="58" t="s">
        <v>9143</v>
      </c>
      <c r="M84" s="58"/>
      <c r="N84" s="61" t="s">
        <v>91</v>
      </c>
      <c r="O84" s="58" t="s">
        <v>8908</v>
      </c>
      <c r="P84" s="61" t="n">
        <v>509</v>
      </c>
    </row>
    <row r="85" customFormat="false" ht="22.35" hidden="false" customHeight="false" outlineLevel="0" collapsed="false">
      <c r="A85" s="22" t="s">
        <v>9144</v>
      </c>
      <c r="B85" s="17" t="s">
        <v>8720</v>
      </c>
      <c r="C85" s="17" t="s">
        <v>192</v>
      </c>
      <c r="D85" s="55" t="s">
        <v>9145</v>
      </c>
      <c r="E85" s="17" t="s">
        <v>231</v>
      </c>
      <c r="F85" s="56" t="s">
        <v>9146</v>
      </c>
      <c r="G85" s="17" t="s">
        <v>9147</v>
      </c>
      <c r="H85" s="17"/>
      <c r="I85" s="17"/>
      <c r="J85" s="17"/>
      <c r="K85" s="17"/>
      <c r="L85" s="17"/>
      <c r="M85" s="17"/>
      <c r="N85" s="15" t="s">
        <v>91</v>
      </c>
      <c r="O85" s="17" t="s">
        <v>8908</v>
      </c>
      <c r="P85" s="15" t="n">
        <v>512</v>
      </c>
    </row>
    <row r="86" customFormat="false" ht="22.35" hidden="false" customHeight="false" outlineLevel="0" collapsed="false">
      <c r="A86" s="57" t="s">
        <v>9148</v>
      </c>
      <c r="B86" s="58" t="s">
        <v>8720</v>
      </c>
      <c r="C86" s="58" t="s">
        <v>192</v>
      </c>
      <c r="D86" s="59" t="s">
        <v>9149</v>
      </c>
      <c r="E86" s="58" t="s">
        <v>231</v>
      </c>
      <c r="F86" s="60" t="s">
        <v>9150</v>
      </c>
      <c r="G86" s="58" t="s">
        <v>9151</v>
      </c>
      <c r="H86" s="58"/>
      <c r="I86" s="58"/>
      <c r="J86" s="58"/>
      <c r="K86" s="58"/>
      <c r="L86" s="58" t="s">
        <v>9152</v>
      </c>
      <c r="M86" s="58"/>
      <c r="N86" s="61" t="s">
        <v>91</v>
      </c>
      <c r="O86" s="58" t="s">
        <v>8908</v>
      </c>
      <c r="P86" s="61" t="n">
        <v>517</v>
      </c>
    </row>
    <row r="87" customFormat="false" ht="22.35" hidden="false" customHeight="false" outlineLevel="0" collapsed="false">
      <c r="A87" s="22" t="s">
        <v>9153</v>
      </c>
      <c r="B87" s="17" t="s">
        <v>8720</v>
      </c>
      <c r="C87" s="17" t="s">
        <v>192</v>
      </c>
      <c r="D87" s="55" t="s">
        <v>9154</v>
      </c>
      <c r="E87" s="17" t="s">
        <v>231</v>
      </c>
      <c r="F87" s="56" t="s">
        <v>9155</v>
      </c>
      <c r="G87" s="17" t="s">
        <v>9156</v>
      </c>
      <c r="H87" s="17"/>
      <c r="I87" s="17"/>
      <c r="J87" s="17"/>
      <c r="K87" s="17"/>
      <c r="L87" s="17"/>
      <c r="M87" s="17"/>
      <c r="N87" s="15" t="s">
        <v>91</v>
      </c>
      <c r="O87" s="17" t="s">
        <v>8908</v>
      </c>
      <c r="P87" s="15" t="n">
        <v>519</v>
      </c>
    </row>
    <row r="88" customFormat="false" ht="22.35" hidden="false" customHeight="false" outlineLevel="0" collapsed="false">
      <c r="A88" s="57" t="s">
        <v>9157</v>
      </c>
      <c r="B88" s="58" t="s">
        <v>8720</v>
      </c>
      <c r="C88" s="58" t="s">
        <v>192</v>
      </c>
      <c r="D88" s="59" t="s">
        <v>9158</v>
      </c>
      <c r="E88" s="58" t="s">
        <v>231</v>
      </c>
      <c r="F88" s="60" t="s">
        <v>9159</v>
      </c>
      <c r="G88" s="58" t="s">
        <v>9160</v>
      </c>
      <c r="H88" s="58"/>
      <c r="I88" s="58"/>
      <c r="J88" s="58"/>
      <c r="K88" s="58"/>
      <c r="L88" s="58" t="s">
        <v>9161</v>
      </c>
      <c r="M88" s="58"/>
      <c r="N88" s="61" t="s">
        <v>91</v>
      </c>
      <c r="O88" s="58" t="s">
        <v>8908</v>
      </c>
      <c r="P88" s="61" t="n">
        <v>525</v>
      </c>
    </row>
    <row r="89" customFormat="false" ht="32.8" hidden="false" customHeight="false" outlineLevel="0" collapsed="false">
      <c r="A89" s="22" t="s">
        <v>9162</v>
      </c>
      <c r="B89" s="17" t="s">
        <v>8720</v>
      </c>
      <c r="C89" s="17" t="s">
        <v>192</v>
      </c>
      <c r="D89" s="55" t="s">
        <v>9163</v>
      </c>
      <c r="E89" s="17" t="s">
        <v>231</v>
      </c>
      <c r="F89" s="56" t="s">
        <v>9164</v>
      </c>
      <c r="G89" s="17" t="s">
        <v>9165</v>
      </c>
      <c r="H89" s="17"/>
      <c r="I89" s="17"/>
      <c r="J89" s="17"/>
      <c r="K89" s="17"/>
      <c r="L89" s="17"/>
      <c r="M89" s="17"/>
      <c r="N89" s="15" t="s">
        <v>91</v>
      </c>
      <c r="O89" s="17" t="s">
        <v>8908</v>
      </c>
      <c r="P89" s="15" t="n">
        <v>545</v>
      </c>
    </row>
    <row r="90" customFormat="false" ht="53.7" hidden="false" customHeight="false" outlineLevel="0" collapsed="false">
      <c r="A90" s="57" t="s">
        <v>9166</v>
      </c>
      <c r="B90" s="58" t="s">
        <v>8720</v>
      </c>
      <c r="C90" s="58" t="s">
        <v>192</v>
      </c>
      <c r="D90" s="59" t="s">
        <v>9167</v>
      </c>
      <c r="E90" s="58" t="s">
        <v>222</v>
      </c>
      <c r="F90" s="60" t="s">
        <v>9168</v>
      </c>
      <c r="G90" s="58" t="s">
        <v>9169</v>
      </c>
      <c r="H90" s="58"/>
      <c r="I90" s="58" t="s">
        <v>9170</v>
      </c>
      <c r="J90" s="58"/>
      <c r="K90" s="58"/>
      <c r="L90" s="58"/>
      <c r="M90" s="58" t="s">
        <v>9171</v>
      </c>
      <c r="N90" s="61" t="s">
        <v>91</v>
      </c>
      <c r="O90" s="58" t="s">
        <v>8908</v>
      </c>
      <c r="P90" s="61" t="n">
        <v>584</v>
      </c>
    </row>
    <row r="91" customFormat="false" ht="22.35" hidden="false" customHeight="false" outlineLevel="0" collapsed="false">
      <c r="A91" s="22" t="s">
        <v>9172</v>
      </c>
      <c r="B91" s="17" t="s">
        <v>8720</v>
      </c>
      <c r="C91" s="17" t="s">
        <v>192</v>
      </c>
      <c r="D91" s="55" t="s">
        <v>9173</v>
      </c>
      <c r="E91" s="17" t="s">
        <v>222</v>
      </c>
      <c r="F91" s="56" t="s">
        <v>9174</v>
      </c>
      <c r="G91" s="17" t="s">
        <v>9175</v>
      </c>
      <c r="H91" s="17"/>
      <c r="I91" s="17"/>
      <c r="J91" s="17" t="s">
        <v>9176</v>
      </c>
      <c r="K91" s="17"/>
      <c r="L91" s="17"/>
      <c r="M91" s="17"/>
      <c r="N91" s="15" t="s">
        <v>91</v>
      </c>
      <c r="O91" s="17" t="s">
        <v>8908</v>
      </c>
      <c r="P91" s="15" t="n">
        <v>588</v>
      </c>
    </row>
    <row r="92" customFormat="false" ht="22.35" hidden="false" customHeight="false" outlineLevel="0" collapsed="false">
      <c r="A92" s="57" t="s">
        <v>9177</v>
      </c>
      <c r="B92" s="58" t="s">
        <v>8720</v>
      </c>
      <c r="C92" s="58" t="s">
        <v>192</v>
      </c>
      <c r="D92" s="59" t="s">
        <v>9178</v>
      </c>
      <c r="E92" s="58" t="s">
        <v>231</v>
      </c>
      <c r="F92" s="60" t="s">
        <v>9179</v>
      </c>
      <c r="G92" s="58" t="s">
        <v>9180</v>
      </c>
      <c r="H92" s="58"/>
      <c r="I92" s="58"/>
      <c r="J92" s="58"/>
      <c r="K92" s="58"/>
      <c r="L92" s="58"/>
      <c r="M92" s="58"/>
      <c r="N92" s="61" t="s">
        <v>91</v>
      </c>
      <c r="O92" s="58" t="s">
        <v>8908</v>
      </c>
      <c r="P92" s="61" t="n">
        <v>590</v>
      </c>
    </row>
    <row r="93" customFormat="false" ht="43.25" hidden="false" customHeight="false" outlineLevel="0" collapsed="false">
      <c r="A93" s="22" t="s">
        <v>9181</v>
      </c>
      <c r="B93" s="17" t="s">
        <v>8720</v>
      </c>
      <c r="C93" s="17" t="s">
        <v>192</v>
      </c>
      <c r="D93" s="55" t="s">
        <v>9182</v>
      </c>
      <c r="E93" s="17" t="s">
        <v>231</v>
      </c>
      <c r="F93" s="56" t="s">
        <v>9183</v>
      </c>
      <c r="G93" s="17" t="s">
        <v>9184</v>
      </c>
      <c r="H93" s="17"/>
      <c r="I93" s="17"/>
      <c r="J93" s="17"/>
      <c r="K93" s="17"/>
      <c r="L93" s="17" t="s">
        <v>9185</v>
      </c>
      <c r="M93" s="17"/>
      <c r="N93" s="15" t="s">
        <v>91</v>
      </c>
      <c r="O93" s="17" t="s">
        <v>8908</v>
      </c>
      <c r="P93" s="15" t="n">
        <v>597</v>
      </c>
    </row>
    <row r="94" customFormat="false" ht="32.8" hidden="false" customHeight="false" outlineLevel="0" collapsed="false">
      <c r="A94" s="57" t="s">
        <v>9186</v>
      </c>
      <c r="B94" s="58" t="s">
        <v>8720</v>
      </c>
      <c r="C94" s="58" t="s">
        <v>192</v>
      </c>
      <c r="D94" s="59" t="s">
        <v>9187</v>
      </c>
      <c r="E94" s="58" t="s">
        <v>222</v>
      </c>
      <c r="F94" s="60" t="s">
        <v>9188</v>
      </c>
      <c r="G94" s="58" t="s">
        <v>9189</v>
      </c>
      <c r="H94" s="58"/>
      <c r="I94" s="58"/>
      <c r="J94" s="58" t="s">
        <v>9190</v>
      </c>
      <c r="K94" s="58"/>
      <c r="L94" s="58"/>
      <c r="M94" s="58"/>
      <c r="N94" s="61" t="s">
        <v>91</v>
      </c>
      <c r="O94" s="58" t="s">
        <v>8908</v>
      </c>
      <c r="P94" s="61" t="n">
        <v>611</v>
      </c>
    </row>
    <row r="95" customFormat="false" ht="32.8" hidden="false" customHeight="false" outlineLevel="0" collapsed="false">
      <c r="A95" s="22" t="s">
        <v>9191</v>
      </c>
      <c r="B95" s="17" t="s">
        <v>8720</v>
      </c>
      <c r="C95" s="17" t="s">
        <v>192</v>
      </c>
      <c r="D95" s="55" t="s">
        <v>9192</v>
      </c>
      <c r="E95" s="17" t="s">
        <v>231</v>
      </c>
      <c r="F95" s="56" t="s">
        <v>9193</v>
      </c>
      <c r="G95" s="17" t="s">
        <v>9194</v>
      </c>
      <c r="H95" s="17"/>
      <c r="I95" s="17"/>
      <c r="J95" s="17"/>
      <c r="K95" s="17"/>
      <c r="L95" s="17" t="s">
        <v>9195</v>
      </c>
      <c r="M95" s="17"/>
      <c r="N95" s="15" t="s">
        <v>91</v>
      </c>
      <c r="O95" s="17" t="s">
        <v>8908</v>
      </c>
      <c r="P95" s="15" t="n">
        <v>615</v>
      </c>
    </row>
    <row r="96" customFormat="false" ht="32.8" hidden="false" customHeight="false" outlineLevel="0" collapsed="false">
      <c r="A96" s="57" t="s">
        <v>9196</v>
      </c>
      <c r="B96" s="58" t="s">
        <v>8720</v>
      </c>
      <c r="C96" s="58" t="s">
        <v>192</v>
      </c>
      <c r="D96" s="59" t="s">
        <v>9197</v>
      </c>
      <c r="E96" s="58" t="s">
        <v>222</v>
      </c>
      <c r="F96" s="60" t="s">
        <v>9198</v>
      </c>
      <c r="G96" s="58" t="s">
        <v>9199</v>
      </c>
      <c r="H96" s="58"/>
      <c r="I96" s="58"/>
      <c r="J96" s="58" t="s">
        <v>9200</v>
      </c>
      <c r="K96" s="58"/>
      <c r="L96" s="58"/>
      <c r="M96" s="58"/>
      <c r="N96" s="61" t="s">
        <v>91</v>
      </c>
      <c r="O96" s="58" t="s">
        <v>8908</v>
      </c>
      <c r="P96" s="61" t="n">
        <v>626</v>
      </c>
    </row>
    <row r="97" customFormat="false" ht="32.8" hidden="false" customHeight="false" outlineLevel="0" collapsed="false">
      <c r="A97" s="22" t="s">
        <v>9201</v>
      </c>
      <c r="B97" s="17" t="s">
        <v>8720</v>
      </c>
      <c r="C97" s="17" t="s">
        <v>192</v>
      </c>
      <c r="D97" s="55" t="s">
        <v>9202</v>
      </c>
      <c r="E97" s="17" t="s">
        <v>231</v>
      </c>
      <c r="F97" s="56" t="s">
        <v>9203</v>
      </c>
      <c r="G97" s="17" t="s">
        <v>9204</v>
      </c>
      <c r="H97" s="17"/>
      <c r="I97" s="17"/>
      <c r="J97" s="17"/>
      <c r="K97" s="17"/>
      <c r="L97" s="17" t="s">
        <v>9205</v>
      </c>
      <c r="M97" s="17"/>
      <c r="N97" s="15" t="s">
        <v>91</v>
      </c>
      <c r="O97" s="17" t="s">
        <v>8908</v>
      </c>
      <c r="P97" s="15" t="n">
        <v>634</v>
      </c>
    </row>
    <row r="98" customFormat="false" ht="32.8" hidden="false" customHeight="false" outlineLevel="0" collapsed="false">
      <c r="A98" s="57" t="s">
        <v>9206</v>
      </c>
      <c r="B98" s="58" t="s">
        <v>8720</v>
      </c>
      <c r="C98" s="58" t="s">
        <v>192</v>
      </c>
      <c r="D98" s="59" t="s">
        <v>9207</v>
      </c>
      <c r="E98" s="58" t="s">
        <v>231</v>
      </c>
      <c r="F98" s="60" t="s">
        <v>9208</v>
      </c>
      <c r="G98" s="58" t="s">
        <v>9209</v>
      </c>
      <c r="H98" s="58"/>
      <c r="I98" s="58"/>
      <c r="J98" s="58"/>
      <c r="K98" s="58"/>
      <c r="L98" s="58" t="s">
        <v>9210</v>
      </c>
      <c r="M98" s="58"/>
      <c r="N98" s="61" t="s">
        <v>91</v>
      </c>
      <c r="O98" s="58" t="s">
        <v>8908</v>
      </c>
      <c r="P98" s="61" t="n">
        <v>646</v>
      </c>
    </row>
    <row r="99" customFormat="false" ht="22.35" hidden="false" customHeight="false" outlineLevel="0" collapsed="false">
      <c r="A99" s="22" t="s">
        <v>9211</v>
      </c>
      <c r="B99" s="17" t="s">
        <v>8720</v>
      </c>
      <c r="C99" s="17" t="s">
        <v>192</v>
      </c>
      <c r="D99" s="55" t="s">
        <v>9212</v>
      </c>
      <c r="E99" s="17" t="s">
        <v>231</v>
      </c>
      <c r="F99" s="56" t="s">
        <v>9213</v>
      </c>
      <c r="G99" s="17" t="s">
        <v>9214</v>
      </c>
      <c r="H99" s="17"/>
      <c r="I99" s="17"/>
      <c r="J99" s="17"/>
      <c r="K99" s="17"/>
      <c r="L99" s="17" t="s">
        <v>9215</v>
      </c>
      <c r="M99" s="17"/>
      <c r="N99" s="15" t="s">
        <v>91</v>
      </c>
      <c r="O99" s="17" t="s">
        <v>8908</v>
      </c>
      <c r="P99" s="15" t="n">
        <v>651</v>
      </c>
    </row>
    <row r="100" customFormat="false" ht="32.8" hidden="false" customHeight="false" outlineLevel="0" collapsed="false">
      <c r="A100" s="57" t="s">
        <v>9216</v>
      </c>
      <c r="B100" s="58" t="s">
        <v>8720</v>
      </c>
      <c r="C100" s="58" t="s">
        <v>192</v>
      </c>
      <c r="D100" s="59" t="s">
        <v>9217</v>
      </c>
      <c r="E100" s="58" t="s">
        <v>231</v>
      </c>
      <c r="F100" s="60" t="s">
        <v>9218</v>
      </c>
      <c r="G100" s="58" t="s">
        <v>9219</v>
      </c>
      <c r="H100" s="58"/>
      <c r="I100" s="58"/>
      <c r="J100" s="58"/>
      <c r="K100" s="58"/>
      <c r="L100" s="58" t="s">
        <v>9220</v>
      </c>
      <c r="M100" s="58"/>
      <c r="N100" s="61" t="s">
        <v>91</v>
      </c>
      <c r="O100" s="58" t="s">
        <v>8908</v>
      </c>
      <c r="P100" s="61" t="n">
        <v>658</v>
      </c>
    </row>
    <row r="101" customFormat="false" ht="53.7" hidden="false" customHeight="false" outlineLevel="0" collapsed="false">
      <c r="A101" s="22" t="s">
        <v>9221</v>
      </c>
      <c r="B101" s="17" t="s">
        <v>8720</v>
      </c>
      <c r="C101" s="17" t="s">
        <v>192</v>
      </c>
      <c r="D101" s="55" t="s">
        <v>9222</v>
      </c>
      <c r="E101" s="17" t="s">
        <v>231</v>
      </c>
      <c r="F101" s="56" t="s">
        <v>9223</v>
      </c>
      <c r="G101" s="17" t="s">
        <v>9224</v>
      </c>
      <c r="H101" s="17"/>
      <c r="I101" s="17"/>
      <c r="J101" s="17"/>
      <c r="K101" s="17"/>
      <c r="L101" s="17" t="s">
        <v>9225</v>
      </c>
      <c r="M101" s="17"/>
      <c r="N101" s="15" t="s">
        <v>91</v>
      </c>
      <c r="O101" s="17" t="s">
        <v>8908</v>
      </c>
      <c r="P101" s="15" t="n">
        <v>678</v>
      </c>
    </row>
    <row r="102" customFormat="false" ht="43.25" hidden="false" customHeight="false" outlineLevel="0" collapsed="false">
      <c r="A102" s="57" t="s">
        <v>9226</v>
      </c>
      <c r="B102" s="58" t="s">
        <v>8720</v>
      </c>
      <c r="C102" s="58" t="s">
        <v>192</v>
      </c>
      <c r="D102" s="59" t="s">
        <v>9227</v>
      </c>
      <c r="E102" s="58" t="s">
        <v>223</v>
      </c>
      <c r="F102" s="60" t="s">
        <v>9228</v>
      </c>
      <c r="G102" s="58" t="s">
        <v>9229</v>
      </c>
      <c r="H102" s="58"/>
      <c r="I102" s="58"/>
      <c r="J102" s="58" t="s">
        <v>9230</v>
      </c>
      <c r="K102" s="58" t="s">
        <v>9231</v>
      </c>
      <c r="L102" s="58" t="s">
        <v>9232</v>
      </c>
      <c r="M102" s="58"/>
      <c r="N102" s="61" t="s">
        <v>91</v>
      </c>
      <c r="O102" s="58" t="s">
        <v>8908</v>
      </c>
      <c r="P102" s="61" t="n">
        <v>679</v>
      </c>
    </row>
    <row r="103" customFormat="false" ht="43.25" hidden="false" customHeight="false" outlineLevel="0" collapsed="false">
      <c r="A103" s="22" t="s">
        <v>9233</v>
      </c>
      <c r="B103" s="17" t="s">
        <v>8720</v>
      </c>
      <c r="C103" s="17" t="s">
        <v>192</v>
      </c>
      <c r="D103" s="55" t="s">
        <v>9234</v>
      </c>
      <c r="E103" s="17" t="s">
        <v>222</v>
      </c>
      <c r="F103" s="56" t="s">
        <v>8888</v>
      </c>
      <c r="G103" s="17" t="s">
        <v>9235</v>
      </c>
      <c r="H103" s="17"/>
      <c r="I103" s="17"/>
      <c r="J103" s="17"/>
      <c r="K103" s="17" t="s">
        <v>656</v>
      </c>
      <c r="L103" s="17"/>
      <c r="M103" s="17"/>
      <c r="N103" s="15" t="s">
        <v>91</v>
      </c>
      <c r="O103" s="17" t="s">
        <v>8908</v>
      </c>
      <c r="P103" s="15" t="n">
        <v>690</v>
      </c>
    </row>
    <row r="104" customFormat="false" ht="22.35" hidden="false" customHeight="false" outlineLevel="0" collapsed="false">
      <c r="A104" s="57" t="s">
        <v>9236</v>
      </c>
      <c r="B104" s="58" t="s">
        <v>8720</v>
      </c>
      <c r="C104" s="58" t="s">
        <v>192</v>
      </c>
      <c r="D104" s="59" t="s">
        <v>9237</v>
      </c>
      <c r="E104" s="58" t="s">
        <v>231</v>
      </c>
      <c r="F104" s="60" t="s">
        <v>9238</v>
      </c>
      <c r="G104" s="58" t="s">
        <v>9239</v>
      </c>
      <c r="H104" s="58"/>
      <c r="I104" s="58"/>
      <c r="J104" s="58"/>
      <c r="K104" s="58"/>
      <c r="L104" s="58"/>
      <c r="M104" s="58"/>
      <c r="N104" s="61" t="s">
        <v>91</v>
      </c>
      <c r="O104" s="58" t="s">
        <v>8908</v>
      </c>
      <c r="P104" s="61" t="n">
        <v>735</v>
      </c>
    </row>
    <row r="105" customFormat="false" ht="22.35" hidden="false" customHeight="false" outlineLevel="0" collapsed="false">
      <c r="A105" s="22" t="s">
        <v>9240</v>
      </c>
      <c r="B105" s="17" t="s">
        <v>8720</v>
      </c>
      <c r="C105" s="17" t="s">
        <v>192</v>
      </c>
      <c r="D105" s="55" t="s">
        <v>9241</v>
      </c>
      <c r="E105" s="17" t="s">
        <v>223</v>
      </c>
      <c r="F105" s="56" t="s">
        <v>9242</v>
      </c>
      <c r="G105" s="17" t="s">
        <v>9243</v>
      </c>
      <c r="H105" s="17"/>
      <c r="I105" s="17"/>
      <c r="J105" s="17" t="s">
        <v>9244</v>
      </c>
      <c r="K105" s="17"/>
      <c r="L105" s="17" t="s">
        <v>9245</v>
      </c>
      <c r="M105" s="17"/>
      <c r="N105" s="15" t="s">
        <v>91</v>
      </c>
      <c r="O105" s="17" t="s">
        <v>8902</v>
      </c>
      <c r="P105" s="15" t="n">
        <v>28</v>
      </c>
    </row>
  </sheetData>
  <autoFilter ref="A4:P105"/>
  <mergeCells count="1">
    <mergeCell ref="A2:J2"/>
  </mergeCells>
  <printOptions headings="false" gridLines="false" gridLinesSet="true" horizontalCentered="true" verticalCentered="false"/>
  <pageMargins left="0.4" right="0.4" top="0.5" bottom="0.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&amp;LiW-ASCEJ-01-API-Reference-R1.0-REL1.0&amp;C&amp;A&amp;RPage &amp;P of &amp;N</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P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8"/>
    <col collapsed="false" customWidth="true" hidden="false" outlineLevel="0" max="4" min="4" style="0" width="30"/>
    <col collapsed="false" customWidth="true" hidden="false" outlineLevel="0" max="5" min="5" style="0" width="12"/>
    <col collapsed="false" customWidth="true" hidden="false" outlineLevel="0" max="6" min="6" style="0" width="46"/>
    <col collapsed="false" customWidth="true" hidden="false" outlineLevel="0" max="7" min="7" style="0" width="52"/>
    <col collapsed="false" customWidth="true" hidden="false" outlineLevel="0" max="9" min="8" style="0" width="34"/>
    <col collapsed="false" customWidth="true" hidden="false" outlineLevel="0" max="10" min="10" style="0" width="46"/>
    <col collapsed="false" customWidth="true" hidden="false" outlineLevel="0" max="11" min="11" style="0" width="10"/>
    <col collapsed="false" customWidth="true" hidden="false" outlineLevel="0" max="12" min="12" style="0" width="34"/>
    <col collapsed="false" customWidth="true" hidden="false" outlineLevel="0" max="13" min="13" style="0" width="40"/>
    <col collapsed="false" customWidth="true" hidden="false" outlineLevel="0" max="14" min="14" style="0" width="6"/>
    <col collapsed="false" customWidth="true" hidden="false" outlineLevel="0" max="15" min="15" style="0" width="46"/>
    <col collapsed="false" customWidth="true" hidden="false" outlineLevel="0" max="16" min="16" style="0" width="7"/>
  </cols>
  <sheetData>
    <row r="1" customFormat="false" ht="25.5" hidden="false" customHeight="true" outlineLevel="0" collapsed="false">
      <c r="A1" s="12" t="s">
        <v>9246</v>
      </c>
    </row>
    <row r="2" customFormat="false" ht="30" hidden="false" customHeight="true" outlineLevel="0" collapsed="false">
      <c r="A2" s="13" t="s">
        <v>68</v>
      </c>
      <c r="B2" s="13"/>
      <c r="C2" s="13"/>
      <c r="D2" s="13"/>
      <c r="E2" s="13"/>
      <c r="F2" s="13"/>
      <c r="G2" s="13"/>
      <c r="H2" s="13"/>
      <c r="I2" s="13"/>
      <c r="J2" s="13"/>
    </row>
    <row r="3" customFormat="false" ht="15" hidden="false" customHeight="false" outlineLevel="0" collapsed="false">
      <c r="A3" s="9" t="s">
        <v>9247</v>
      </c>
    </row>
    <row r="4" customFormat="false" ht="30" hidden="false" customHeight="true" outlineLevel="0" collapsed="false">
      <c r="A4" s="14" t="s">
        <v>398</v>
      </c>
      <c r="B4" s="14" t="s">
        <v>1006</v>
      </c>
      <c r="C4" s="14" t="s">
        <v>98</v>
      </c>
      <c r="D4" s="14" t="s">
        <v>1007</v>
      </c>
      <c r="E4" s="14" t="s">
        <v>220</v>
      </c>
      <c r="F4" s="14" t="s">
        <v>1008</v>
      </c>
      <c r="G4" s="14" t="s">
        <v>1009</v>
      </c>
      <c r="H4" s="14" t="s">
        <v>1010</v>
      </c>
      <c r="I4" s="14" t="s">
        <v>1011</v>
      </c>
      <c r="J4" s="14" t="s">
        <v>1012</v>
      </c>
      <c r="K4" s="14" t="s">
        <v>1013</v>
      </c>
      <c r="L4" s="14" t="s">
        <v>1014</v>
      </c>
      <c r="M4" s="14" t="s">
        <v>1015</v>
      </c>
      <c r="N4" s="14" t="s">
        <v>1016</v>
      </c>
      <c r="O4" s="14" t="s">
        <v>1017</v>
      </c>
      <c r="P4" s="14" t="s">
        <v>1018</v>
      </c>
    </row>
    <row r="5" customFormat="false" ht="22.35" hidden="false" customHeight="false" outlineLevel="0" collapsed="false">
      <c r="A5" s="22" t="s">
        <v>9248</v>
      </c>
      <c r="B5" s="17" t="s">
        <v>9249</v>
      </c>
      <c r="C5" s="17" t="s">
        <v>137</v>
      </c>
      <c r="D5" s="55" t="s">
        <v>9250</v>
      </c>
      <c r="E5" s="17" t="s">
        <v>223</v>
      </c>
      <c r="F5" s="56" t="s">
        <v>9251</v>
      </c>
      <c r="G5" s="17" t="s">
        <v>9252</v>
      </c>
      <c r="H5" s="17"/>
      <c r="I5" s="17" t="s">
        <v>9253</v>
      </c>
      <c r="J5" s="17"/>
      <c r="K5" s="17" t="s">
        <v>656</v>
      </c>
      <c r="L5" s="17"/>
      <c r="M5" s="17"/>
      <c r="N5" s="15" t="s">
        <v>91</v>
      </c>
      <c r="O5" s="17" t="s">
        <v>1820</v>
      </c>
      <c r="P5" s="15" t="n">
        <v>32</v>
      </c>
    </row>
    <row r="6" customFormat="false" ht="22.35" hidden="false" customHeight="false" outlineLevel="0" collapsed="false">
      <c r="A6" s="57" t="s">
        <v>9254</v>
      </c>
      <c r="B6" s="58" t="s">
        <v>9249</v>
      </c>
      <c r="C6" s="58" t="s">
        <v>137</v>
      </c>
      <c r="D6" s="59" t="s">
        <v>9255</v>
      </c>
      <c r="E6" s="58" t="s">
        <v>223</v>
      </c>
      <c r="F6" s="60" t="s">
        <v>9256</v>
      </c>
      <c r="G6" s="58" t="s">
        <v>9257</v>
      </c>
      <c r="H6" s="58"/>
      <c r="I6" s="58" t="s">
        <v>9258</v>
      </c>
      <c r="J6" s="58"/>
      <c r="K6" s="58" t="s">
        <v>656</v>
      </c>
      <c r="L6" s="58"/>
      <c r="M6" s="58"/>
      <c r="N6" s="61" t="s">
        <v>91</v>
      </c>
      <c r="O6" s="58" t="s">
        <v>1820</v>
      </c>
      <c r="P6" s="61" t="n">
        <v>34</v>
      </c>
    </row>
    <row r="7" customFormat="false" ht="22.35" hidden="false" customHeight="false" outlineLevel="0" collapsed="false">
      <c r="A7" s="22" t="s">
        <v>9259</v>
      </c>
      <c r="B7" s="17" t="s">
        <v>9249</v>
      </c>
      <c r="C7" s="17" t="s">
        <v>137</v>
      </c>
      <c r="D7" s="55" t="s">
        <v>9260</v>
      </c>
      <c r="E7" s="17" t="s">
        <v>223</v>
      </c>
      <c r="F7" s="56" t="s">
        <v>9261</v>
      </c>
      <c r="G7" s="17" t="s">
        <v>9262</v>
      </c>
      <c r="H7" s="17"/>
      <c r="I7" s="17" t="s">
        <v>9258</v>
      </c>
      <c r="J7" s="17"/>
      <c r="K7" s="17" t="s">
        <v>656</v>
      </c>
      <c r="L7" s="17"/>
      <c r="M7" s="17"/>
      <c r="N7" s="15" t="s">
        <v>91</v>
      </c>
      <c r="O7" s="17" t="s">
        <v>1820</v>
      </c>
      <c r="P7" s="15" t="n">
        <v>36</v>
      </c>
    </row>
    <row r="8" customFormat="false" ht="22.35" hidden="false" customHeight="false" outlineLevel="0" collapsed="false">
      <c r="A8" s="57" t="s">
        <v>9263</v>
      </c>
      <c r="B8" s="58" t="s">
        <v>9249</v>
      </c>
      <c r="C8" s="58" t="s">
        <v>137</v>
      </c>
      <c r="D8" s="59" t="s">
        <v>9264</v>
      </c>
      <c r="E8" s="58" t="s">
        <v>223</v>
      </c>
      <c r="F8" s="60" t="s">
        <v>9265</v>
      </c>
      <c r="G8" s="58" t="s">
        <v>9266</v>
      </c>
      <c r="H8" s="58"/>
      <c r="I8" s="58" t="s">
        <v>9267</v>
      </c>
      <c r="J8" s="58"/>
      <c r="K8" s="58" t="s">
        <v>656</v>
      </c>
      <c r="L8" s="58"/>
      <c r="M8" s="58"/>
      <c r="N8" s="61" t="s">
        <v>91</v>
      </c>
      <c r="O8" s="58" t="s">
        <v>1820</v>
      </c>
      <c r="P8" s="61" t="n">
        <v>42</v>
      </c>
    </row>
    <row r="9" customFormat="false" ht="22.35" hidden="false" customHeight="false" outlineLevel="0" collapsed="false">
      <c r="A9" s="22" t="s">
        <v>9268</v>
      </c>
      <c r="B9" s="17" t="s">
        <v>9249</v>
      </c>
      <c r="C9" s="17" t="s">
        <v>137</v>
      </c>
      <c r="D9" s="55" t="s">
        <v>9269</v>
      </c>
      <c r="E9" s="17" t="s">
        <v>223</v>
      </c>
      <c r="F9" s="56" t="s">
        <v>9270</v>
      </c>
      <c r="G9" s="17" t="s">
        <v>9271</v>
      </c>
      <c r="H9" s="17"/>
      <c r="I9" s="17" t="s">
        <v>9272</v>
      </c>
      <c r="J9" s="17"/>
      <c r="K9" s="17" t="s">
        <v>656</v>
      </c>
      <c r="L9" s="17"/>
      <c r="M9" s="17"/>
      <c r="N9" s="15" t="s">
        <v>91</v>
      </c>
      <c r="O9" s="17" t="s">
        <v>1820</v>
      </c>
      <c r="P9" s="15" t="n">
        <v>46</v>
      </c>
    </row>
    <row r="10" customFormat="false" ht="22.35" hidden="false" customHeight="false" outlineLevel="0" collapsed="false">
      <c r="A10" s="57" t="s">
        <v>9273</v>
      </c>
      <c r="B10" s="58" t="s">
        <v>9249</v>
      </c>
      <c r="C10" s="58" t="s">
        <v>137</v>
      </c>
      <c r="D10" s="59" t="s">
        <v>9274</v>
      </c>
      <c r="E10" s="58" t="s">
        <v>223</v>
      </c>
      <c r="F10" s="60" t="s">
        <v>9275</v>
      </c>
      <c r="G10" s="58" t="s">
        <v>9276</v>
      </c>
      <c r="H10" s="58"/>
      <c r="I10" s="58" t="s">
        <v>9272</v>
      </c>
      <c r="J10" s="58"/>
      <c r="K10" s="58" t="s">
        <v>656</v>
      </c>
      <c r="L10" s="58"/>
      <c r="M10" s="58"/>
      <c r="N10" s="61" t="s">
        <v>91</v>
      </c>
      <c r="O10" s="58" t="s">
        <v>1820</v>
      </c>
      <c r="P10" s="61" t="n">
        <v>51</v>
      </c>
    </row>
    <row r="11" customFormat="false" ht="22.35" hidden="false" customHeight="false" outlineLevel="0" collapsed="false">
      <c r="A11" s="22" t="s">
        <v>9277</v>
      </c>
      <c r="B11" s="17" t="s">
        <v>9249</v>
      </c>
      <c r="C11" s="17" t="s">
        <v>137</v>
      </c>
      <c r="D11" s="55" t="s">
        <v>9278</v>
      </c>
      <c r="E11" s="17" t="s">
        <v>223</v>
      </c>
      <c r="F11" s="56" t="s">
        <v>9279</v>
      </c>
      <c r="G11" s="17" t="s">
        <v>9280</v>
      </c>
      <c r="H11" s="17"/>
      <c r="I11" s="17" t="s">
        <v>9281</v>
      </c>
      <c r="J11" s="17"/>
      <c r="K11" s="17" t="s">
        <v>656</v>
      </c>
      <c r="L11" s="17"/>
      <c r="M11" s="17"/>
      <c r="N11" s="15" t="s">
        <v>91</v>
      </c>
      <c r="O11" s="17" t="s">
        <v>1820</v>
      </c>
      <c r="P11" s="15" t="n">
        <v>55</v>
      </c>
    </row>
    <row r="12" customFormat="false" ht="22.35" hidden="false" customHeight="false" outlineLevel="0" collapsed="false">
      <c r="A12" s="57" t="s">
        <v>9282</v>
      </c>
      <c r="B12" s="58" t="s">
        <v>9249</v>
      </c>
      <c r="C12" s="58" t="s">
        <v>137</v>
      </c>
      <c r="D12" s="59" t="s">
        <v>9283</v>
      </c>
      <c r="E12" s="58" t="s">
        <v>223</v>
      </c>
      <c r="F12" s="60" t="s">
        <v>9284</v>
      </c>
      <c r="G12" s="58" t="s">
        <v>9285</v>
      </c>
      <c r="H12" s="58"/>
      <c r="I12" s="58" t="s">
        <v>9286</v>
      </c>
      <c r="J12" s="58"/>
      <c r="K12" s="58" t="s">
        <v>656</v>
      </c>
      <c r="L12" s="58"/>
      <c r="M12" s="58"/>
      <c r="N12" s="61" t="s">
        <v>91</v>
      </c>
      <c r="O12" s="58" t="s">
        <v>1820</v>
      </c>
      <c r="P12" s="61" t="n">
        <v>56</v>
      </c>
    </row>
    <row r="13" customFormat="false" ht="22.35" hidden="false" customHeight="false" outlineLevel="0" collapsed="false">
      <c r="A13" s="22" t="s">
        <v>9287</v>
      </c>
      <c r="B13" s="17" t="s">
        <v>9249</v>
      </c>
      <c r="C13" s="17" t="s">
        <v>137</v>
      </c>
      <c r="D13" s="55" t="s">
        <v>9288</v>
      </c>
      <c r="E13" s="17" t="s">
        <v>223</v>
      </c>
      <c r="F13" s="56" t="s">
        <v>9289</v>
      </c>
      <c r="G13" s="17" t="s">
        <v>9290</v>
      </c>
      <c r="H13" s="17"/>
      <c r="I13" s="17" t="s">
        <v>1682</v>
      </c>
      <c r="J13" s="17"/>
      <c r="K13" s="17" t="s">
        <v>656</v>
      </c>
      <c r="L13" s="17"/>
      <c r="M13" s="17"/>
      <c r="N13" s="15" t="s">
        <v>91</v>
      </c>
      <c r="O13" s="17" t="s">
        <v>1820</v>
      </c>
      <c r="P13" s="15" t="n">
        <v>60</v>
      </c>
    </row>
    <row r="14" customFormat="false" ht="22.35" hidden="false" customHeight="false" outlineLevel="0" collapsed="false">
      <c r="A14" s="57" t="s">
        <v>9291</v>
      </c>
      <c r="B14" s="58" t="s">
        <v>9249</v>
      </c>
      <c r="C14" s="58" t="s">
        <v>137</v>
      </c>
      <c r="D14" s="59" t="s">
        <v>9292</v>
      </c>
      <c r="E14" s="58" t="s">
        <v>223</v>
      </c>
      <c r="F14" s="60" t="s">
        <v>9293</v>
      </c>
      <c r="G14" s="58" t="s">
        <v>9294</v>
      </c>
      <c r="H14" s="58"/>
      <c r="I14" s="58" t="s">
        <v>9258</v>
      </c>
      <c r="J14" s="58"/>
      <c r="K14" s="58" t="s">
        <v>656</v>
      </c>
      <c r="L14" s="58"/>
      <c r="M14" s="58"/>
      <c r="N14" s="61" t="s">
        <v>91</v>
      </c>
      <c r="O14" s="58" t="s">
        <v>1820</v>
      </c>
      <c r="P14" s="61" t="n">
        <v>64</v>
      </c>
    </row>
    <row r="15" customFormat="false" ht="22.35" hidden="false" customHeight="false" outlineLevel="0" collapsed="false">
      <c r="A15" s="22" t="s">
        <v>9295</v>
      </c>
      <c r="B15" s="17" t="s">
        <v>9249</v>
      </c>
      <c r="C15" s="17" t="s">
        <v>137</v>
      </c>
      <c r="D15" s="55" t="s">
        <v>9296</v>
      </c>
      <c r="E15" s="17" t="s">
        <v>223</v>
      </c>
      <c r="F15" s="56" t="s">
        <v>9297</v>
      </c>
      <c r="G15" s="17" t="s">
        <v>9298</v>
      </c>
      <c r="H15" s="17"/>
      <c r="I15" s="17" t="s">
        <v>2801</v>
      </c>
      <c r="J15" s="17"/>
      <c r="K15" s="17" t="s">
        <v>9299</v>
      </c>
      <c r="L15" s="17"/>
      <c r="M15" s="17"/>
      <c r="N15" s="15" t="s">
        <v>91</v>
      </c>
      <c r="O15" s="17" t="s">
        <v>1820</v>
      </c>
      <c r="P15" s="15" t="n">
        <v>67</v>
      </c>
    </row>
    <row r="16" customFormat="false" ht="22.35" hidden="false" customHeight="false" outlineLevel="0" collapsed="false">
      <c r="A16" s="57" t="s">
        <v>9300</v>
      </c>
      <c r="B16" s="58" t="s">
        <v>9249</v>
      </c>
      <c r="C16" s="58" t="s">
        <v>137</v>
      </c>
      <c r="D16" s="59" t="s">
        <v>9301</v>
      </c>
      <c r="E16" s="58" t="s">
        <v>223</v>
      </c>
      <c r="F16" s="60" t="s">
        <v>9302</v>
      </c>
      <c r="G16" s="58" t="s">
        <v>9303</v>
      </c>
      <c r="H16" s="58"/>
      <c r="I16" s="58" t="s">
        <v>9286</v>
      </c>
      <c r="J16" s="58"/>
      <c r="K16" s="58" t="s">
        <v>656</v>
      </c>
      <c r="L16" s="58"/>
      <c r="M16" s="58"/>
      <c r="N16" s="61" t="s">
        <v>91</v>
      </c>
      <c r="O16" s="58" t="s">
        <v>1820</v>
      </c>
      <c r="P16" s="61" t="n">
        <v>68</v>
      </c>
    </row>
    <row r="17" customFormat="false" ht="22.35" hidden="false" customHeight="false" outlineLevel="0" collapsed="false">
      <c r="A17" s="22" t="s">
        <v>9304</v>
      </c>
      <c r="B17" s="17" t="s">
        <v>9249</v>
      </c>
      <c r="C17" s="17" t="s">
        <v>137</v>
      </c>
      <c r="D17" s="55" t="s">
        <v>9305</v>
      </c>
      <c r="E17" s="17" t="s">
        <v>223</v>
      </c>
      <c r="F17" s="56" t="s">
        <v>9306</v>
      </c>
      <c r="G17" s="17" t="s">
        <v>9307</v>
      </c>
      <c r="H17" s="17"/>
      <c r="I17" s="17" t="s">
        <v>8425</v>
      </c>
      <c r="J17" s="17"/>
      <c r="K17" s="17" t="s">
        <v>4400</v>
      </c>
      <c r="L17" s="17"/>
      <c r="M17" s="17"/>
      <c r="N17" s="15" t="s">
        <v>91</v>
      </c>
      <c r="O17" s="17" t="s">
        <v>1820</v>
      </c>
      <c r="P17" s="15" t="n">
        <v>71</v>
      </c>
    </row>
    <row r="18" customFormat="false" ht="22.35" hidden="false" customHeight="false" outlineLevel="0" collapsed="false">
      <c r="A18" s="57" t="s">
        <v>9308</v>
      </c>
      <c r="B18" s="58" t="s">
        <v>9249</v>
      </c>
      <c r="C18" s="58" t="s">
        <v>137</v>
      </c>
      <c r="D18" s="59" t="s">
        <v>9309</v>
      </c>
      <c r="E18" s="58" t="s">
        <v>223</v>
      </c>
      <c r="F18" s="60" t="s">
        <v>9310</v>
      </c>
      <c r="G18" s="58" t="s">
        <v>9311</v>
      </c>
      <c r="H18" s="58"/>
      <c r="I18" s="58" t="s">
        <v>9312</v>
      </c>
      <c r="J18" s="58"/>
      <c r="K18" s="58" t="s">
        <v>4400</v>
      </c>
      <c r="L18" s="58"/>
      <c r="M18" s="58"/>
      <c r="N18" s="61" t="s">
        <v>91</v>
      </c>
      <c r="O18" s="58" t="s">
        <v>1820</v>
      </c>
      <c r="P18" s="61" t="n">
        <v>72</v>
      </c>
    </row>
    <row r="19" customFormat="false" ht="43.25" hidden="false" customHeight="false" outlineLevel="0" collapsed="false">
      <c r="A19" s="22" t="s">
        <v>9313</v>
      </c>
      <c r="B19" s="17" t="s">
        <v>9249</v>
      </c>
      <c r="C19" s="17" t="s">
        <v>137</v>
      </c>
      <c r="D19" s="55" t="s">
        <v>9314</v>
      </c>
      <c r="E19" s="17" t="s">
        <v>222</v>
      </c>
      <c r="F19" s="56" t="s">
        <v>9315</v>
      </c>
      <c r="G19" s="17" t="s">
        <v>9316</v>
      </c>
      <c r="H19" s="17"/>
      <c r="I19" s="17" t="s">
        <v>9317</v>
      </c>
      <c r="J19" s="17"/>
      <c r="K19" s="17"/>
      <c r="L19" s="17" t="s">
        <v>9318</v>
      </c>
      <c r="M19" s="17" t="s">
        <v>9319</v>
      </c>
      <c r="N19" s="15" t="s">
        <v>91</v>
      </c>
      <c r="O19" s="17" t="s">
        <v>1820</v>
      </c>
      <c r="P19" s="15" t="n">
        <v>79</v>
      </c>
    </row>
    <row r="20" customFormat="false" ht="22.35" hidden="false" customHeight="false" outlineLevel="0" collapsed="false">
      <c r="A20" s="57" t="s">
        <v>9320</v>
      </c>
      <c r="B20" s="58" t="s">
        <v>9249</v>
      </c>
      <c r="C20" s="58" t="s">
        <v>137</v>
      </c>
      <c r="D20" s="59" t="s">
        <v>1859</v>
      </c>
      <c r="E20" s="58" t="s">
        <v>222</v>
      </c>
      <c r="F20" s="60" t="s">
        <v>1815</v>
      </c>
      <c r="G20" s="58" t="s">
        <v>9321</v>
      </c>
      <c r="H20" s="58"/>
      <c r="I20" s="58" t="s">
        <v>1046</v>
      </c>
      <c r="J20" s="58"/>
      <c r="K20" s="58" t="s">
        <v>1046</v>
      </c>
      <c r="L20" s="58" t="s">
        <v>9322</v>
      </c>
      <c r="M20" s="58"/>
      <c r="N20" s="61" t="s">
        <v>91</v>
      </c>
      <c r="O20" s="58" t="s">
        <v>1820</v>
      </c>
      <c r="P20" s="61" t="n">
        <v>90</v>
      </c>
    </row>
    <row r="21" customFormat="false" ht="22.35" hidden="false" customHeight="false" outlineLevel="0" collapsed="false">
      <c r="A21" s="22" t="s">
        <v>9323</v>
      </c>
      <c r="B21" s="17" t="s">
        <v>9249</v>
      </c>
      <c r="C21" s="17" t="s">
        <v>137</v>
      </c>
      <c r="D21" s="55" t="s">
        <v>1851</v>
      </c>
      <c r="E21" s="17" t="s">
        <v>222</v>
      </c>
      <c r="F21" s="56" t="s">
        <v>1823</v>
      </c>
      <c r="G21" s="17" t="s">
        <v>9324</v>
      </c>
      <c r="H21" s="17" t="s">
        <v>1046</v>
      </c>
      <c r="I21" s="17" t="s">
        <v>9325</v>
      </c>
      <c r="J21" s="17"/>
      <c r="K21" s="17"/>
      <c r="L21" s="17" t="s">
        <v>9326</v>
      </c>
      <c r="M21" s="17"/>
      <c r="N21" s="15" t="s">
        <v>91</v>
      </c>
      <c r="O21" s="17" t="s">
        <v>1820</v>
      </c>
      <c r="P21" s="15" t="n">
        <v>98</v>
      </c>
    </row>
    <row r="22" customFormat="false" ht="22.35" hidden="false" customHeight="false" outlineLevel="0" collapsed="false">
      <c r="A22" s="57" t="s">
        <v>9327</v>
      </c>
      <c r="B22" s="58" t="s">
        <v>9249</v>
      </c>
      <c r="C22" s="58" t="s">
        <v>137</v>
      </c>
      <c r="D22" s="59" t="s">
        <v>9328</v>
      </c>
      <c r="E22" s="58" t="s">
        <v>222</v>
      </c>
      <c r="F22" s="60" t="s">
        <v>2649</v>
      </c>
      <c r="G22" s="58" t="s">
        <v>9329</v>
      </c>
      <c r="H22" s="58" t="s">
        <v>1046</v>
      </c>
      <c r="I22" s="58" t="s">
        <v>3069</v>
      </c>
      <c r="J22" s="58"/>
      <c r="K22" s="58"/>
      <c r="L22" s="58"/>
      <c r="M22" s="58"/>
      <c r="N22" s="61" t="s">
        <v>91</v>
      </c>
      <c r="O22" s="58" t="s">
        <v>1820</v>
      </c>
      <c r="P22" s="61" t="n">
        <v>105</v>
      </c>
    </row>
    <row r="23" customFormat="false" ht="32.8" hidden="false" customHeight="false" outlineLevel="0" collapsed="false">
      <c r="A23" s="22" t="s">
        <v>9330</v>
      </c>
      <c r="B23" s="17" t="s">
        <v>9249</v>
      </c>
      <c r="C23" s="17" t="s">
        <v>137</v>
      </c>
      <c r="D23" s="55" t="s">
        <v>9331</v>
      </c>
      <c r="E23" s="17" t="s">
        <v>222</v>
      </c>
      <c r="F23" s="56" t="s">
        <v>1830</v>
      </c>
      <c r="G23" s="17" t="s">
        <v>9332</v>
      </c>
      <c r="H23" s="17" t="s">
        <v>3299</v>
      </c>
      <c r="I23" s="17" t="s">
        <v>9333</v>
      </c>
      <c r="J23" s="17" t="s">
        <v>9334</v>
      </c>
      <c r="K23" s="17" t="s">
        <v>607</v>
      </c>
      <c r="L23" s="17" t="s">
        <v>9335</v>
      </c>
      <c r="M23" s="17" t="s">
        <v>9336</v>
      </c>
      <c r="N23" s="15" t="s">
        <v>91</v>
      </c>
      <c r="O23" s="17" t="s">
        <v>1820</v>
      </c>
      <c r="P23" s="15" t="n">
        <v>114</v>
      </c>
    </row>
    <row r="24" customFormat="false" ht="22.35" hidden="false" customHeight="false" outlineLevel="0" collapsed="false">
      <c r="A24" s="57" t="s">
        <v>9337</v>
      </c>
      <c r="B24" s="58" t="s">
        <v>9249</v>
      </c>
      <c r="C24" s="58" t="s">
        <v>137</v>
      </c>
      <c r="D24" s="59" t="s">
        <v>9338</v>
      </c>
      <c r="E24" s="58" t="s">
        <v>222</v>
      </c>
      <c r="F24" s="60" t="s">
        <v>1839</v>
      </c>
      <c r="G24" s="58" t="s">
        <v>9339</v>
      </c>
      <c r="H24" s="58" t="s">
        <v>3299</v>
      </c>
      <c r="I24" s="58" t="s">
        <v>9340</v>
      </c>
      <c r="J24" s="58" t="s">
        <v>9341</v>
      </c>
      <c r="K24" s="58" t="s">
        <v>607</v>
      </c>
      <c r="L24" s="58" t="s">
        <v>9342</v>
      </c>
      <c r="M24" s="58"/>
      <c r="N24" s="61" t="s">
        <v>91</v>
      </c>
      <c r="O24" s="58" t="s">
        <v>1820</v>
      </c>
      <c r="P24" s="61" t="n">
        <v>125</v>
      </c>
    </row>
    <row r="25" customFormat="false" ht="32.8" hidden="false" customHeight="false" outlineLevel="0" collapsed="false">
      <c r="A25" s="22" t="s">
        <v>9343</v>
      </c>
      <c r="B25" s="17" t="s">
        <v>9249</v>
      </c>
      <c r="C25" s="17" t="s">
        <v>137</v>
      </c>
      <c r="D25" s="55" t="s">
        <v>9344</v>
      </c>
      <c r="E25" s="17" t="s">
        <v>222</v>
      </c>
      <c r="F25" s="56" t="s">
        <v>9345</v>
      </c>
      <c r="G25" s="17" t="s">
        <v>9346</v>
      </c>
      <c r="H25" s="17" t="s">
        <v>3299</v>
      </c>
      <c r="I25" s="17" t="s">
        <v>3235</v>
      </c>
      <c r="J25" s="17"/>
      <c r="K25" s="17"/>
      <c r="L25" s="17" t="s">
        <v>9335</v>
      </c>
      <c r="M25" s="17"/>
      <c r="N25" s="15" t="s">
        <v>91</v>
      </c>
      <c r="O25" s="17" t="s">
        <v>1820</v>
      </c>
      <c r="P25" s="15" t="n">
        <v>135</v>
      </c>
    </row>
    <row r="26" customFormat="false" ht="22.35" hidden="false" customHeight="false" outlineLevel="0" collapsed="false">
      <c r="A26" s="57" t="s">
        <v>9347</v>
      </c>
      <c r="B26" s="58" t="s">
        <v>9249</v>
      </c>
      <c r="C26" s="58" t="s">
        <v>137</v>
      </c>
      <c r="D26" s="59" t="s">
        <v>9348</v>
      </c>
      <c r="E26" s="58" t="s">
        <v>222</v>
      </c>
      <c r="F26" s="60" t="s">
        <v>9349</v>
      </c>
      <c r="G26" s="58" t="s">
        <v>9350</v>
      </c>
      <c r="H26" s="58" t="s">
        <v>4504</v>
      </c>
      <c r="I26" s="58" t="s">
        <v>3069</v>
      </c>
      <c r="J26" s="58"/>
      <c r="K26" s="58"/>
      <c r="L26" s="58"/>
      <c r="M26" s="58"/>
      <c r="N26" s="61" t="s">
        <v>91</v>
      </c>
      <c r="O26" s="58" t="s">
        <v>1820</v>
      </c>
      <c r="P26" s="61" t="n">
        <v>146</v>
      </c>
    </row>
    <row r="27" customFormat="false" ht="64.15" hidden="false" customHeight="false" outlineLevel="0" collapsed="false">
      <c r="A27" s="22" t="s">
        <v>9351</v>
      </c>
      <c r="B27" s="17" t="s">
        <v>9249</v>
      </c>
      <c r="C27" s="17" t="s">
        <v>137</v>
      </c>
      <c r="D27" s="55" t="s">
        <v>9352</v>
      </c>
      <c r="E27" s="17" t="s">
        <v>222</v>
      </c>
      <c r="F27" s="56" t="s">
        <v>9353</v>
      </c>
      <c r="G27" s="17" t="s">
        <v>9354</v>
      </c>
      <c r="H27" s="17" t="s">
        <v>9355</v>
      </c>
      <c r="I27" s="17" t="s">
        <v>9356</v>
      </c>
      <c r="J27" s="17"/>
      <c r="K27" s="17"/>
      <c r="L27" s="17" t="s">
        <v>9357</v>
      </c>
      <c r="M27" s="17" t="s">
        <v>9358</v>
      </c>
      <c r="N27" s="15" t="s">
        <v>91</v>
      </c>
      <c r="O27" s="17" t="s">
        <v>1820</v>
      </c>
      <c r="P27" s="15" t="n">
        <v>160</v>
      </c>
    </row>
    <row r="28" customFormat="false" ht="22.35" hidden="false" customHeight="false" outlineLevel="0" collapsed="false">
      <c r="A28" s="57" t="s">
        <v>9359</v>
      </c>
      <c r="B28" s="58" t="s">
        <v>9249</v>
      </c>
      <c r="C28" s="58" t="s">
        <v>137</v>
      </c>
      <c r="D28" s="59" t="s">
        <v>9360</v>
      </c>
      <c r="E28" s="58" t="s">
        <v>222</v>
      </c>
      <c r="F28" s="60" t="s">
        <v>9361</v>
      </c>
      <c r="G28" s="58" t="s">
        <v>9362</v>
      </c>
      <c r="H28" s="58" t="s">
        <v>9356</v>
      </c>
      <c r="I28" s="58" t="s">
        <v>3069</v>
      </c>
      <c r="J28" s="58"/>
      <c r="K28" s="58"/>
      <c r="L28" s="58"/>
      <c r="M28" s="58"/>
      <c r="N28" s="61" t="s">
        <v>91</v>
      </c>
      <c r="O28" s="58" t="s">
        <v>1820</v>
      </c>
      <c r="P28" s="61" t="n">
        <v>181</v>
      </c>
    </row>
    <row r="29" customFormat="false" ht="22.35" hidden="false" customHeight="false" outlineLevel="0" collapsed="false">
      <c r="A29" s="22" t="s">
        <v>9363</v>
      </c>
      <c r="B29" s="17" t="s">
        <v>9249</v>
      </c>
      <c r="C29" s="17" t="s">
        <v>137</v>
      </c>
      <c r="D29" s="55" t="s">
        <v>4432</v>
      </c>
      <c r="E29" s="17" t="s">
        <v>221</v>
      </c>
      <c r="F29" s="56" t="s">
        <v>9364</v>
      </c>
      <c r="G29" s="17" t="s">
        <v>9365</v>
      </c>
      <c r="H29" s="17"/>
      <c r="I29" s="17" t="s">
        <v>9366</v>
      </c>
      <c r="J29" s="17"/>
      <c r="K29" s="17"/>
      <c r="L29" s="17"/>
      <c r="M29" s="17"/>
      <c r="N29" s="15" t="s">
        <v>91</v>
      </c>
      <c r="O29" s="17" t="s">
        <v>1820</v>
      </c>
      <c r="P29" s="15" t="n">
        <v>210</v>
      </c>
    </row>
    <row r="30" customFormat="false" ht="22.35" hidden="false" customHeight="false" outlineLevel="0" collapsed="false">
      <c r="A30" s="57" t="s">
        <v>9367</v>
      </c>
      <c r="B30" s="58" t="s">
        <v>9249</v>
      </c>
      <c r="C30" s="58" t="s">
        <v>137</v>
      </c>
      <c r="D30" s="59" t="s">
        <v>4439</v>
      </c>
      <c r="E30" s="58" t="s">
        <v>221</v>
      </c>
      <c r="F30" s="60" t="s">
        <v>9368</v>
      </c>
      <c r="G30" s="58" t="s">
        <v>9369</v>
      </c>
      <c r="H30" s="58" t="s">
        <v>9370</v>
      </c>
      <c r="I30" s="58" t="s">
        <v>4435</v>
      </c>
      <c r="J30" s="58"/>
      <c r="K30" s="58"/>
      <c r="L30" s="58"/>
      <c r="M30" s="58"/>
      <c r="N30" s="61" t="s">
        <v>91</v>
      </c>
      <c r="O30" s="58" t="s">
        <v>1820</v>
      </c>
      <c r="P30" s="61" t="n">
        <v>226</v>
      </c>
    </row>
    <row r="31" customFormat="false" ht="43.25" hidden="false" customHeight="false" outlineLevel="0" collapsed="false">
      <c r="A31" s="22" t="s">
        <v>9371</v>
      </c>
      <c r="B31" s="17" t="s">
        <v>9249</v>
      </c>
      <c r="C31" s="17" t="s">
        <v>137</v>
      </c>
      <c r="D31" s="55" t="s">
        <v>4479</v>
      </c>
      <c r="E31" s="17" t="s">
        <v>221</v>
      </c>
      <c r="F31" s="56" t="s">
        <v>9372</v>
      </c>
      <c r="G31" s="17" t="s">
        <v>9373</v>
      </c>
      <c r="H31" s="17" t="s">
        <v>9374</v>
      </c>
      <c r="I31" s="17" t="s">
        <v>3235</v>
      </c>
      <c r="J31" s="17"/>
      <c r="K31" s="17" t="s">
        <v>9375</v>
      </c>
      <c r="L31" s="17"/>
      <c r="M31" s="17" t="s">
        <v>9376</v>
      </c>
      <c r="N31" s="15" t="s">
        <v>91</v>
      </c>
      <c r="O31" s="17" t="s">
        <v>1820</v>
      </c>
      <c r="P31" s="15" t="n">
        <v>250</v>
      </c>
    </row>
    <row r="32" customFormat="false" ht="22.35" hidden="false" customHeight="false" outlineLevel="0" collapsed="false">
      <c r="A32" s="57" t="s">
        <v>9377</v>
      </c>
      <c r="B32" s="58" t="s">
        <v>9249</v>
      </c>
      <c r="C32" s="58" t="s">
        <v>137</v>
      </c>
      <c r="D32" s="59" t="s">
        <v>9378</v>
      </c>
      <c r="E32" s="58" t="s">
        <v>221</v>
      </c>
      <c r="F32" s="60" t="s">
        <v>9379</v>
      </c>
      <c r="G32" s="58" t="s">
        <v>9380</v>
      </c>
      <c r="H32" s="58"/>
      <c r="I32" s="58" t="s">
        <v>9381</v>
      </c>
      <c r="J32" s="58"/>
      <c r="K32" s="58"/>
      <c r="L32" s="58"/>
      <c r="M32" s="58"/>
      <c r="N32" s="61" t="s">
        <v>91</v>
      </c>
      <c r="O32" s="58" t="s">
        <v>1820</v>
      </c>
      <c r="P32" s="61" t="n">
        <v>308</v>
      </c>
    </row>
    <row r="33" customFormat="false" ht="22.35" hidden="false" customHeight="false" outlineLevel="0" collapsed="false">
      <c r="A33" s="22" t="s">
        <v>9382</v>
      </c>
      <c r="B33" s="17" t="s">
        <v>9249</v>
      </c>
      <c r="C33" s="17" t="s">
        <v>137</v>
      </c>
      <c r="D33" s="55" t="s">
        <v>4446</v>
      </c>
      <c r="E33" s="17" t="s">
        <v>221</v>
      </c>
      <c r="F33" s="56" t="s">
        <v>9383</v>
      </c>
      <c r="G33" s="17" t="s">
        <v>9384</v>
      </c>
      <c r="H33" s="17"/>
      <c r="I33" s="17" t="s">
        <v>3235</v>
      </c>
      <c r="J33" s="17"/>
      <c r="K33" s="17"/>
      <c r="L33" s="17"/>
      <c r="M33" s="17"/>
      <c r="N33" s="15" t="s">
        <v>91</v>
      </c>
      <c r="O33" s="17" t="s">
        <v>1820</v>
      </c>
      <c r="P33" s="15" t="n">
        <v>330</v>
      </c>
    </row>
    <row r="34" customFormat="false" ht="22.35" hidden="false" customHeight="false" outlineLevel="0" collapsed="false">
      <c r="A34" s="57" t="s">
        <v>9385</v>
      </c>
      <c r="B34" s="58" t="s">
        <v>9249</v>
      </c>
      <c r="C34" s="58" t="s">
        <v>137</v>
      </c>
      <c r="D34" s="59" t="s">
        <v>4470</v>
      </c>
      <c r="E34" s="58" t="s">
        <v>221</v>
      </c>
      <c r="F34" s="60" t="s">
        <v>9386</v>
      </c>
      <c r="G34" s="58" t="s">
        <v>9387</v>
      </c>
      <c r="H34" s="58"/>
      <c r="I34" s="58" t="s">
        <v>9388</v>
      </c>
      <c r="J34" s="58"/>
      <c r="K34" s="58"/>
      <c r="L34" s="58"/>
      <c r="M34" s="58"/>
      <c r="N34" s="61" t="s">
        <v>91</v>
      </c>
      <c r="O34" s="58" t="s">
        <v>1820</v>
      </c>
      <c r="P34" s="61" t="n">
        <v>375</v>
      </c>
    </row>
    <row r="35" customFormat="false" ht="43.25" hidden="false" customHeight="false" outlineLevel="0" collapsed="false">
      <c r="A35" s="22" t="s">
        <v>9389</v>
      </c>
      <c r="B35" s="17" t="s">
        <v>9249</v>
      </c>
      <c r="C35" s="17" t="s">
        <v>137</v>
      </c>
      <c r="D35" s="55" t="s">
        <v>4426</v>
      </c>
      <c r="E35" s="17" t="s">
        <v>221</v>
      </c>
      <c r="F35" s="56" t="s">
        <v>9390</v>
      </c>
      <c r="G35" s="17" t="s">
        <v>9391</v>
      </c>
      <c r="H35" s="17"/>
      <c r="I35" s="17"/>
      <c r="J35" s="17"/>
      <c r="K35" s="17" t="s">
        <v>656</v>
      </c>
      <c r="L35" s="17"/>
      <c r="M35" s="17" t="s">
        <v>9392</v>
      </c>
      <c r="N35" s="15" t="s">
        <v>91</v>
      </c>
      <c r="O35" s="17" t="s">
        <v>1820</v>
      </c>
      <c r="P35" s="15" t="n">
        <v>410</v>
      </c>
    </row>
    <row r="36" customFormat="false" ht="43.25" hidden="false" customHeight="false" outlineLevel="0" collapsed="false">
      <c r="A36" s="57" t="s">
        <v>9393</v>
      </c>
      <c r="B36" s="58" t="s">
        <v>9249</v>
      </c>
      <c r="C36" s="58" t="s">
        <v>137</v>
      </c>
      <c r="D36" s="59" t="s">
        <v>4522</v>
      </c>
      <c r="E36" s="58" t="s">
        <v>221</v>
      </c>
      <c r="F36" s="60" t="s">
        <v>9394</v>
      </c>
      <c r="G36" s="58" t="s">
        <v>9395</v>
      </c>
      <c r="H36" s="58" t="s">
        <v>4509</v>
      </c>
      <c r="I36" s="58" t="s">
        <v>9396</v>
      </c>
      <c r="J36" s="58"/>
      <c r="K36" s="58"/>
      <c r="L36" s="58" t="s">
        <v>9397</v>
      </c>
      <c r="M36" s="58" t="s">
        <v>9398</v>
      </c>
      <c r="N36" s="61" t="s">
        <v>91</v>
      </c>
      <c r="O36" s="58" t="s">
        <v>1820</v>
      </c>
      <c r="P36" s="61" t="n">
        <v>479</v>
      </c>
    </row>
    <row r="37" customFormat="false" ht="43.25" hidden="false" customHeight="false" outlineLevel="0" collapsed="false">
      <c r="A37" s="22" t="s">
        <v>9399</v>
      </c>
      <c r="B37" s="17" t="s">
        <v>9249</v>
      </c>
      <c r="C37" s="17" t="s">
        <v>137</v>
      </c>
      <c r="D37" s="55" t="s">
        <v>4653</v>
      </c>
      <c r="E37" s="17" t="s">
        <v>221</v>
      </c>
      <c r="F37" s="56" t="s">
        <v>9400</v>
      </c>
      <c r="G37" s="17" t="s">
        <v>9401</v>
      </c>
      <c r="H37" s="17" t="s">
        <v>9402</v>
      </c>
      <c r="I37" s="17" t="s">
        <v>3235</v>
      </c>
      <c r="J37" s="17"/>
      <c r="K37" s="17" t="s">
        <v>656</v>
      </c>
      <c r="L37" s="17"/>
      <c r="M37" s="17" t="s">
        <v>9403</v>
      </c>
      <c r="N37" s="15" t="s">
        <v>91</v>
      </c>
      <c r="O37" s="17" t="s">
        <v>1820</v>
      </c>
      <c r="P37" s="15" t="n">
        <v>688</v>
      </c>
    </row>
    <row r="38" customFormat="false" ht="22.35" hidden="false" customHeight="false" outlineLevel="0" collapsed="false">
      <c r="A38" s="57" t="s">
        <v>9404</v>
      </c>
      <c r="B38" s="58" t="s">
        <v>9249</v>
      </c>
      <c r="C38" s="58" t="s">
        <v>137</v>
      </c>
      <c r="D38" s="59" t="s">
        <v>9405</v>
      </c>
      <c r="E38" s="58" t="s">
        <v>221</v>
      </c>
      <c r="F38" s="60" t="s">
        <v>9406</v>
      </c>
      <c r="G38" s="58" t="s">
        <v>9407</v>
      </c>
      <c r="H38" s="58"/>
      <c r="I38" s="58" t="s">
        <v>3235</v>
      </c>
      <c r="J38" s="58"/>
      <c r="K38" s="58"/>
      <c r="L38" s="58" t="s">
        <v>9408</v>
      </c>
      <c r="M38" s="58"/>
      <c r="N38" s="61" t="s">
        <v>91</v>
      </c>
      <c r="O38" s="58" t="s">
        <v>1820</v>
      </c>
      <c r="P38" s="61" t="n">
        <v>734</v>
      </c>
    </row>
    <row r="39" customFormat="false" ht="32.8" hidden="false" customHeight="false" outlineLevel="0" collapsed="false">
      <c r="A39" s="22" t="s">
        <v>9409</v>
      </c>
      <c r="B39" s="17" t="s">
        <v>9249</v>
      </c>
      <c r="C39" s="17" t="s">
        <v>137</v>
      </c>
      <c r="D39" s="55" t="s">
        <v>9410</v>
      </c>
      <c r="E39" s="17" t="s">
        <v>221</v>
      </c>
      <c r="F39" s="56" t="s">
        <v>9411</v>
      </c>
      <c r="G39" s="17" t="s">
        <v>9412</v>
      </c>
      <c r="H39" s="17" t="s">
        <v>5242</v>
      </c>
      <c r="I39" s="17" t="s">
        <v>3235</v>
      </c>
      <c r="J39" s="17"/>
      <c r="K39" s="17" t="s">
        <v>1046</v>
      </c>
      <c r="L39" s="17" t="s">
        <v>9413</v>
      </c>
      <c r="M39" s="17" t="s">
        <v>9414</v>
      </c>
      <c r="N39" s="15" t="s">
        <v>91</v>
      </c>
      <c r="O39" s="17" t="s">
        <v>1820</v>
      </c>
      <c r="P39" s="15" t="n">
        <v>740</v>
      </c>
    </row>
    <row r="40" customFormat="false" ht="22.35" hidden="false" customHeight="false" outlineLevel="0" collapsed="false">
      <c r="A40" s="57" t="s">
        <v>9415</v>
      </c>
      <c r="B40" s="58" t="s">
        <v>9249</v>
      </c>
      <c r="C40" s="58" t="s">
        <v>137</v>
      </c>
      <c r="D40" s="59" t="s">
        <v>9416</v>
      </c>
      <c r="E40" s="58" t="s">
        <v>221</v>
      </c>
      <c r="F40" s="60" t="s">
        <v>9417</v>
      </c>
      <c r="G40" s="58" t="s">
        <v>9418</v>
      </c>
      <c r="H40" s="58"/>
      <c r="I40" s="58"/>
      <c r="J40" s="58"/>
      <c r="K40" s="58"/>
      <c r="L40" s="58" t="s">
        <v>9419</v>
      </c>
      <c r="M40" s="58" t="s">
        <v>9420</v>
      </c>
      <c r="N40" s="61" t="s">
        <v>91</v>
      </c>
      <c r="O40" s="58" t="s">
        <v>1820</v>
      </c>
      <c r="P40" s="61" t="n">
        <v>757</v>
      </c>
    </row>
    <row r="41" customFormat="false" ht="22.35" hidden="false" customHeight="false" outlineLevel="0" collapsed="false">
      <c r="A41" s="22" t="s">
        <v>9421</v>
      </c>
      <c r="B41" s="17" t="s">
        <v>9249</v>
      </c>
      <c r="C41" s="17" t="s">
        <v>137</v>
      </c>
      <c r="D41" s="55" t="s">
        <v>9422</v>
      </c>
      <c r="E41" s="17" t="s">
        <v>221</v>
      </c>
      <c r="F41" s="56" t="s">
        <v>9423</v>
      </c>
      <c r="G41" s="17" t="s">
        <v>9424</v>
      </c>
      <c r="H41" s="17"/>
      <c r="I41" s="17" t="s">
        <v>3235</v>
      </c>
      <c r="J41" s="17" t="s">
        <v>9425</v>
      </c>
      <c r="K41" s="17"/>
      <c r="L41" s="17"/>
      <c r="M41" s="17"/>
      <c r="N41" s="15" t="s">
        <v>91</v>
      </c>
      <c r="O41" s="17" t="s">
        <v>1820</v>
      </c>
      <c r="P41" s="15" t="n">
        <v>771</v>
      </c>
    </row>
    <row r="42" customFormat="false" ht="32.8" hidden="false" customHeight="false" outlineLevel="0" collapsed="false">
      <c r="A42" s="57" t="s">
        <v>9426</v>
      </c>
      <c r="B42" s="58" t="s">
        <v>9249</v>
      </c>
      <c r="C42" s="58" t="s">
        <v>137</v>
      </c>
      <c r="D42" s="59" t="s">
        <v>9427</v>
      </c>
      <c r="E42" s="58" t="s">
        <v>221</v>
      </c>
      <c r="F42" s="60" t="s">
        <v>9428</v>
      </c>
      <c r="G42" s="58" t="s">
        <v>9429</v>
      </c>
      <c r="H42" s="58" t="s">
        <v>9430</v>
      </c>
      <c r="I42" s="58"/>
      <c r="J42" s="58"/>
      <c r="K42" s="58"/>
      <c r="L42" s="58" t="s">
        <v>9431</v>
      </c>
      <c r="M42" s="58"/>
      <c r="N42" s="61" t="s">
        <v>91</v>
      </c>
      <c r="O42" s="58" t="s">
        <v>1820</v>
      </c>
      <c r="P42" s="61" t="n">
        <v>781</v>
      </c>
    </row>
    <row r="43" customFormat="false" ht="43.25" hidden="false" customHeight="false" outlineLevel="0" collapsed="false">
      <c r="A43" s="22" t="s">
        <v>9432</v>
      </c>
      <c r="B43" s="17" t="s">
        <v>9249</v>
      </c>
      <c r="C43" s="17" t="s">
        <v>137</v>
      </c>
      <c r="D43" s="55" t="s">
        <v>9433</v>
      </c>
      <c r="E43" s="17" t="s">
        <v>221</v>
      </c>
      <c r="F43" s="56" t="s">
        <v>9434</v>
      </c>
      <c r="G43" s="17" t="s">
        <v>9435</v>
      </c>
      <c r="H43" s="17" t="s">
        <v>9436</v>
      </c>
      <c r="I43" s="17" t="s">
        <v>9437</v>
      </c>
      <c r="J43" s="17"/>
      <c r="K43" s="17"/>
      <c r="L43" s="17" t="s">
        <v>9438</v>
      </c>
      <c r="M43" s="17" t="s">
        <v>9439</v>
      </c>
      <c r="N43" s="15" t="s">
        <v>91</v>
      </c>
      <c r="O43" s="17" t="s">
        <v>1820</v>
      </c>
      <c r="P43" s="15" t="n">
        <v>801</v>
      </c>
    </row>
    <row r="44" customFormat="false" ht="43.25" hidden="false" customHeight="false" outlineLevel="0" collapsed="false">
      <c r="A44" s="57" t="s">
        <v>9440</v>
      </c>
      <c r="B44" s="58" t="s">
        <v>9249</v>
      </c>
      <c r="C44" s="58" t="s">
        <v>137</v>
      </c>
      <c r="D44" s="59" t="s">
        <v>9441</v>
      </c>
      <c r="E44" s="58" t="s">
        <v>221</v>
      </c>
      <c r="F44" s="60" t="s">
        <v>9442</v>
      </c>
      <c r="G44" s="58" t="s">
        <v>9443</v>
      </c>
      <c r="H44" s="58" t="s">
        <v>9436</v>
      </c>
      <c r="I44" s="58"/>
      <c r="J44" s="58"/>
      <c r="K44" s="58"/>
      <c r="L44" s="58" t="s">
        <v>9444</v>
      </c>
      <c r="M44" s="58" t="s">
        <v>9445</v>
      </c>
      <c r="N44" s="61" t="s">
        <v>91</v>
      </c>
      <c r="O44" s="58" t="s">
        <v>1820</v>
      </c>
      <c r="P44" s="61" t="n">
        <v>846</v>
      </c>
    </row>
    <row r="45" customFormat="false" ht="22.35" hidden="false" customHeight="false" outlineLevel="0" collapsed="false">
      <c r="A45" s="22" t="s">
        <v>9446</v>
      </c>
      <c r="B45" s="17" t="s">
        <v>9249</v>
      </c>
      <c r="C45" s="17" t="s">
        <v>137</v>
      </c>
      <c r="D45" s="55" t="s">
        <v>9447</v>
      </c>
      <c r="E45" s="17" t="s">
        <v>221</v>
      </c>
      <c r="F45" s="56" t="s">
        <v>9448</v>
      </c>
      <c r="G45" s="17" t="s">
        <v>9449</v>
      </c>
      <c r="H45" s="17"/>
      <c r="I45" s="17" t="s">
        <v>3235</v>
      </c>
      <c r="J45" s="17" t="s">
        <v>9450</v>
      </c>
      <c r="K45" s="17"/>
      <c r="L45" s="17"/>
      <c r="M45" s="17"/>
      <c r="N45" s="15" t="s">
        <v>91</v>
      </c>
      <c r="O45" s="17" t="s">
        <v>1820</v>
      </c>
      <c r="P45" s="15" t="n">
        <v>878</v>
      </c>
    </row>
    <row r="46" customFormat="false" ht="43.25" hidden="false" customHeight="false" outlineLevel="0" collapsed="false">
      <c r="A46" s="57" t="s">
        <v>9451</v>
      </c>
      <c r="B46" s="58" t="s">
        <v>9249</v>
      </c>
      <c r="C46" s="58" t="s">
        <v>137</v>
      </c>
      <c r="D46" s="59" t="s">
        <v>9452</v>
      </c>
      <c r="E46" s="58" t="s">
        <v>221</v>
      </c>
      <c r="F46" s="60" t="s">
        <v>9453</v>
      </c>
      <c r="G46" s="58" t="s">
        <v>9454</v>
      </c>
      <c r="H46" s="58" t="s">
        <v>9436</v>
      </c>
      <c r="I46" s="58"/>
      <c r="J46" s="58"/>
      <c r="K46" s="58"/>
      <c r="L46" s="58" t="s">
        <v>9455</v>
      </c>
      <c r="M46" s="58" t="s">
        <v>9456</v>
      </c>
      <c r="N46" s="61" t="s">
        <v>91</v>
      </c>
      <c r="O46" s="58" t="s">
        <v>1820</v>
      </c>
      <c r="P46" s="61" t="n">
        <v>888</v>
      </c>
    </row>
    <row r="47" customFormat="false" ht="32.8" hidden="false" customHeight="false" outlineLevel="0" collapsed="false">
      <c r="A47" s="22" t="s">
        <v>9457</v>
      </c>
      <c r="B47" s="17" t="s">
        <v>9249</v>
      </c>
      <c r="C47" s="17" t="s">
        <v>137</v>
      </c>
      <c r="D47" s="55" t="s">
        <v>4552</v>
      </c>
      <c r="E47" s="17" t="s">
        <v>221</v>
      </c>
      <c r="F47" s="56" t="s">
        <v>9458</v>
      </c>
      <c r="G47" s="17" t="s">
        <v>9459</v>
      </c>
      <c r="H47" s="17" t="s">
        <v>9430</v>
      </c>
      <c r="I47" s="17" t="s">
        <v>9460</v>
      </c>
      <c r="J47" s="17"/>
      <c r="K47" s="17"/>
      <c r="L47" s="17" t="s">
        <v>9461</v>
      </c>
      <c r="M47" s="17" t="s">
        <v>9462</v>
      </c>
      <c r="N47" s="15" t="s">
        <v>91</v>
      </c>
      <c r="O47" s="17" t="s">
        <v>1820</v>
      </c>
      <c r="P47" s="15" t="n">
        <v>916</v>
      </c>
    </row>
    <row r="48" customFormat="false" ht="22.35" hidden="false" customHeight="false" outlineLevel="0" collapsed="false">
      <c r="A48" s="57" t="s">
        <v>9463</v>
      </c>
      <c r="B48" s="58" t="s">
        <v>9249</v>
      </c>
      <c r="C48" s="58" t="s">
        <v>137</v>
      </c>
      <c r="D48" s="59" t="s">
        <v>4545</v>
      </c>
      <c r="E48" s="58" t="s">
        <v>221</v>
      </c>
      <c r="F48" s="60" t="s">
        <v>9464</v>
      </c>
      <c r="G48" s="58" t="s">
        <v>9465</v>
      </c>
      <c r="H48" s="58"/>
      <c r="I48" s="58" t="s">
        <v>3235</v>
      </c>
      <c r="J48" s="58"/>
      <c r="K48" s="58"/>
      <c r="L48" s="58"/>
      <c r="M48" s="58"/>
      <c r="N48" s="61" t="s">
        <v>91</v>
      </c>
      <c r="O48" s="58" t="s">
        <v>1820</v>
      </c>
      <c r="P48" s="61" t="n">
        <v>932</v>
      </c>
    </row>
    <row r="49" customFormat="false" ht="32.8" hidden="false" customHeight="false" outlineLevel="0" collapsed="false">
      <c r="A49" s="22" t="s">
        <v>9466</v>
      </c>
      <c r="B49" s="17" t="s">
        <v>9249</v>
      </c>
      <c r="C49" s="17" t="s">
        <v>137</v>
      </c>
      <c r="D49" s="55" t="s">
        <v>4537</v>
      </c>
      <c r="E49" s="17" t="s">
        <v>221</v>
      </c>
      <c r="F49" s="56" t="s">
        <v>9467</v>
      </c>
      <c r="G49" s="17" t="s">
        <v>9468</v>
      </c>
      <c r="H49" s="17" t="s">
        <v>5242</v>
      </c>
      <c r="I49" s="17" t="s">
        <v>9469</v>
      </c>
      <c r="J49" s="17"/>
      <c r="K49" s="17"/>
      <c r="L49" s="17"/>
      <c r="M49" s="17"/>
      <c r="N49" s="15" t="s">
        <v>91</v>
      </c>
      <c r="O49" s="17" t="s">
        <v>1820</v>
      </c>
      <c r="P49" s="15" t="n">
        <v>947</v>
      </c>
    </row>
    <row r="50" customFormat="false" ht="43.25" hidden="false" customHeight="false" outlineLevel="0" collapsed="false">
      <c r="A50" s="57" t="s">
        <v>9470</v>
      </c>
      <c r="B50" s="58" t="s">
        <v>9249</v>
      </c>
      <c r="C50" s="58" t="s">
        <v>137</v>
      </c>
      <c r="D50" s="59" t="s">
        <v>4530</v>
      </c>
      <c r="E50" s="58" t="s">
        <v>221</v>
      </c>
      <c r="F50" s="60" t="s">
        <v>9471</v>
      </c>
      <c r="G50" s="58" t="s">
        <v>9472</v>
      </c>
      <c r="H50" s="58"/>
      <c r="I50" s="58" t="s">
        <v>9473</v>
      </c>
      <c r="J50" s="58"/>
      <c r="K50" s="58"/>
      <c r="L50" s="58" t="s">
        <v>9474</v>
      </c>
      <c r="M50" s="58" t="s">
        <v>9475</v>
      </c>
      <c r="N50" s="61" t="s">
        <v>91</v>
      </c>
      <c r="O50" s="58" t="s">
        <v>1820</v>
      </c>
      <c r="P50" s="61" t="n">
        <v>995</v>
      </c>
    </row>
    <row r="51" customFormat="false" ht="32.8" hidden="false" customHeight="false" outlineLevel="0" collapsed="false">
      <c r="A51" s="22" t="s">
        <v>9476</v>
      </c>
      <c r="B51" s="17" t="s">
        <v>9249</v>
      </c>
      <c r="C51" s="17" t="s">
        <v>137</v>
      </c>
      <c r="D51" s="55" t="s">
        <v>9477</v>
      </c>
      <c r="E51" s="17" t="s">
        <v>221</v>
      </c>
      <c r="F51" s="56" t="s">
        <v>9478</v>
      </c>
      <c r="G51" s="17" t="s">
        <v>9479</v>
      </c>
      <c r="H51" s="17" t="s">
        <v>9480</v>
      </c>
      <c r="I51" s="17"/>
      <c r="J51" s="17"/>
      <c r="K51" s="17"/>
      <c r="L51" s="17"/>
      <c r="M51" s="17"/>
      <c r="N51" s="15" t="s">
        <v>91</v>
      </c>
      <c r="O51" s="17" t="s">
        <v>1820</v>
      </c>
      <c r="P51" s="15" t="n">
        <v>1035</v>
      </c>
    </row>
    <row r="52" customFormat="false" ht="22.35" hidden="false" customHeight="false" outlineLevel="0" collapsed="false">
      <c r="A52" s="57" t="s">
        <v>9481</v>
      </c>
      <c r="B52" s="58" t="s">
        <v>9249</v>
      </c>
      <c r="C52" s="58" t="s">
        <v>137</v>
      </c>
      <c r="D52" s="59" t="s">
        <v>9482</v>
      </c>
      <c r="E52" s="58" t="s">
        <v>221</v>
      </c>
      <c r="F52" s="60" t="s">
        <v>9483</v>
      </c>
      <c r="G52" s="58" t="s">
        <v>9484</v>
      </c>
      <c r="H52" s="58"/>
      <c r="I52" s="58" t="s">
        <v>3235</v>
      </c>
      <c r="J52" s="58"/>
      <c r="K52" s="58"/>
      <c r="L52" s="58"/>
      <c r="M52" s="58"/>
      <c r="N52" s="61" t="s">
        <v>91</v>
      </c>
      <c r="O52" s="58" t="s">
        <v>1820</v>
      </c>
      <c r="P52" s="61" t="n">
        <v>1045</v>
      </c>
    </row>
    <row r="53" customFormat="false" ht="43.25" hidden="false" customHeight="false" outlineLevel="0" collapsed="false">
      <c r="A53" s="22" t="s">
        <v>9485</v>
      </c>
      <c r="B53" s="17" t="s">
        <v>9249</v>
      </c>
      <c r="C53" s="17" t="s">
        <v>137</v>
      </c>
      <c r="D53" s="55" t="s">
        <v>9486</v>
      </c>
      <c r="E53" s="17" t="s">
        <v>221</v>
      </c>
      <c r="F53" s="56" t="s">
        <v>9487</v>
      </c>
      <c r="G53" s="17" t="s">
        <v>9488</v>
      </c>
      <c r="H53" s="17"/>
      <c r="I53" s="17"/>
      <c r="J53" s="17" t="s">
        <v>9489</v>
      </c>
      <c r="K53" s="17" t="s">
        <v>656</v>
      </c>
      <c r="L53" s="17"/>
      <c r="M53" s="17"/>
      <c r="N53" s="15" t="s">
        <v>91</v>
      </c>
      <c r="O53" s="17" t="s">
        <v>1820</v>
      </c>
      <c r="P53" s="15" t="n">
        <v>1054</v>
      </c>
    </row>
    <row r="54" customFormat="false" ht="22.35" hidden="false" customHeight="false" outlineLevel="0" collapsed="false">
      <c r="A54" s="57" t="s">
        <v>9490</v>
      </c>
      <c r="B54" s="58" t="s">
        <v>9249</v>
      </c>
      <c r="C54" s="58" t="s">
        <v>137</v>
      </c>
      <c r="D54" s="59" t="s">
        <v>9491</v>
      </c>
      <c r="E54" s="58" t="s">
        <v>221</v>
      </c>
      <c r="F54" s="60" t="s">
        <v>9492</v>
      </c>
      <c r="G54" s="58" t="s">
        <v>9493</v>
      </c>
      <c r="H54" s="58"/>
      <c r="I54" s="58"/>
      <c r="J54" s="58"/>
      <c r="K54" s="58"/>
      <c r="L54" s="58"/>
      <c r="M54" s="58"/>
      <c r="N54" s="61" t="s">
        <v>91</v>
      </c>
      <c r="O54" s="58" t="s">
        <v>1820</v>
      </c>
      <c r="P54" s="61" t="n">
        <v>1094</v>
      </c>
    </row>
    <row r="55" customFormat="false" ht="32.8" hidden="false" customHeight="false" outlineLevel="0" collapsed="false">
      <c r="A55" s="22" t="s">
        <v>9494</v>
      </c>
      <c r="B55" s="17" t="s">
        <v>9249</v>
      </c>
      <c r="C55" s="17" t="s">
        <v>137</v>
      </c>
      <c r="D55" s="55" t="s">
        <v>4661</v>
      </c>
      <c r="E55" s="17" t="s">
        <v>221</v>
      </c>
      <c r="F55" s="56" t="s">
        <v>9495</v>
      </c>
      <c r="G55" s="17" t="s">
        <v>9496</v>
      </c>
      <c r="H55" s="17" t="s">
        <v>9497</v>
      </c>
      <c r="I55" s="17"/>
      <c r="J55" s="17"/>
      <c r="K55" s="17" t="s">
        <v>656</v>
      </c>
      <c r="L55" s="17"/>
      <c r="M55" s="17" t="s">
        <v>9498</v>
      </c>
      <c r="N55" s="15" t="s">
        <v>91</v>
      </c>
      <c r="O55" s="17" t="s">
        <v>1820</v>
      </c>
      <c r="P55" s="15" t="n">
        <v>1120</v>
      </c>
    </row>
    <row r="56" customFormat="false" ht="32.8" hidden="false" customHeight="false" outlineLevel="0" collapsed="false">
      <c r="A56" s="57" t="s">
        <v>9499</v>
      </c>
      <c r="B56" s="58" t="s">
        <v>9249</v>
      </c>
      <c r="C56" s="58" t="s">
        <v>137</v>
      </c>
      <c r="D56" s="59" t="s">
        <v>9500</v>
      </c>
      <c r="E56" s="58" t="s">
        <v>221</v>
      </c>
      <c r="F56" s="60" t="s">
        <v>9501</v>
      </c>
      <c r="G56" s="58" t="s">
        <v>9502</v>
      </c>
      <c r="H56" s="58" t="s">
        <v>9503</v>
      </c>
      <c r="I56" s="58" t="s">
        <v>3235</v>
      </c>
      <c r="J56" s="58"/>
      <c r="K56" s="58"/>
      <c r="L56" s="58"/>
      <c r="M56" s="58" t="s">
        <v>9504</v>
      </c>
      <c r="N56" s="61" t="s">
        <v>91</v>
      </c>
      <c r="O56" s="58" t="s">
        <v>1820</v>
      </c>
      <c r="P56" s="61" t="n">
        <v>1174</v>
      </c>
    </row>
    <row r="57" customFormat="false" ht="32.8" hidden="false" customHeight="false" outlineLevel="0" collapsed="false">
      <c r="A57" s="22" t="s">
        <v>9505</v>
      </c>
      <c r="B57" s="17" t="s">
        <v>9249</v>
      </c>
      <c r="C57" s="17" t="s">
        <v>137</v>
      </c>
      <c r="D57" s="55" t="s">
        <v>9506</v>
      </c>
      <c r="E57" s="17" t="s">
        <v>221</v>
      </c>
      <c r="F57" s="56" t="s">
        <v>9507</v>
      </c>
      <c r="G57" s="17" t="s">
        <v>9508</v>
      </c>
      <c r="H57" s="17" t="s">
        <v>9509</v>
      </c>
      <c r="I57" s="17"/>
      <c r="J57" s="17"/>
      <c r="K57" s="17"/>
      <c r="L57" s="17"/>
      <c r="M57" s="17" t="s">
        <v>9510</v>
      </c>
      <c r="N57" s="15" t="s">
        <v>91</v>
      </c>
      <c r="O57" s="17" t="s">
        <v>1820</v>
      </c>
      <c r="P57" s="15" t="n">
        <v>1215</v>
      </c>
    </row>
    <row r="58" customFormat="false" ht="74.6" hidden="false" customHeight="false" outlineLevel="0" collapsed="false">
      <c r="A58" s="57" t="s">
        <v>9511</v>
      </c>
      <c r="B58" s="58" t="s">
        <v>9249</v>
      </c>
      <c r="C58" s="58" t="s">
        <v>137</v>
      </c>
      <c r="D58" s="59" t="s">
        <v>9512</v>
      </c>
      <c r="E58" s="58" t="s">
        <v>221</v>
      </c>
      <c r="F58" s="60" t="s">
        <v>9513</v>
      </c>
      <c r="G58" s="58" t="s">
        <v>9514</v>
      </c>
      <c r="H58" s="58" t="s">
        <v>9509</v>
      </c>
      <c r="I58" s="58"/>
      <c r="J58" s="58"/>
      <c r="K58" s="58" t="s">
        <v>656</v>
      </c>
      <c r="L58" s="58"/>
      <c r="M58" s="58"/>
      <c r="N58" s="61" t="s">
        <v>91</v>
      </c>
      <c r="O58" s="58" t="s">
        <v>1820</v>
      </c>
      <c r="P58" s="61" t="n">
        <v>1229</v>
      </c>
    </row>
    <row r="59" customFormat="false" ht="32.8" hidden="false" customHeight="false" outlineLevel="0" collapsed="false">
      <c r="A59" s="22" t="s">
        <v>9515</v>
      </c>
      <c r="B59" s="17" t="s">
        <v>9249</v>
      </c>
      <c r="C59" s="17" t="s">
        <v>137</v>
      </c>
      <c r="D59" s="55" t="s">
        <v>4630</v>
      </c>
      <c r="E59" s="17" t="s">
        <v>221</v>
      </c>
      <c r="F59" s="56" t="s">
        <v>9516</v>
      </c>
      <c r="G59" s="17" t="s">
        <v>9517</v>
      </c>
      <c r="H59" s="17"/>
      <c r="I59" s="17"/>
      <c r="J59" s="17"/>
      <c r="K59" s="17"/>
      <c r="L59" s="17"/>
      <c r="M59" s="17"/>
      <c r="N59" s="15" t="s">
        <v>91</v>
      </c>
      <c r="O59" s="17" t="s">
        <v>1820</v>
      </c>
      <c r="P59" s="15" t="n">
        <v>1300</v>
      </c>
    </row>
    <row r="60" customFormat="false" ht="64.15" hidden="false" customHeight="false" outlineLevel="0" collapsed="false">
      <c r="A60" s="57" t="s">
        <v>9518</v>
      </c>
      <c r="B60" s="58" t="s">
        <v>9249</v>
      </c>
      <c r="C60" s="58" t="s">
        <v>137</v>
      </c>
      <c r="D60" s="59" t="s">
        <v>4637</v>
      </c>
      <c r="E60" s="58" t="s">
        <v>221</v>
      </c>
      <c r="F60" s="60" t="s">
        <v>9519</v>
      </c>
      <c r="G60" s="58" t="s">
        <v>9520</v>
      </c>
      <c r="H60" s="58" t="s">
        <v>4640</v>
      </c>
      <c r="I60" s="58"/>
      <c r="J60" s="58"/>
      <c r="K60" s="58"/>
      <c r="L60" s="58"/>
      <c r="M60" s="58" t="s">
        <v>9521</v>
      </c>
      <c r="N60" s="61" t="s">
        <v>91</v>
      </c>
      <c r="O60" s="58" t="s">
        <v>1820</v>
      </c>
      <c r="P60" s="61" t="n">
        <v>1332</v>
      </c>
    </row>
    <row r="61" customFormat="false" ht="32.8" hidden="false" customHeight="false" outlineLevel="0" collapsed="false">
      <c r="A61" s="22" t="s">
        <v>9522</v>
      </c>
      <c r="B61" s="17" t="s">
        <v>9249</v>
      </c>
      <c r="C61" s="17" t="s">
        <v>137</v>
      </c>
      <c r="D61" s="55" t="s">
        <v>4645</v>
      </c>
      <c r="E61" s="17" t="s">
        <v>221</v>
      </c>
      <c r="F61" s="56" t="s">
        <v>9523</v>
      </c>
      <c r="G61" s="17" t="s">
        <v>9524</v>
      </c>
      <c r="H61" s="17"/>
      <c r="I61" s="17"/>
      <c r="J61" s="17"/>
      <c r="K61" s="17"/>
      <c r="L61" s="17"/>
      <c r="M61" s="17"/>
      <c r="N61" s="15" t="s">
        <v>91</v>
      </c>
      <c r="O61" s="17" t="s">
        <v>1820</v>
      </c>
      <c r="P61" s="15" t="n">
        <v>1430</v>
      </c>
    </row>
    <row r="62" customFormat="false" ht="32.8" hidden="false" customHeight="false" outlineLevel="0" collapsed="false">
      <c r="A62" s="57" t="s">
        <v>9525</v>
      </c>
      <c r="B62" s="58" t="s">
        <v>9249</v>
      </c>
      <c r="C62" s="58" t="s">
        <v>137</v>
      </c>
      <c r="D62" s="59" t="s">
        <v>9526</v>
      </c>
      <c r="E62" s="58" t="s">
        <v>223</v>
      </c>
      <c r="F62" s="60" t="s">
        <v>9527</v>
      </c>
      <c r="G62" s="58" t="s">
        <v>9528</v>
      </c>
      <c r="H62" s="58"/>
      <c r="I62" s="58" t="s">
        <v>9529</v>
      </c>
      <c r="J62" s="58"/>
      <c r="K62" s="58"/>
      <c r="L62" s="58"/>
      <c r="M62" s="58"/>
      <c r="N62" s="61" t="s">
        <v>91</v>
      </c>
      <c r="O62" s="58" t="s">
        <v>1853</v>
      </c>
      <c r="P62" s="61" t="n">
        <v>66</v>
      </c>
    </row>
    <row r="63" customFormat="false" ht="32.8" hidden="false" customHeight="false" outlineLevel="0" collapsed="false">
      <c r="A63" s="22" t="s">
        <v>9530</v>
      </c>
      <c r="B63" s="17" t="s">
        <v>9249</v>
      </c>
      <c r="C63" s="17" t="s">
        <v>137</v>
      </c>
      <c r="D63" s="55" t="s">
        <v>9531</v>
      </c>
      <c r="E63" s="17" t="s">
        <v>223</v>
      </c>
      <c r="F63" s="56" t="s">
        <v>1848</v>
      </c>
      <c r="G63" s="17" t="s">
        <v>9532</v>
      </c>
      <c r="H63" s="17"/>
      <c r="I63" s="17" t="s">
        <v>9533</v>
      </c>
      <c r="J63" s="17" t="s">
        <v>9534</v>
      </c>
      <c r="K63" s="17" t="s">
        <v>1046</v>
      </c>
      <c r="L63" s="17" t="s">
        <v>9535</v>
      </c>
      <c r="M63" s="17" t="s">
        <v>9536</v>
      </c>
      <c r="N63" s="15" t="s">
        <v>91</v>
      </c>
      <c r="O63" s="17" t="s">
        <v>1853</v>
      </c>
      <c r="P63" s="15" t="n">
        <v>94</v>
      </c>
    </row>
    <row r="64" customFormat="false" ht="22.35" hidden="false" customHeight="false" outlineLevel="0" collapsed="false">
      <c r="A64" s="57" t="s">
        <v>9537</v>
      </c>
      <c r="B64" s="58" t="s">
        <v>9249</v>
      </c>
      <c r="C64" s="58" t="s">
        <v>137</v>
      </c>
      <c r="D64" s="59" t="s">
        <v>9538</v>
      </c>
      <c r="E64" s="58" t="s">
        <v>223</v>
      </c>
      <c r="F64" s="60" t="s">
        <v>1856</v>
      </c>
      <c r="G64" s="58" t="s">
        <v>9539</v>
      </c>
      <c r="H64" s="58"/>
      <c r="I64" s="58" t="s">
        <v>9540</v>
      </c>
      <c r="J64" s="58" t="s">
        <v>9541</v>
      </c>
      <c r="K64" s="58" t="s">
        <v>1046</v>
      </c>
      <c r="L64" s="58" t="s">
        <v>9542</v>
      </c>
      <c r="M64" s="58"/>
      <c r="N64" s="61" t="s">
        <v>91</v>
      </c>
      <c r="O64" s="58" t="s">
        <v>1853</v>
      </c>
      <c r="P64" s="61" t="n">
        <v>95</v>
      </c>
    </row>
    <row r="65" customFormat="false" ht="22.35" hidden="false" customHeight="false" outlineLevel="0" collapsed="false">
      <c r="A65" s="22" t="s">
        <v>9543</v>
      </c>
      <c r="B65" s="17" t="s">
        <v>9249</v>
      </c>
      <c r="C65" s="17" t="s">
        <v>137</v>
      </c>
      <c r="D65" s="55" t="s">
        <v>9544</v>
      </c>
      <c r="E65" s="17" t="s">
        <v>223</v>
      </c>
      <c r="F65" s="56" t="s">
        <v>1863</v>
      </c>
      <c r="G65" s="17" t="s">
        <v>9545</v>
      </c>
      <c r="H65" s="17"/>
      <c r="I65" s="17" t="s">
        <v>1865</v>
      </c>
      <c r="J65" s="17"/>
      <c r="K65" s="17" t="s">
        <v>1046</v>
      </c>
      <c r="L65" s="17" t="s">
        <v>9542</v>
      </c>
      <c r="M65" s="17"/>
      <c r="N65" s="15" t="s">
        <v>91</v>
      </c>
      <c r="O65" s="17" t="s">
        <v>1853</v>
      </c>
      <c r="P65" s="15" t="n">
        <v>96</v>
      </c>
    </row>
    <row r="66" customFormat="false" ht="22.35" hidden="false" customHeight="false" outlineLevel="0" collapsed="false">
      <c r="A66" s="57" t="s">
        <v>9546</v>
      </c>
      <c r="B66" s="58" t="s">
        <v>9249</v>
      </c>
      <c r="C66" s="58" t="s">
        <v>137</v>
      </c>
      <c r="D66" s="59" t="s">
        <v>9547</v>
      </c>
      <c r="E66" s="58" t="s">
        <v>223</v>
      </c>
      <c r="F66" s="60" t="s">
        <v>9548</v>
      </c>
      <c r="G66" s="58" t="s">
        <v>9549</v>
      </c>
      <c r="H66" s="58"/>
      <c r="I66" s="58" t="s">
        <v>9550</v>
      </c>
      <c r="J66" s="58"/>
      <c r="K66" s="58" t="s">
        <v>1046</v>
      </c>
      <c r="L66" s="58" t="s">
        <v>9542</v>
      </c>
      <c r="M66" s="58"/>
      <c r="N66" s="61" t="s">
        <v>91</v>
      </c>
      <c r="O66" s="58" t="s">
        <v>1853</v>
      </c>
      <c r="P66" s="61" t="n">
        <v>97</v>
      </c>
    </row>
    <row r="67" customFormat="false" ht="22.35" hidden="false" customHeight="false" outlineLevel="0" collapsed="false">
      <c r="A67" s="22" t="s">
        <v>9551</v>
      </c>
      <c r="B67" s="17" t="s">
        <v>9249</v>
      </c>
      <c r="C67" s="17" t="s">
        <v>137</v>
      </c>
      <c r="D67" s="55" t="s">
        <v>4504</v>
      </c>
      <c r="E67" s="17" t="s">
        <v>223</v>
      </c>
      <c r="F67" s="56" t="s">
        <v>9552</v>
      </c>
      <c r="G67" s="17" t="s">
        <v>9553</v>
      </c>
      <c r="H67" s="17"/>
      <c r="I67" s="17" t="s">
        <v>9554</v>
      </c>
      <c r="J67" s="17"/>
      <c r="K67" s="17"/>
      <c r="L67" s="17" t="s">
        <v>9555</v>
      </c>
      <c r="M67" s="17"/>
      <c r="N67" s="15" t="s">
        <v>91</v>
      </c>
      <c r="O67" s="17" t="s">
        <v>1853</v>
      </c>
      <c r="P67" s="15" t="n">
        <v>115</v>
      </c>
    </row>
    <row r="68" customFormat="false" ht="22.35" hidden="false" customHeight="false" outlineLevel="0" collapsed="false">
      <c r="A68" s="57" t="s">
        <v>9556</v>
      </c>
      <c r="B68" s="58" t="s">
        <v>9249</v>
      </c>
      <c r="C68" s="58" t="s">
        <v>137</v>
      </c>
      <c r="D68" s="59" t="s">
        <v>9356</v>
      </c>
      <c r="E68" s="58" t="s">
        <v>223</v>
      </c>
      <c r="F68" s="60" t="s">
        <v>4393</v>
      </c>
      <c r="G68" s="58" t="s">
        <v>9557</v>
      </c>
      <c r="H68" s="58"/>
      <c r="I68" s="58" t="s">
        <v>9558</v>
      </c>
      <c r="J68" s="58"/>
      <c r="K68" s="58"/>
      <c r="L68" s="58" t="s">
        <v>9559</v>
      </c>
      <c r="M68" s="58"/>
      <c r="N68" s="61" t="s">
        <v>91</v>
      </c>
      <c r="O68" s="58" t="s">
        <v>1853</v>
      </c>
      <c r="P68" s="61" t="n">
        <v>128</v>
      </c>
    </row>
    <row r="69" customFormat="false" ht="64.15" hidden="false" customHeight="false" outlineLevel="0" collapsed="false">
      <c r="A69" s="22" t="s">
        <v>9560</v>
      </c>
      <c r="B69" s="17" t="s">
        <v>9249</v>
      </c>
      <c r="C69" s="17" t="s">
        <v>137</v>
      </c>
      <c r="D69" s="55" t="s">
        <v>4509</v>
      </c>
      <c r="E69" s="17" t="s">
        <v>224</v>
      </c>
      <c r="F69" s="56" t="s">
        <v>9561</v>
      </c>
      <c r="G69" s="17" t="s">
        <v>9562</v>
      </c>
      <c r="H69" s="17" t="s">
        <v>9563</v>
      </c>
      <c r="I69" s="17"/>
      <c r="J69" s="17"/>
      <c r="K69" s="17"/>
      <c r="L69" s="17" t="s">
        <v>9564</v>
      </c>
      <c r="M69" s="17"/>
      <c r="N69" s="15" t="s">
        <v>91</v>
      </c>
      <c r="O69" s="17" t="s">
        <v>1853</v>
      </c>
      <c r="P69" s="15" t="n">
        <v>136</v>
      </c>
    </row>
    <row r="70" customFormat="false" ht="43.25" hidden="false" customHeight="false" outlineLevel="0" collapsed="false">
      <c r="A70" s="57" t="s">
        <v>9565</v>
      </c>
      <c r="B70" s="58" t="s">
        <v>9249</v>
      </c>
      <c r="C70" s="58" t="s">
        <v>137</v>
      </c>
      <c r="D70" s="59" t="s">
        <v>9566</v>
      </c>
      <c r="E70" s="58" t="s">
        <v>224</v>
      </c>
      <c r="F70" s="60" t="s">
        <v>9567</v>
      </c>
      <c r="G70" s="58" t="s">
        <v>9568</v>
      </c>
      <c r="H70" s="58"/>
      <c r="I70" s="58"/>
      <c r="J70" s="58"/>
      <c r="K70" s="58"/>
      <c r="L70" s="58" t="s">
        <v>9569</v>
      </c>
      <c r="M70" s="58" t="s">
        <v>9570</v>
      </c>
      <c r="N70" s="61" t="s">
        <v>91</v>
      </c>
      <c r="O70" s="58" t="s">
        <v>1853</v>
      </c>
      <c r="P70" s="61" t="n">
        <v>158</v>
      </c>
    </row>
    <row r="71" customFormat="false" ht="22.35" hidden="false" customHeight="false" outlineLevel="0" collapsed="false">
      <c r="A71" s="22" t="s">
        <v>9571</v>
      </c>
      <c r="B71" s="17" t="s">
        <v>9249</v>
      </c>
      <c r="C71" s="17" t="s">
        <v>137</v>
      </c>
      <c r="D71" s="55" t="s">
        <v>4570</v>
      </c>
      <c r="E71" s="17" t="s">
        <v>221</v>
      </c>
      <c r="F71" s="56" t="s">
        <v>4571</v>
      </c>
      <c r="G71" s="17" t="s">
        <v>9572</v>
      </c>
      <c r="H71" s="17"/>
      <c r="I71" s="17"/>
      <c r="J71" s="17"/>
      <c r="K71" s="17"/>
      <c r="L71" s="17"/>
      <c r="M71" s="17"/>
      <c r="N71" s="15" t="s">
        <v>91</v>
      </c>
      <c r="O71" s="17" t="s">
        <v>1853</v>
      </c>
      <c r="P71" s="15" t="n">
        <v>274</v>
      </c>
    </row>
    <row r="72" customFormat="false" ht="22.35" hidden="false" customHeight="false" outlineLevel="0" collapsed="false">
      <c r="A72" s="57" t="s">
        <v>9573</v>
      </c>
      <c r="B72" s="58" t="s">
        <v>9249</v>
      </c>
      <c r="C72" s="58" t="s">
        <v>137</v>
      </c>
      <c r="D72" s="59" t="s">
        <v>4582</v>
      </c>
      <c r="E72" s="58" t="s">
        <v>221</v>
      </c>
      <c r="F72" s="60" t="s">
        <v>4583</v>
      </c>
      <c r="G72" s="58" t="s">
        <v>9574</v>
      </c>
      <c r="H72" s="58"/>
      <c r="I72" s="58"/>
      <c r="J72" s="58"/>
      <c r="K72" s="58"/>
      <c r="L72" s="58"/>
      <c r="M72" s="58"/>
      <c r="N72" s="61" t="s">
        <v>91</v>
      </c>
      <c r="O72" s="58" t="s">
        <v>1853</v>
      </c>
      <c r="P72" s="61" t="n">
        <v>280</v>
      </c>
    </row>
    <row r="73" customFormat="false" ht="22.35" hidden="false" customHeight="false" outlineLevel="0" collapsed="false">
      <c r="A73" s="22" t="s">
        <v>9575</v>
      </c>
      <c r="B73" s="17" t="s">
        <v>9249</v>
      </c>
      <c r="C73" s="17" t="s">
        <v>137</v>
      </c>
      <c r="D73" s="55" t="s">
        <v>4593</v>
      </c>
      <c r="E73" s="17" t="s">
        <v>221</v>
      </c>
      <c r="F73" s="56" t="s">
        <v>4594</v>
      </c>
      <c r="G73" s="17" t="s">
        <v>9576</v>
      </c>
      <c r="H73" s="17"/>
      <c r="I73" s="17"/>
      <c r="J73" s="17"/>
      <c r="K73" s="17"/>
      <c r="L73" s="17"/>
      <c r="M73" s="17"/>
      <c r="N73" s="15" t="s">
        <v>91</v>
      </c>
      <c r="O73" s="17" t="s">
        <v>1853</v>
      </c>
      <c r="P73" s="15" t="n">
        <v>286</v>
      </c>
    </row>
    <row r="74" customFormat="false" ht="22.35" hidden="false" customHeight="false" outlineLevel="0" collapsed="false">
      <c r="A74" s="57" t="s">
        <v>9577</v>
      </c>
      <c r="B74" s="58" t="s">
        <v>9249</v>
      </c>
      <c r="C74" s="58" t="s">
        <v>137</v>
      </c>
      <c r="D74" s="59" t="s">
        <v>4598</v>
      </c>
      <c r="E74" s="58" t="s">
        <v>221</v>
      </c>
      <c r="F74" s="60" t="s">
        <v>4599</v>
      </c>
      <c r="G74" s="58" t="s">
        <v>9578</v>
      </c>
      <c r="H74" s="58"/>
      <c r="I74" s="58"/>
      <c r="J74" s="58"/>
      <c r="K74" s="58"/>
      <c r="L74" s="58"/>
      <c r="M74" s="58"/>
      <c r="N74" s="61" t="s">
        <v>91</v>
      </c>
      <c r="O74" s="58" t="s">
        <v>1853</v>
      </c>
      <c r="P74" s="61" t="n">
        <v>288</v>
      </c>
    </row>
    <row r="75" customFormat="false" ht="22.35" hidden="false" customHeight="false" outlineLevel="0" collapsed="false">
      <c r="A75" s="22" t="s">
        <v>9579</v>
      </c>
      <c r="B75" s="17" t="s">
        <v>9249</v>
      </c>
      <c r="C75" s="17" t="s">
        <v>137</v>
      </c>
      <c r="D75" s="55" t="s">
        <v>4604</v>
      </c>
      <c r="E75" s="17" t="s">
        <v>221</v>
      </c>
      <c r="F75" s="56" t="s">
        <v>4605</v>
      </c>
      <c r="G75" s="17" t="s">
        <v>9580</v>
      </c>
      <c r="H75" s="17"/>
      <c r="I75" s="17"/>
      <c r="J75" s="17"/>
      <c r="K75" s="17"/>
      <c r="L75" s="17"/>
      <c r="M75" s="17"/>
      <c r="N75" s="15" t="s">
        <v>91</v>
      </c>
      <c r="O75" s="17" t="s">
        <v>1853</v>
      </c>
      <c r="P75" s="15" t="n">
        <v>290</v>
      </c>
    </row>
    <row r="76" customFormat="false" ht="22.35" hidden="false" customHeight="false" outlineLevel="0" collapsed="false">
      <c r="A76" s="57" t="s">
        <v>9581</v>
      </c>
      <c r="B76" s="58" t="s">
        <v>9249</v>
      </c>
      <c r="C76" s="58" t="s">
        <v>137</v>
      </c>
      <c r="D76" s="59" t="s">
        <v>4610</v>
      </c>
      <c r="E76" s="58" t="s">
        <v>221</v>
      </c>
      <c r="F76" s="60" t="s">
        <v>4611</v>
      </c>
      <c r="G76" s="58" t="s">
        <v>9582</v>
      </c>
      <c r="H76" s="58"/>
      <c r="I76" s="58"/>
      <c r="J76" s="58"/>
      <c r="K76" s="58"/>
      <c r="L76" s="58"/>
      <c r="M76" s="58"/>
      <c r="N76" s="61" t="s">
        <v>91</v>
      </c>
      <c r="O76" s="58" t="s">
        <v>1853</v>
      </c>
      <c r="P76" s="61" t="n">
        <v>292</v>
      </c>
    </row>
    <row r="77" customFormat="false" ht="22.35" hidden="false" customHeight="false" outlineLevel="0" collapsed="false">
      <c r="A77" s="22" t="s">
        <v>9583</v>
      </c>
      <c r="B77" s="17" t="s">
        <v>9249</v>
      </c>
      <c r="C77" s="17" t="s">
        <v>137</v>
      </c>
      <c r="D77" s="55" t="s">
        <v>4616</v>
      </c>
      <c r="E77" s="17" t="s">
        <v>221</v>
      </c>
      <c r="F77" s="56" t="s">
        <v>4617</v>
      </c>
      <c r="G77" s="17" t="s">
        <v>9584</v>
      </c>
      <c r="H77" s="17"/>
      <c r="I77" s="17"/>
      <c r="J77" s="17"/>
      <c r="K77" s="17"/>
      <c r="L77" s="17"/>
      <c r="M77" s="17"/>
      <c r="N77" s="15" t="s">
        <v>91</v>
      </c>
      <c r="O77" s="17" t="s">
        <v>1853</v>
      </c>
      <c r="P77" s="15" t="n">
        <v>294</v>
      </c>
    </row>
    <row r="78" customFormat="false" ht="22.35" hidden="false" customHeight="false" outlineLevel="0" collapsed="false">
      <c r="A78" s="57" t="s">
        <v>9585</v>
      </c>
      <c r="B78" s="58" t="s">
        <v>9249</v>
      </c>
      <c r="C78" s="58" t="s">
        <v>137</v>
      </c>
      <c r="D78" s="59" t="s">
        <v>4623</v>
      </c>
      <c r="E78" s="58" t="s">
        <v>221</v>
      </c>
      <c r="F78" s="60" t="s">
        <v>4624</v>
      </c>
      <c r="G78" s="58" t="s">
        <v>9586</v>
      </c>
      <c r="H78" s="58"/>
      <c r="I78" s="58"/>
      <c r="J78" s="58"/>
      <c r="K78" s="58"/>
      <c r="L78" s="58"/>
      <c r="M78" s="58"/>
      <c r="N78" s="61" t="s">
        <v>91</v>
      </c>
      <c r="O78" s="58" t="s">
        <v>1853</v>
      </c>
      <c r="P78" s="61" t="n">
        <v>296</v>
      </c>
    </row>
    <row r="79" customFormat="false" ht="22.35" hidden="false" customHeight="false" outlineLevel="0" collapsed="false">
      <c r="A79" s="22" t="s">
        <v>9587</v>
      </c>
      <c r="B79" s="17" t="s">
        <v>9249</v>
      </c>
      <c r="C79" s="17" t="s">
        <v>140</v>
      </c>
      <c r="D79" s="55" t="s">
        <v>9588</v>
      </c>
      <c r="E79" s="17" t="s">
        <v>223</v>
      </c>
      <c r="F79" s="56" t="s">
        <v>9589</v>
      </c>
      <c r="G79" s="17" t="s">
        <v>9590</v>
      </c>
      <c r="H79" s="17"/>
      <c r="I79" s="17" t="s">
        <v>9312</v>
      </c>
      <c r="J79" s="17"/>
      <c r="K79" s="17" t="s">
        <v>656</v>
      </c>
      <c r="L79" s="17" t="s">
        <v>9591</v>
      </c>
      <c r="M79" s="17"/>
      <c r="N79" s="15" t="s">
        <v>91</v>
      </c>
      <c r="O79" s="17" t="s">
        <v>1986</v>
      </c>
      <c r="P79" s="15" t="n">
        <v>34</v>
      </c>
    </row>
    <row r="80" customFormat="false" ht="74.6" hidden="false" customHeight="false" outlineLevel="0" collapsed="false">
      <c r="A80" s="57" t="s">
        <v>9592</v>
      </c>
      <c r="B80" s="58" t="s">
        <v>9249</v>
      </c>
      <c r="C80" s="58" t="s">
        <v>140</v>
      </c>
      <c r="D80" s="59" t="s">
        <v>9593</v>
      </c>
      <c r="E80" s="58" t="s">
        <v>222</v>
      </c>
      <c r="F80" s="60" t="s">
        <v>9594</v>
      </c>
      <c r="G80" s="58" t="s">
        <v>9595</v>
      </c>
      <c r="H80" s="58" t="s">
        <v>9596</v>
      </c>
      <c r="I80" s="58"/>
      <c r="J80" s="58" t="s">
        <v>9597</v>
      </c>
      <c r="K80" s="58" t="s">
        <v>1046</v>
      </c>
      <c r="L80" s="58" t="s">
        <v>9598</v>
      </c>
      <c r="M80" s="58" t="s">
        <v>9599</v>
      </c>
      <c r="N80" s="61" t="s">
        <v>91</v>
      </c>
      <c r="O80" s="58" t="s">
        <v>1986</v>
      </c>
      <c r="P80" s="61" t="n">
        <v>610</v>
      </c>
    </row>
    <row r="81" customFormat="false" ht="22.35" hidden="false" customHeight="false" outlineLevel="0" collapsed="false">
      <c r="A81" s="22" t="s">
        <v>9600</v>
      </c>
      <c r="B81" s="17" t="s">
        <v>9249</v>
      </c>
      <c r="C81" s="17" t="s">
        <v>140</v>
      </c>
      <c r="D81" s="55" t="s">
        <v>9601</v>
      </c>
      <c r="E81" s="17" t="s">
        <v>221</v>
      </c>
      <c r="F81" s="56" t="s">
        <v>9602</v>
      </c>
      <c r="G81" s="17" t="s">
        <v>9603</v>
      </c>
      <c r="H81" s="17"/>
      <c r="I81" s="17" t="s">
        <v>3069</v>
      </c>
      <c r="J81" s="17"/>
      <c r="K81" s="17"/>
      <c r="L81" s="17"/>
      <c r="M81" s="17"/>
      <c r="N81" s="15" t="s">
        <v>91</v>
      </c>
      <c r="O81" s="17" t="s">
        <v>1986</v>
      </c>
      <c r="P81" s="15" t="n">
        <v>632</v>
      </c>
    </row>
    <row r="82" customFormat="false" ht="32.8" hidden="false" customHeight="false" outlineLevel="0" collapsed="false">
      <c r="A82" s="57" t="s">
        <v>9604</v>
      </c>
      <c r="B82" s="58" t="s">
        <v>9249</v>
      </c>
      <c r="C82" s="58" t="s">
        <v>140</v>
      </c>
      <c r="D82" s="59" t="s">
        <v>4734</v>
      </c>
      <c r="E82" s="58" t="s">
        <v>221</v>
      </c>
      <c r="F82" s="60" t="s">
        <v>2044</v>
      </c>
      <c r="G82" s="58" t="s">
        <v>9605</v>
      </c>
      <c r="H82" s="58" t="s">
        <v>9606</v>
      </c>
      <c r="I82" s="58"/>
      <c r="J82" s="58" t="s">
        <v>9607</v>
      </c>
      <c r="K82" s="58" t="s">
        <v>1046</v>
      </c>
      <c r="L82" s="58"/>
      <c r="M82" s="58"/>
      <c r="N82" s="61" t="s">
        <v>91</v>
      </c>
      <c r="O82" s="58" t="s">
        <v>1986</v>
      </c>
      <c r="P82" s="61" t="n">
        <v>638</v>
      </c>
    </row>
    <row r="83" customFormat="false" ht="22.35" hidden="false" customHeight="false" outlineLevel="0" collapsed="false">
      <c r="A83" s="22" t="s">
        <v>9608</v>
      </c>
      <c r="B83" s="17" t="s">
        <v>9249</v>
      </c>
      <c r="C83" s="17" t="s">
        <v>140</v>
      </c>
      <c r="D83" s="55" t="s">
        <v>9609</v>
      </c>
      <c r="E83" s="17" t="s">
        <v>221</v>
      </c>
      <c r="F83" s="56" t="s">
        <v>9610</v>
      </c>
      <c r="G83" s="17" t="s">
        <v>9611</v>
      </c>
      <c r="H83" s="17" t="s">
        <v>9430</v>
      </c>
      <c r="I83" s="17"/>
      <c r="J83" s="17"/>
      <c r="K83" s="17"/>
      <c r="L83" s="17"/>
      <c r="M83" s="17"/>
      <c r="N83" s="15" t="s">
        <v>91</v>
      </c>
      <c r="O83" s="17" t="s">
        <v>1986</v>
      </c>
      <c r="P83" s="15" t="n">
        <v>658</v>
      </c>
    </row>
    <row r="84" customFormat="false" ht="32.8" hidden="false" customHeight="false" outlineLevel="0" collapsed="false">
      <c r="A84" s="57" t="s">
        <v>9612</v>
      </c>
      <c r="B84" s="58" t="s">
        <v>9249</v>
      </c>
      <c r="C84" s="58" t="s">
        <v>140</v>
      </c>
      <c r="D84" s="59" t="s">
        <v>4747</v>
      </c>
      <c r="E84" s="58" t="s">
        <v>221</v>
      </c>
      <c r="F84" s="60" t="s">
        <v>9613</v>
      </c>
      <c r="G84" s="58" t="s">
        <v>9614</v>
      </c>
      <c r="H84" s="58"/>
      <c r="I84" s="58" t="s">
        <v>9615</v>
      </c>
      <c r="J84" s="58"/>
      <c r="K84" s="58"/>
      <c r="L84" s="58" t="s">
        <v>9616</v>
      </c>
      <c r="M84" s="58" t="s">
        <v>9617</v>
      </c>
      <c r="N84" s="61" t="s">
        <v>91</v>
      </c>
      <c r="O84" s="58" t="s">
        <v>1986</v>
      </c>
      <c r="P84" s="61" t="n">
        <v>667</v>
      </c>
    </row>
    <row r="85" customFormat="false" ht="43.25" hidden="false" customHeight="false" outlineLevel="0" collapsed="false">
      <c r="A85" s="22" t="s">
        <v>9618</v>
      </c>
      <c r="B85" s="17" t="s">
        <v>9249</v>
      </c>
      <c r="C85" s="17" t="s">
        <v>140</v>
      </c>
      <c r="D85" s="55" t="s">
        <v>9619</v>
      </c>
      <c r="E85" s="17" t="s">
        <v>231</v>
      </c>
      <c r="F85" s="56" t="s">
        <v>9620</v>
      </c>
      <c r="G85" s="17" t="s">
        <v>9621</v>
      </c>
      <c r="H85" s="17"/>
      <c r="I85" s="17"/>
      <c r="J85" s="17"/>
      <c r="K85" s="17"/>
      <c r="L85" s="17" t="s">
        <v>9622</v>
      </c>
      <c r="M85" s="17"/>
      <c r="N85" s="15" t="s">
        <v>91</v>
      </c>
      <c r="O85" s="17" t="s">
        <v>1986</v>
      </c>
      <c r="P85" s="15" t="n">
        <v>703</v>
      </c>
    </row>
    <row r="86" customFormat="false" ht="22.35" hidden="false" customHeight="false" outlineLevel="0" collapsed="false">
      <c r="A86" s="57" t="s">
        <v>9623</v>
      </c>
      <c r="B86" s="58" t="s">
        <v>9249</v>
      </c>
      <c r="C86" s="58" t="s">
        <v>140</v>
      </c>
      <c r="D86" s="59" t="s">
        <v>9624</v>
      </c>
      <c r="E86" s="58" t="s">
        <v>221</v>
      </c>
      <c r="F86" s="60" t="s">
        <v>9625</v>
      </c>
      <c r="G86" s="58" t="s">
        <v>9626</v>
      </c>
      <c r="H86" s="58"/>
      <c r="I86" s="58"/>
      <c r="J86" s="58"/>
      <c r="K86" s="58"/>
      <c r="L86" s="58" t="s">
        <v>9627</v>
      </c>
      <c r="M86" s="58" t="s">
        <v>9628</v>
      </c>
      <c r="N86" s="61" t="s">
        <v>91</v>
      </c>
      <c r="O86" s="58" t="s">
        <v>1986</v>
      </c>
      <c r="P86" s="61" t="n">
        <v>714</v>
      </c>
    </row>
    <row r="87" customFormat="false" ht="22.35" hidden="false" customHeight="false" outlineLevel="0" collapsed="false">
      <c r="A87" s="22" t="s">
        <v>9629</v>
      </c>
      <c r="B87" s="17" t="s">
        <v>9249</v>
      </c>
      <c r="C87" s="17" t="s">
        <v>140</v>
      </c>
      <c r="D87" s="55" t="s">
        <v>4720</v>
      </c>
      <c r="E87" s="17" t="s">
        <v>221</v>
      </c>
      <c r="F87" s="56" t="s">
        <v>9630</v>
      </c>
      <c r="G87" s="17" t="s">
        <v>9631</v>
      </c>
      <c r="H87" s="17"/>
      <c r="I87" s="17"/>
      <c r="J87" s="17"/>
      <c r="K87" s="17"/>
      <c r="L87" s="17" t="s">
        <v>9632</v>
      </c>
      <c r="M87" s="17"/>
      <c r="N87" s="15" t="s">
        <v>91</v>
      </c>
      <c r="O87" s="17" t="s">
        <v>1986</v>
      </c>
      <c r="P87" s="15" t="n">
        <v>723</v>
      </c>
    </row>
    <row r="88" customFormat="false" ht="22.35" hidden="false" customHeight="false" outlineLevel="0" collapsed="false">
      <c r="A88" s="57" t="s">
        <v>9633</v>
      </c>
      <c r="B88" s="58" t="s">
        <v>9249</v>
      </c>
      <c r="C88" s="58" t="s">
        <v>140</v>
      </c>
      <c r="D88" s="59" t="s">
        <v>9634</v>
      </c>
      <c r="E88" s="58" t="s">
        <v>231</v>
      </c>
      <c r="F88" s="60" t="s">
        <v>9635</v>
      </c>
      <c r="G88" s="58" t="s">
        <v>9636</v>
      </c>
      <c r="H88" s="58"/>
      <c r="I88" s="58"/>
      <c r="J88" s="58"/>
      <c r="K88" s="58"/>
      <c r="L88" s="58" t="s">
        <v>9622</v>
      </c>
      <c r="M88" s="58"/>
      <c r="N88" s="61" t="s">
        <v>91</v>
      </c>
      <c r="O88" s="58" t="s">
        <v>1986</v>
      </c>
      <c r="P88" s="61" t="n">
        <v>739</v>
      </c>
    </row>
    <row r="89" customFormat="false" ht="22.35" hidden="false" customHeight="false" outlineLevel="0" collapsed="false">
      <c r="A89" s="22" t="s">
        <v>9637</v>
      </c>
      <c r="B89" s="17" t="s">
        <v>9249</v>
      </c>
      <c r="C89" s="17" t="s">
        <v>140</v>
      </c>
      <c r="D89" s="55" t="s">
        <v>4727</v>
      </c>
      <c r="E89" s="17" t="s">
        <v>221</v>
      </c>
      <c r="F89" s="56" t="s">
        <v>9638</v>
      </c>
      <c r="G89" s="17" t="s">
        <v>9639</v>
      </c>
      <c r="H89" s="17"/>
      <c r="I89" s="17"/>
      <c r="J89" s="17"/>
      <c r="K89" s="17"/>
      <c r="L89" s="17"/>
      <c r="M89" s="17"/>
      <c r="N89" s="15" t="s">
        <v>91</v>
      </c>
      <c r="O89" s="17" t="s">
        <v>1986</v>
      </c>
      <c r="P89" s="15" t="n">
        <v>744</v>
      </c>
    </row>
    <row r="90" customFormat="false" ht="32.8" hidden="false" customHeight="false" outlineLevel="0" collapsed="false">
      <c r="A90" s="57" t="s">
        <v>9640</v>
      </c>
      <c r="B90" s="58" t="s">
        <v>9249</v>
      </c>
      <c r="C90" s="58" t="s">
        <v>140</v>
      </c>
      <c r="D90" s="59" t="s">
        <v>9641</v>
      </c>
      <c r="E90" s="58" t="s">
        <v>231</v>
      </c>
      <c r="F90" s="60" t="s">
        <v>9642</v>
      </c>
      <c r="G90" s="58" t="s">
        <v>9643</v>
      </c>
      <c r="H90" s="58"/>
      <c r="I90" s="58"/>
      <c r="J90" s="58"/>
      <c r="K90" s="58"/>
      <c r="L90" s="58" t="s">
        <v>9622</v>
      </c>
      <c r="M90" s="58"/>
      <c r="N90" s="61" t="s">
        <v>91</v>
      </c>
      <c r="O90" s="58" t="s">
        <v>1986</v>
      </c>
      <c r="P90" s="61" t="n">
        <v>750</v>
      </c>
    </row>
    <row r="91" customFormat="false" ht="43.25" hidden="false" customHeight="false" outlineLevel="0" collapsed="false">
      <c r="A91" s="22" t="s">
        <v>9644</v>
      </c>
      <c r="B91" s="17" t="s">
        <v>9249</v>
      </c>
      <c r="C91" s="17" t="s">
        <v>140</v>
      </c>
      <c r="D91" s="55" t="s">
        <v>4753</v>
      </c>
      <c r="E91" s="17" t="s">
        <v>221</v>
      </c>
      <c r="F91" s="56" t="s">
        <v>9645</v>
      </c>
      <c r="G91" s="17" t="s">
        <v>9646</v>
      </c>
      <c r="H91" s="17"/>
      <c r="I91" s="17" t="s">
        <v>9647</v>
      </c>
      <c r="J91" s="17" t="s">
        <v>9648</v>
      </c>
      <c r="K91" s="17" t="s">
        <v>656</v>
      </c>
      <c r="L91" s="17" t="s">
        <v>9591</v>
      </c>
      <c r="M91" s="17" t="s">
        <v>9649</v>
      </c>
      <c r="N91" s="15" t="s">
        <v>91</v>
      </c>
      <c r="O91" s="17" t="s">
        <v>1986</v>
      </c>
      <c r="P91" s="15" t="n">
        <v>760</v>
      </c>
    </row>
    <row r="92" customFormat="false" ht="22.35" hidden="false" customHeight="false" outlineLevel="0" collapsed="false">
      <c r="A92" s="57" t="s">
        <v>9650</v>
      </c>
      <c r="B92" s="58" t="s">
        <v>9249</v>
      </c>
      <c r="C92" s="58" t="s">
        <v>140</v>
      </c>
      <c r="D92" s="59" t="s">
        <v>9651</v>
      </c>
      <c r="E92" s="58" t="s">
        <v>231</v>
      </c>
      <c r="F92" s="60" t="s">
        <v>9652</v>
      </c>
      <c r="G92" s="58" t="s">
        <v>9653</v>
      </c>
      <c r="H92" s="58"/>
      <c r="I92" s="58"/>
      <c r="J92" s="58"/>
      <c r="K92" s="58"/>
      <c r="L92" s="58" t="s">
        <v>9622</v>
      </c>
      <c r="M92" s="58"/>
      <c r="N92" s="61" t="s">
        <v>91</v>
      </c>
      <c r="O92" s="58" t="s">
        <v>1986</v>
      </c>
      <c r="P92" s="61" t="n">
        <v>781</v>
      </c>
    </row>
    <row r="93" customFormat="false" ht="22.35" hidden="false" customHeight="false" outlineLevel="0" collapsed="false">
      <c r="A93" s="22" t="s">
        <v>9654</v>
      </c>
      <c r="B93" s="17" t="s">
        <v>9249</v>
      </c>
      <c r="C93" s="17" t="s">
        <v>140</v>
      </c>
      <c r="D93" s="55" t="s">
        <v>9655</v>
      </c>
      <c r="E93" s="17" t="s">
        <v>231</v>
      </c>
      <c r="F93" s="56" t="s">
        <v>9656</v>
      </c>
      <c r="G93" s="17" t="s">
        <v>9657</v>
      </c>
      <c r="H93" s="17"/>
      <c r="I93" s="17"/>
      <c r="J93" s="17"/>
      <c r="K93" s="17"/>
      <c r="L93" s="17" t="s">
        <v>9622</v>
      </c>
      <c r="M93" s="17"/>
      <c r="N93" s="15" t="s">
        <v>91</v>
      </c>
      <c r="O93" s="17" t="s">
        <v>1986</v>
      </c>
      <c r="P93" s="15" t="n">
        <v>790</v>
      </c>
    </row>
    <row r="94" customFormat="false" ht="64.15" hidden="false" customHeight="false" outlineLevel="0" collapsed="false">
      <c r="A94" s="57" t="s">
        <v>9658</v>
      </c>
      <c r="B94" s="58" t="s">
        <v>9249</v>
      </c>
      <c r="C94" s="58" t="s">
        <v>140</v>
      </c>
      <c r="D94" s="59" t="s">
        <v>4740</v>
      </c>
      <c r="E94" s="58" t="s">
        <v>221</v>
      </c>
      <c r="F94" s="60" t="s">
        <v>9659</v>
      </c>
      <c r="G94" s="58" t="s">
        <v>9660</v>
      </c>
      <c r="H94" s="58"/>
      <c r="I94" s="58" t="s">
        <v>9661</v>
      </c>
      <c r="J94" s="58" t="s">
        <v>9662</v>
      </c>
      <c r="K94" s="58" t="s">
        <v>8844</v>
      </c>
      <c r="L94" s="58"/>
      <c r="M94" s="58" t="s">
        <v>9663</v>
      </c>
      <c r="N94" s="61" t="s">
        <v>91</v>
      </c>
      <c r="O94" s="58" t="s">
        <v>1986</v>
      </c>
      <c r="P94" s="61" t="n">
        <v>796</v>
      </c>
    </row>
    <row r="95" customFormat="false" ht="32.8" hidden="false" customHeight="false" outlineLevel="0" collapsed="false">
      <c r="A95" s="22" t="s">
        <v>9664</v>
      </c>
      <c r="B95" s="17" t="s">
        <v>9249</v>
      </c>
      <c r="C95" s="17" t="s">
        <v>140</v>
      </c>
      <c r="D95" s="55" t="s">
        <v>9665</v>
      </c>
      <c r="E95" s="17" t="s">
        <v>231</v>
      </c>
      <c r="F95" s="56" t="s">
        <v>9666</v>
      </c>
      <c r="G95" s="17" t="s">
        <v>9667</v>
      </c>
      <c r="H95" s="17"/>
      <c r="I95" s="17"/>
      <c r="J95" s="17"/>
      <c r="K95" s="17"/>
      <c r="L95" s="17" t="s">
        <v>9622</v>
      </c>
      <c r="M95" s="17"/>
      <c r="N95" s="15" t="s">
        <v>91</v>
      </c>
      <c r="O95" s="17" t="s">
        <v>1986</v>
      </c>
      <c r="P95" s="15" t="n">
        <v>837</v>
      </c>
    </row>
    <row r="96" customFormat="false" ht="43.25" hidden="false" customHeight="false" outlineLevel="0" collapsed="false">
      <c r="A96" s="57" t="s">
        <v>9668</v>
      </c>
      <c r="B96" s="58" t="s">
        <v>9249</v>
      </c>
      <c r="C96" s="58" t="s">
        <v>140</v>
      </c>
      <c r="D96" s="59" t="s">
        <v>140</v>
      </c>
      <c r="E96" s="58" t="s">
        <v>224</v>
      </c>
      <c r="F96" s="60" t="s">
        <v>4714</v>
      </c>
      <c r="G96" s="58" t="s">
        <v>9669</v>
      </c>
      <c r="H96" s="58"/>
      <c r="I96" s="58"/>
      <c r="J96" s="58"/>
      <c r="K96" s="58"/>
      <c r="L96" s="58" t="s">
        <v>9670</v>
      </c>
      <c r="M96" s="58"/>
      <c r="N96" s="61" t="s">
        <v>91</v>
      </c>
      <c r="O96" s="58" t="s">
        <v>4718</v>
      </c>
      <c r="P96" s="61" t="n">
        <v>182</v>
      </c>
    </row>
  </sheetData>
  <autoFilter ref="A4:P96"/>
  <mergeCells count="1">
    <mergeCell ref="A2:J2"/>
  </mergeCells>
  <printOptions headings="false" gridLines="false" gridLinesSet="true" horizontalCentered="true" verticalCentered="false"/>
  <pageMargins left="0.4" right="0.4" top="0.5" bottom="0.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&amp;LiW-ASCEJ-01-API-Reference-R1.0-REL1.0&amp;C&amp;A&amp;RPage &amp;P of &amp;N</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P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8"/>
    <col collapsed="false" customWidth="true" hidden="false" outlineLevel="0" max="4" min="4" style="0" width="30"/>
    <col collapsed="false" customWidth="true" hidden="false" outlineLevel="0" max="5" min="5" style="0" width="12"/>
    <col collapsed="false" customWidth="true" hidden="false" outlineLevel="0" max="6" min="6" style="0" width="46"/>
    <col collapsed="false" customWidth="true" hidden="false" outlineLevel="0" max="7" min="7" style="0" width="52"/>
    <col collapsed="false" customWidth="true" hidden="false" outlineLevel="0" max="9" min="8" style="0" width="34"/>
    <col collapsed="false" customWidth="true" hidden="false" outlineLevel="0" max="10" min="10" style="0" width="46"/>
    <col collapsed="false" customWidth="true" hidden="false" outlineLevel="0" max="11" min="11" style="0" width="10"/>
    <col collapsed="false" customWidth="true" hidden="false" outlineLevel="0" max="12" min="12" style="0" width="34"/>
    <col collapsed="false" customWidth="true" hidden="false" outlineLevel="0" max="13" min="13" style="0" width="40"/>
    <col collapsed="false" customWidth="true" hidden="false" outlineLevel="0" max="14" min="14" style="0" width="6"/>
    <col collapsed="false" customWidth="true" hidden="false" outlineLevel="0" max="15" min="15" style="0" width="46"/>
    <col collapsed="false" customWidth="true" hidden="false" outlineLevel="0" max="16" min="16" style="0" width="7"/>
  </cols>
  <sheetData>
    <row r="1" customFormat="false" ht="25.5" hidden="false" customHeight="true" outlineLevel="0" collapsed="false">
      <c r="A1" s="12" t="s">
        <v>9671</v>
      </c>
    </row>
    <row r="2" customFormat="false" ht="30" hidden="false" customHeight="true" outlineLevel="0" collapsed="false">
      <c r="A2" s="13" t="s">
        <v>70</v>
      </c>
      <c r="B2" s="13"/>
      <c r="C2" s="13"/>
      <c r="D2" s="13"/>
      <c r="E2" s="13"/>
      <c r="F2" s="13"/>
      <c r="G2" s="13"/>
      <c r="H2" s="13"/>
      <c r="I2" s="13"/>
      <c r="J2" s="13"/>
    </row>
    <row r="3" customFormat="false" ht="15" hidden="false" customHeight="false" outlineLevel="0" collapsed="false">
      <c r="A3" s="9" t="s">
        <v>9672</v>
      </c>
    </row>
    <row r="4" customFormat="false" ht="30" hidden="false" customHeight="true" outlineLevel="0" collapsed="false">
      <c r="A4" s="14" t="s">
        <v>398</v>
      </c>
      <c r="B4" s="14" t="s">
        <v>1006</v>
      </c>
      <c r="C4" s="14" t="s">
        <v>98</v>
      </c>
      <c r="D4" s="14" t="s">
        <v>1007</v>
      </c>
      <c r="E4" s="14" t="s">
        <v>220</v>
      </c>
      <c r="F4" s="14" t="s">
        <v>1008</v>
      </c>
      <c r="G4" s="14" t="s">
        <v>1009</v>
      </c>
      <c r="H4" s="14" t="s">
        <v>1010</v>
      </c>
      <c r="I4" s="14" t="s">
        <v>1011</v>
      </c>
      <c r="J4" s="14" t="s">
        <v>1012</v>
      </c>
      <c r="K4" s="14" t="s">
        <v>1013</v>
      </c>
      <c r="L4" s="14" t="s">
        <v>1014</v>
      </c>
      <c r="M4" s="14" t="s">
        <v>1015</v>
      </c>
      <c r="N4" s="14" t="s">
        <v>1016</v>
      </c>
      <c r="O4" s="14" t="s">
        <v>1017</v>
      </c>
      <c r="P4" s="14" t="s">
        <v>1018</v>
      </c>
    </row>
    <row r="5" customFormat="false" ht="22.35" hidden="false" customHeight="false" outlineLevel="0" collapsed="false">
      <c r="A5" s="22" t="s">
        <v>9673</v>
      </c>
      <c r="B5" s="17" t="s">
        <v>9674</v>
      </c>
      <c r="C5" s="17" t="s">
        <v>193</v>
      </c>
      <c r="D5" s="55" t="s">
        <v>9675</v>
      </c>
      <c r="E5" s="17" t="s">
        <v>222</v>
      </c>
      <c r="F5" s="56" t="s">
        <v>9676</v>
      </c>
      <c r="G5" s="17" t="s">
        <v>9677</v>
      </c>
      <c r="H5" s="17" t="s">
        <v>9678</v>
      </c>
      <c r="I5" s="17" t="s">
        <v>9679</v>
      </c>
      <c r="J5" s="17"/>
      <c r="K5" s="17"/>
      <c r="L5" s="17" t="s">
        <v>9680</v>
      </c>
      <c r="M5" s="17"/>
      <c r="N5" s="15" t="s">
        <v>94</v>
      </c>
      <c r="O5" s="17" t="s">
        <v>9681</v>
      </c>
      <c r="P5" s="15" t="n">
        <v>677</v>
      </c>
    </row>
    <row r="6" customFormat="false" ht="22.35" hidden="false" customHeight="false" outlineLevel="0" collapsed="false">
      <c r="A6" s="57" t="s">
        <v>9682</v>
      </c>
      <c r="B6" s="58" t="s">
        <v>9674</v>
      </c>
      <c r="C6" s="58" t="s">
        <v>193</v>
      </c>
      <c r="D6" s="59" t="s">
        <v>9683</v>
      </c>
      <c r="E6" s="58" t="s">
        <v>222</v>
      </c>
      <c r="F6" s="60" t="s">
        <v>9684</v>
      </c>
      <c r="G6" s="58" t="s">
        <v>9685</v>
      </c>
      <c r="H6" s="58" t="s">
        <v>9678</v>
      </c>
      <c r="I6" s="58" t="s">
        <v>9686</v>
      </c>
      <c r="J6" s="58"/>
      <c r="K6" s="58"/>
      <c r="L6" s="58" t="s">
        <v>9687</v>
      </c>
      <c r="M6" s="58"/>
      <c r="N6" s="61" t="s">
        <v>94</v>
      </c>
      <c r="O6" s="58" t="s">
        <v>9681</v>
      </c>
      <c r="P6" s="61" t="n">
        <v>683</v>
      </c>
    </row>
    <row r="7" customFormat="false" ht="43.25" hidden="false" customHeight="false" outlineLevel="0" collapsed="false">
      <c r="A7" s="22" t="s">
        <v>9688</v>
      </c>
      <c r="B7" s="17" t="s">
        <v>9674</v>
      </c>
      <c r="C7" s="17" t="s">
        <v>193</v>
      </c>
      <c r="D7" s="55" t="s">
        <v>9689</v>
      </c>
      <c r="E7" s="17" t="s">
        <v>222</v>
      </c>
      <c r="F7" s="56" t="s">
        <v>9690</v>
      </c>
      <c r="G7" s="17" t="s">
        <v>9691</v>
      </c>
      <c r="H7" s="17" t="s">
        <v>9692</v>
      </c>
      <c r="I7" s="17" t="s">
        <v>9678</v>
      </c>
      <c r="J7" s="17"/>
      <c r="K7" s="17"/>
      <c r="L7" s="17" t="s">
        <v>9693</v>
      </c>
      <c r="M7" s="17" t="s">
        <v>9694</v>
      </c>
      <c r="N7" s="15" t="s">
        <v>94</v>
      </c>
      <c r="O7" s="17" t="s">
        <v>9681</v>
      </c>
      <c r="P7" s="15" t="n">
        <v>696</v>
      </c>
    </row>
    <row r="8" customFormat="false" ht="32.8" hidden="false" customHeight="false" outlineLevel="0" collapsed="false">
      <c r="A8" s="57" t="s">
        <v>9695</v>
      </c>
      <c r="B8" s="58" t="s">
        <v>9674</v>
      </c>
      <c r="C8" s="58" t="s">
        <v>193</v>
      </c>
      <c r="D8" s="59" t="s">
        <v>9696</v>
      </c>
      <c r="E8" s="58" t="s">
        <v>222</v>
      </c>
      <c r="F8" s="60" t="s">
        <v>9697</v>
      </c>
      <c r="G8" s="58" t="s">
        <v>9698</v>
      </c>
      <c r="H8" s="58" t="s">
        <v>9699</v>
      </c>
      <c r="I8" s="58" t="s">
        <v>9678</v>
      </c>
      <c r="J8" s="58"/>
      <c r="K8" s="58"/>
      <c r="L8" s="58" t="s">
        <v>9700</v>
      </c>
      <c r="M8" s="58"/>
      <c r="N8" s="61" t="s">
        <v>94</v>
      </c>
      <c r="O8" s="58" t="s">
        <v>9681</v>
      </c>
      <c r="P8" s="61" t="n">
        <v>706</v>
      </c>
    </row>
    <row r="9" customFormat="false" ht="53.7" hidden="false" customHeight="false" outlineLevel="0" collapsed="false">
      <c r="A9" s="22" t="s">
        <v>9701</v>
      </c>
      <c r="B9" s="17" t="s">
        <v>9674</v>
      </c>
      <c r="C9" s="17" t="s">
        <v>194</v>
      </c>
      <c r="D9" s="55" t="s">
        <v>9702</v>
      </c>
      <c r="E9" s="17" t="s">
        <v>222</v>
      </c>
      <c r="F9" s="56" t="s">
        <v>9703</v>
      </c>
      <c r="G9" s="17" t="s">
        <v>9704</v>
      </c>
      <c r="H9" s="17" t="s">
        <v>9705</v>
      </c>
      <c r="I9" s="17" t="s">
        <v>9706</v>
      </c>
      <c r="J9" s="17"/>
      <c r="K9" s="17"/>
      <c r="L9" s="17" t="s">
        <v>9707</v>
      </c>
      <c r="M9" s="17" t="s">
        <v>9708</v>
      </c>
      <c r="N9" s="15" t="s">
        <v>94</v>
      </c>
      <c r="O9" s="17" t="s">
        <v>9709</v>
      </c>
      <c r="P9" s="15" t="n">
        <v>70</v>
      </c>
    </row>
    <row r="10" customFormat="false" ht="53.7" hidden="false" customHeight="false" outlineLevel="0" collapsed="false">
      <c r="A10" s="57" t="s">
        <v>9710</v>
      </c>
      <c r="B10" s="58" t="s">
        <v>9674</v>
      </c>
      <c r="C10" s="58" t="s">
        <v>194</v>
      </c>
      <c r="D10" s="59" t="s">
        <v>9711</v>
      </c>
      <c r="E10" s="58" t="s">
        <v>222</v>
      </c>
      <c r="F10" s="60" t="s">
        <v>9712</v>
      </c>
      <c r="G10" s="58" t="s">
        <v>9713</v>
      </c>
      <c r="H10" s="58" t="s">
        <v>9705</v>
      </c>
      <c r="I10" s="58" t="s">
        <v>9706</v>
      </c>
      <c r="J10" s="58"/>
      <c r="K10" s="58"/>
      <c r="L10" s="58" t="s">
        <v>9707</v>
      </c>
      <c r="M10" s="58" t="s">
        <v>9714</v>
      </c>
      <c r="N10" s="61" t="s">
        <v>94</v>
      </c>
      <c r="O10" s="58" t="s">
        <v>9715</v>
      </c>
      <c r="P10" s="61" t="n">
        <v>71</v>
      </c>
    </row>
    <row r="11" customFormat="false" ht="74.6" hidden="false" customHeight="false" outlineLevel="0" collapsed="false">
      <c r="A11" s="22" t="s">
        <v>9716</v>
      </c>
      <c r="B11" s="17" t="s">
        <v>9674</v>
      </c>
      <c r="C11" s="17" t="s">
        <v>194</v>
      </c>
      <c r="D11" s="55" t="s">
        <v>9717</v>
      </c>
      <c r="E11" s="17" t="s">
        <v>222</v>
      </c>
      <c r="F11" s="56" t="s">
        <v>9718</v>
      </c>
      <c r="G11" s="17" t="s">
        <v>9719</v>
      </c>
      <c r="H11" s="17" t="s">
        <v>9705</v>
      </c>
      <c r="I11" s="17" t="s">
        <v>9706</v>
      </c>
      <c r="J11" s="17"/>
      <c r="K11" s="17"/>
      <c r="L11" s="17" t="s">
        <v>9707</v>
      </c>
      <c r="M11" s="17" t="s">
        <v>9720</v>
      </c>
      <c r="N11" s="15" t="s">
        <v>94</v>
      </c>
      <c r="O11" s="17" t="s">
        <v>9721</v>
      </c>
      <c r="P11" s="15" t="n">
        <v>72</v>
      </c>
    </row>
    <row r="12" customFormat="false" ht="85.05" hidden="false" customHeight="false" outlineLevel="0" collapsed="false">
      <c r="A12" s="57" t="s">
        <v>9722</v>
      </c>
      <c r="B12" s="58" t="s">
        <v>9674</v>
      </c>
      <c r="C12" s="58" t="s">
        <v>194</v>
      </c>
      <c r="D12" s="59" t="s">
        <v>9723</v>
      </c>
      <c r="E12" s="58" t="s">
        <v>222</v>
      </c>
      <c r="F12" s="60" t="s">
        <v>9724</v>
      </c>
      <c r="G12" s="58" t="s">
        <v>9725</v>
      </c>
      <c r="H12" s="58" t="s">
        <v>9705</v>
      </c>
      <c r="I12" s="58" t="s">
        <v>9678</v>
      </c>
      <c r="J12" s="58"/>
      <c r="K12" s="58"/>
      <c r="L12" s="58" t="s">
        <v>9707</v>
      </c>
      <c r="M12" s="58" t="s">
        <v>9726</v>
      </c>
      <c r="N12" s="61" t="s">
        <v>94</v>
      </c>
      <c r="O12" s="58" t="s">
        <v>9727</v>
      </c>
      <c r="P12" s="61" t="n">
        <v>206</v>
      </c>
    </row>
    <row r="13" customFormat="false" ht="95.5" hidden="false" customHeight="false" outlineLevel="0" collapsed="false">
      <c r="A13" s="22" t="s">
        <v>9728</v>
      </c>
      <c r="B13" s="17" t="s">
        <v>9674</v>
      </c>
      <c r="C13" s="17" t="s">
        <v>194</v>
      </c>
      <c r="D13" s="55" t="s">
        <v>9729</v>
      </c>
      <c r="E13" s="17" t="s">
        <v>222</v>
      </c>
      <c r="F13" s="56" t="s">
        <v>9730</v>
      </c>
      <c r="G13" s="17" t="s">
        <v>9731</v>
      </c>
      <c r="H13" s="17" t="s">
        <v>9705</v>
      </c>
      <c r="I13" s="17" t="s">
        <v>9706</v>
      </c>
      <c r="J13" s="17"/>
      <c r="K13" s="17"/>
      <c r="L13" s="17" t="s">
        <v>9707</v>
      </c>
      <c r="M13" s="17" t="s">
        <v>9732</v>
      </c>
      <c r="N13" s="15" t="s">
        <v>94</v>
      </c>
      <c r="O13" s="17" t="s">
        <v>9733</v>
      </c>
      <c r="P13" s="15" t="n">
        <v>118</v>
      </c>
    </row>
    <row r="14" customFormat="false" ht="32.8" hidden="false" customHeight="false" outlineLevel="0" collapsed="false">
      <c r="A14" s="57" t="s">
        <v>9734</v>
      </c>
      <c r="B14" s="58" t="s">
        <v>9674</v>
      </c>
      <c r="C14" s="58" t="s">
        <v>194</v>
      </c>
      <c r="D14" s="59" t="s">
        <v>9735</v>
      </c>
      <c r="E14" s="58" t="s">
        <v>222</v>
      </c>
      <c r="F14" s="60" t="s">
        <v>9736</v>
      </c>
      <c r="G14" s="58" t="s">
        <v>9737</v>
      </c>
      <c r="H14" s="58" t="s">
        <v>9738</v>
      </c>
      <c r="I14" s="58" t="s">
        <v>9678</v>
      </c>
      <c r="J14" s="58"/>
      <c r="K14" s="58"/>
      <c r="L14" s="58" t="s">
        <v>9739</v>
      </c>
      <c r="M14" s="58"/>
      <c r="N14" s="61" t="s">
        <v>94</v>
      </c>
      <c r="O14" s="58" t="s">
        <v>9681</v>
      </c>
      <c r="P14" s="61" t="n">
        <v>996</v>
      </c>
    </row>
    <row r="15" customFormat="false" ht="32.8" hidden="false" customHeight="false" outlineLevel="0" collapsed="false">
      <c r="A15" s="22" t="s">
        <v>9740</v>
      </c>
      <c r="B15" s="17" t="s">
        <v>9674</v>
      </c>
      <c r="C15" s="17" t="s">
        <v>194</v>
      </c>
      <c r="D15" s="55" t="s">
        <v>9741</v>
      </c>
      <c r="E15" s="17" t="s">
        <v>222</v>
      </c>
      <c r="F15" s="56" t="s">
        <v>9742</v>
      </c>
      <c r="G15" s="17" t="s">
        <v>9743</v>
      </c>
      <c r="H15" s="17" t="s">
        <v>9738</v>
      </c>
      <c r="I15" s="17" t="s">
        <v>9678</v>
      </c>
      <c r="J15" s="17"/>
      <c r="K15" s="17"/>
      <c r="L15" s="17" t="s">
        <v>9744</v>
      </c>
      <c r="M15" s="17"/>
      <c r="N15" s="15" t="s">
        <v>94</v>
      </c>
      <c r="O15" s="17" t="s">
        <v>9681</v>
      </c>
      <c r="P15" s="15" t="n">
        <v>1025</v>
      </c>
    </row>
    <row r="16" customFormat="false" ht="43.25" hidden="false" customHeight="false" outlineLevel="0" collapsed="false">
      <c r="A16" s="57" t="s">
        <v>9745</v>
      </c>
      <c r="B16" s="58" t="s">
        <v>9674</v>
      </c>
      <c r="C16" s="58" t="s">
        <v>195</v>
      </c>
      <c r="D16" s="59" t="s">
        <v>9746</v>
      </c>
      <c r="E16" s="58" t="s">
        <v>223</v>
      </c>
      <c r="F16" s="60" t="s">
        <v>9747</v>
      </c>
      <c r="G16" s="58" t="s">
        <v>9748</v>
      </c>
      <c r="H16" s="58"/>
      <c r="I16" s="58"/>
      <c r="J16" s="58"/>
      <c r="K16" s="58"/>
      <c r="L16" s="58" t="s">
        <v>9749</v>
      </c>
      <c r="M16" s="58" t="s">
        <v>9750</v>
      </c>
      <c r="N16" s="61" t="s">
        <v>94</v>
      </c>
      <c r="O16" s="58" t="s">
        <v>9751</v>
      </c>
      <c r="P16" s="61" t="n">
        <v>891</v>
      </c>
    </row>
    <row r="17" customFormat="false" ht="32.8" hidden="false" customHeight="false" outlineLevel="0" collapsed="false">
      <c r="A17" s="22" t="s">
        <v>9752</v>
      </c>
      <c r="B17" s="17" t="s">
        <v>9674</v>
      </c>
      <c r="C17" s="17" t="s">
        <v>195</v>
      </c>
      <c r="D17" s="55" t="s">
        <v>9753</v>
      </c>
      <c r="E17" s="17" t="s">
        <v>223</v>
      </c>
      <c r="F17" s="56" t="s">
        <v>9754</v>
      </c>
      <c r="G17" s="17" t="s">
        <v>9755</v>
      </c>
      <c r="H17" s="17"/>
      <c r="I17" s="17"/>
      <c r="J17" s="17"/>
      <c r="K17" s="17"/>
      <c r="L17" s="17" t="s">
        <v>9756</v>
      </c>
      <c r="M17" s="17" t="s">
        <v>9757</v>
      </c>
      <c r="N17" s="15" t="s">
        <v>94</v>
      </c>
      <c r="O17" s="17" t="s">
        <v>9751</v>
      </c>
      <c r="P17" s="15" t="n">
        <v>959</v>
      </c>
    </row>
    <row r="18" customFormat="false" ht="32.8" hidden="false" customHeight="false" outlineLevel="0" collapsed="false">
      <c r="A18" s="57" t="s">
        <v>9758</v>
      </c>
      <c r="B18" s="58" t="s">
        <v>9674</v>
      </c>
      <c r="C18" s="58" t="s">
        <v>195</v>
      </c>
      <c r="D18" s="59" t="s">
        <v>9759</v>
      </c>
      <c r="E18" s="58" t="s">
        <v>222</v>
      </c>
      <c r="F18" s="60" t="s">
        <v>9760</v>
      </c>
      <c r="G18" s="58" t="s">
        <v>9761</v>
      </c>
      <c r="H18" s="58" t="s">
        <v>9762</v>
      </c>
      <c r="I18" s="58" t="s">
        <v>9763</v>
      </c>
      <c r="J18" s="58" t="s">
        <v>9764</v>
      </c>
      <c r="K18" s="58" t="s">
        <v>439</v>
      </c>
      <c r="L18" s="58" t="s">
        <v>9765</v>
      </c>
      <c r="M18" s="58" t="s">
        <v>9766</v>
      </c>
      <c r="N18" s="61" t="s">
        <v>94</v>
      </c>
      <c r="O18" s="58" t="s">
        <v>9681</v>
      </c>
      <c r="P18" s="61" t="n">
        <v>279</v>
      </c>
    </row>
    <row r="19" customFormat="false" ht="43.25" hidden="false" customHeight="false" outlineLevel="0" collapsed="false">
      <c r="A19" s="22" t="s">
        <v>9767</v>
      </c>
      <c r="B19" s="17" t="s">
        <v>9674</v>
      </c>
      <c r="C19" s="17" t="s">
        <v>195</v>
      </c>
      <c r="D19" s="55" t="s">
        <v>9765</v>
      </c>
      <c r="E19" s="17" t="s">
        <v>222</v>
      </c>
      <c r="F19" s="56" t="s">
        <v>9768</v>
      </c>
      <c r="G19" s="17" t="s">
        <v>9769</v>
      </c>
      <c r="H19" s="17" t="s">
        <v>9770</v>
      </c>
      <c r="I19" s="17" t="s">
        <v>9771</v>
      </c>
      <c r="J19" s="17" t="s">
        <v>9772</v>
      </c>
      <c r="K19" s="17" t="s">
        <v>439</v>
      </c>
      <c r="L19" s="17" t="s">
        <v>9773</v>
      </c>
      <c r="M19" s="17" t="s">
        <v>9774</v>
      </c>
      <c r="N19" s="15" t="s">
        <v>94</v>
      </c>
      <c r="O19" s="17" t="s">
        <v>9681</v>
      </c>
      <c r="P19" s="15" t="n">
        <v>395</v>
      </c>
    </row>
    <row r="20" customFormat="false" ht="22.35" hidden="false" customHeight="false" outlineLevel="0" collapsed="false">
      <c r="A20" s="57" t="s">
        <v>9775</v>
      </c>
      <c r="B20" s="58" t="s">
        <v>9674</v>
      </c>
      <c r="C20" s="58" t="s">
        <v>195</v>
      </c>
      <c r="D20" s="59" t="s">
        <v>9776</v>
      </c>
      <c r="E20" s="58" t="s">
        <v>222</v>
      </c>
      <c r="F20" s="60" t="s">
        <v>9777</v>
      </c>
      <c r="G20" s="58" t="s">
        <v>9778</v>
      </c>
      <c r="H20" s="58" t="s">
        <v>9678</v>
      </c>
      <c r="I20" s="58" t="s">
        <v>9679</v>
      </c>
      <c r="J20" s="58"/>
      <c r="K20" s="58"/>
      <c r="L20" s="58" t="s">
        <v>9779</v>
      </c>
      <c r="M20" s="58"/>
      <c r="N20" s="61" t="s">
        <v>94</v>
      </c>
      <c r="O20" s="58" t="s">
        <v>9681</v>
      </c>
      <c r="P20" s="61" t="n">
        <v>631</v>
      </c>
    </row>
    <row r="21" customFormat="false" ht="22.35" hidden="false" customHeight="false" outlineLevel="0" collapsed="false">
      <c r="A21" s="22" t="s">
        <v>9780</v>
      </c>
      <c r="B21" s="17" t="s">
        <v>9674</v>
      </c>
      <c r="C21" s="17" t="s">
        <v>195</v>
      </c>
      <c r="D21" s="55" t="s">
        <v>9781</v>
      </c>
      <c r="E21" s="17" t="s">
        <v>222</v>
      </c>
      <c r="F21" s="56" t="s">
        <v>9782</v>
      </c>
      <c r="G21" s="17" t="s">
        <v>9783</v>
      </c>
      <c r="H21" s="17" t="s">
        <v>9678</v>
      </c>
      <c r="I21" s="17" t="s">
        <v>9679</v>
      </c>
      <c r="J21" s="17"/>
      <c r="K21" s="17"/>
      <c r="L21" s="17" t="s">
        <v>9779</v>
      </c>
      <c r="M21" s="17"/>
      <c r="N21" s="15" t="s">
        <v>94</v>
      </c>
      <c r="O21" s="17" t="s">
        <v>9681</v>
      </c>
      <c r="P21" s="15" t="n">
        <v>651</v>
      </c>
    </row>
    <row r="22" customFormat="false" ht="32.8" hidden="false" customHeight="false" outlineLevel="0" collapsed="false">
      <c r="A22" s="57" t="s">
        <v>9784</v>
      </c>
      <c r="B22" s="58" t="s">
        <v>9674</v>
      </c>
      <c r="C22" s="58" t="s">
        <v>195</v>
      </c>
      <c r="D22" s="59" t="s">
        <v>9785</v>
      </c>
      <c r="E22" s="58" t="s">
        <v>222</v>
      </c>
      <c r="F22" s="60" t="s">
        <v>9786</v>
      </c>
      <c r="G22" s="58" t="s">
        <v>9787</v>
      </c>
      <c r="H22" s="58" t="s">
        <v>9678</v>
      </c>
      <c r="I22" s="58" t="s">
        <v>9788</v>
      </c>
      <c r="J22" s="58" t="s">
        <v>9789</v>
      </c>
      <c r="K22" s="58" t="s">
        <v>485</v>
      </c>
      <c r="L22" s="58" t="s">
        <v>9790</v>
      </c>
      <c r="M22" s="58" t="s">
        <v>9791</v>
      </c>
      <c r="N22" s="61" t="s">
        <v>94</v>
      </c>
      <c r="O22" s="58" t="s">
        <v>9681</v>
      </c>
      <c r="P22" s="61" t="n">
        <v>658</v>
      </c>
    </row>
    <row r="23" customFormat="false" ht="22.35" hidden="false" customHeight="false" outlineLevel="0" collapsed="false">
      <c r="A23" s="22" t="s">
        <v>9792</v>
      </c>
      <c r="B23" s="17" t="s">
        <v>9674</v>
      </c>
      <c r="C23" s="17" t="s">
        <v>195</v>
      </c>
      <c r="D23" s="55" t="s">
        <v>9793</v>
      </c>
      <c r="E23" s="17" t="s">
        <v>222</v>
      </c>
      <c r="F23" s="56" t="s">
        <v>9794</v>
      </c>
      <c r="G23" s="17" t="s">
        <v>9795</v>
      </c>
      <c r="H23" s="17" t="s">
        <v>9678</v>
      </c>
      <c r="I23" s="17" t="s">
        <v>9679</v>
      </c>
      <c r="J23" s="17"/>
      <c r="K23" s="17"/>
      <c r="L23" s="17" t="s">
        <v>9796</v>
      </c>
      <c r="M23" s="17"/>
      <c r="N23" s="15" t="s">
        <v>94</v>
      </c>
      <c r="O23" s="17" t="s">
        <v>9681</v>
      </c>
      <c r="P23" s="15" t="n">
        <v>802</v>
      </c>
    </row>
    <row r="24" customFormat="false" ht="22.35" hidden="false" customHeight="false" outlineLevel="0" collapsed="false">
      <c r="A24" s="57" t="s">
        <v>9797</v>
      </c>
      <c r="B24" s="58" t="s">
        <v>9674</v>
      </c>
      <c r="C24" s="58" t="s">
        <v>195</v>
      </c>
      <c r="D24" s="59" t="s">
        <v>9749</v>
      </c>
      <c r="E24" s="58" t="s">
        <v>222</v>
      </c>
      <c r="F24" s="60" t="s">
        <v>9798</v>
      </c>
      <c r="G24" s="58" t="s">
        <v>9799</v>
      </c>
      <c r="H24" s="58" t="s">
        <v>9800</v>
      </c>
      <c r="I24" s="58" t="s">
        <v>9679</v>
      </c>
      <c r="J24" s="58" t="s">
        <v>9801</v>
      </c>
      <c r="K24" s="58"/>
      <c r="L24" s="58" t="s">
        <v>9796</v>
      </c>
      <c r="M24" s="58"/>
      <c r="N24" s="61" t="s">
        <v>94</v>
      </c>
      <c r="O24" s="58" t="s">
        <v>9681</v>
      </c>
      <c r="P24" s="61" t="n">
        <v>817</v>
      </c>
    </row>
    <row r="25" customFormat="false" ht="32.8" hidden="false" customHeight="false" outlineLevel="0" collapsed="false">
      <c r="A25" s="22" t="s">
        <v>9802</v>
      </c>
      <c r="B25" s="17" t="s">
        <v>9674</v>
      </c>
      <c r="C25" s="17" t="s">
        <v>195</v>
      </c>
      <c r="D25" s="55" t="s">
        <v>9756</v>
      </c>
      <c r="E25" s="17" t="s">
        <v>222</v>
      </c>
      <c r="F25" s="56" t="s">
        <v>9803</v>
      </c>
      <c r="G25" s="17" t="s">
        <v>9804</v>
      </c>
      <c r="H25" s="17" t="s">
        <v>9805</v>
      </c>
      <c r="I25" s="17" t="s">
        <v>9679</v>
      </c>
      <c r="J25" s="17" t="s">
        <v>9806</v>
      </c>
      <c r="K25" s="17"/>
      <c r="L25" s="17" t="s">
        <v>9796</v>
      </c>
      <c r="M25" s="17" t="s">
        <v>9807</v>
      </c>
      <c r="N25" s="15" t="s">
        <v>94</v>
      </c>
      <c r="O25" s="17" t="s">
        <v>9681</v>
      </c>
      <c r="P25" s="15" t="n">
        <v>830</v>
      </c>
    </row>
    <row r="26" customFormat="false" ht="32.8" hidden="false" customHeight="false" outlineLevel="0" collapsed="false">
      <c r="A26" s="57" t="s">
        <v>9808</v>
      </c>
      <c r="B26" s="58" t="s">
        <v>9674</v>
      </c>
      <c r="C26" s="58" t="s">
        <v>195</v>
      </c>
      <c r="D26" s="59" t="s">
        <v>9809</v>
      </c>
      <c r="E26" s="58" t="s">
        <v>222</v>
      </c>
      <c r="F26" s="60" t="s">
        <v>9810</v>
      </c>
      <c r="G26" s="58" t="s">
        <v>9811</v>
      </c>
      <c r="H26" s="58" t="s">
        <v>9678</v>
      </c>
      <c r="I26" s="58" t="s">
        <v>9812</v>
      </c>
      <c r="J26" s="58"/>
      <c r="K26" s="58"/>
      <c r="L26" s="58" t="s">
        <v>9796</v>
      </c>
      <c r="M26" s="58" t="s">
        <v>9813</v>
      </c>
      <c r="N26" s="61" t="s">
        <v>94</v>
      </c>
      <c r="O26" s="58" t="s">
        <v>9681</v>
      </c>
      <c r="P26" s="61" t="n">
        <v>863</v>
      </c>
    </row>
    <row r="27" customFormat="false" ht="22.35" hidden="false" customHeight="false" outlineLevel="0" collapsed="false">
      <c r="A27" s="22" t="s">
        <v>9814</v>
      </c>
      <c r="B27" s="17" t="s">
        <v>9674</v>
      </c>
      <c r="C27" s="17" t="s">
        <v>195</v>
      </c>
      <c r="D27" s="55" t="s">
        <v>9815</v>
      </c>
      <c r="E27" s="17" t="s">
        <v>222</v>
      </c>
      <c r="F27" s="56" t="s">
        <v>9816</v>
      </c>
      <c r="G27" s="17" t="s">
        <v>9817</v>
      </c>
      <c r="H27" s="17" t="s">
        <v>9818</v>
      </c>
      <c r="I27" s="17" t="s">
        <v>9819</v>
      </c>
      <c r="J27" s="17" t="s">
        <v>9820</v>
      </c>
      <c r="K27" s="17" t="s">
        <v>439</v>
      </c>
      <c r="L27" s="17" t="s">
        <v>9821</v>
      </c>
      <c r="M27" s="17"/>
      <c r="N27" s="15" t="s">
        <v>94</v>
      </c>
      <c r="O27" s="17" t="s">
        <v>9681</v>
      </c>
      <c r="P27" s="15" t="n">
        <v>965</v>
      </c>
    </row>
    <row r="28" customFormat="false" ht="22.35" hidden="false" customHeight="false" outlineLevel="0" collapsed="false">
      <c r="A28" s="57" t="s">
        <v>9822</v>
      </c>
      <c r="B28" s="58" t="s">
        <v>9674</v>
      </c>
      <c r="C28" s="58" t="s">
        <v>196</v>
      </c>
      <c r="D28" s="59" t="s">
        <v>9823</v>
      </c>
      <c r="E28" s="58" t="s">
        <v>226</v>
      </c>
      <c r="F28" s="60" t="s">
        <v>9824</v>
      </c>
      <c r="G28" s="58" t="s">
        <v>9825</v>
      </c>
      <c r="H28" s="58" t="s">
        <v>9826</v>
      </c>
      <c r="I28" s="58" t="s">
        <v>9827</v>
      </c>
      <c r="J28" s="58"/>
      <c r="K28" s="58"/>
      <c r="L28" s="58" t="s">
        <v>9828</v>
      </c>
      <c r="M28" s="58" t="s">
        <v>9829</v>
      </c>
      <c r="N28" s="61" t="s">
        <v>94</v>
      </c>
      <c r="O28" s="58" t="s">
        <v>9681</v>
      </c>
      <c r="P28" s="61" t="n">
        <v>337</v>
      </c>
    </row>
    <row r="29" customFormat="false" ht="22.35" hidden="false" customHeight="false" outlineLevel="0" collapsed="false">
      <c r="A29" s="22" t="s">
        <v>9830</v>
      </c>
      <c r="B29" s="17" t="s">
        <v>9674</v>
      </c>
      <c r="C29" s="17" t="s">
        <v>196</v>
      </c>
      <c r="D29" s="55" t="s">
        <v>9831</v>
      </c>
      <c r="E29" s="17" t="s">
        <v>222</v>
      </c>
      <c r="F29" s="56" t="s">
        <v>9832</v>
      </c>
      <c r="G29" s="17" t="s">
        <v>9833</v>
      </c>
      <c r="H29" s="17" t="s">
        <v>9834</v>
      </c>
      <c r="I29" s="17" t="s">
        <v>9835</v>
      </c>
      <c r="J29" s="17"/>
      <c r="K29" s="17"/>
      <c r="L29" s="17" t="s">
        <v>9836</v>
      </c>
      <c r="M29" s="17"/>
      <c r="N29" s="15" t="s">
        <v>94</v>
      </c>
      <c r="O29" s="17" t="s">
        <v>9681</v>
      </c>
      <c r="P29" s="15" t="n">
        <v>343</v>
      </c>
    </row>
    <row r="30" customFormat="false" ht="43.25" hidden="false" customHeight="false" outlineLevel="0" collapsed="false">
      <c r="A30" s="57" t="s">
        <v>9837</v>
      </c>
      <c r="B30" s="58" t="s">
        <v>9674</v>
      </c>
      <c r="C30" s="58" t="s">
        <v>196</v>
      </c>
      <c r="D30" s="59" t="s">
        <v>9838</v>
      </c>
      <c r="E30" s="58" t="s">
        <v>222</v>
      </c>
      <c r="F30" s="60" t="s">
        <v>9839</v>
      </c>
      <c r="G30" s="58" t="s">
        <v>9840</v>
      </c>
      <c r="H30" s="58" t="s">
        <v>9678</v>
      </c>
      <c r="I30" s="58" t="s">
        <v>9841</v>
      </c>
      <c r="J30" s="58"/>
      <c r="K30" s="58"/>
      <c r="L30" s="58" t="s">
        <v>9842</v>
      </c>
      <c r="M30" s="58" t="s">
        <v>9843</v>
      </c>
      <c r="N30" s="61" t="s">
        <v>94</v>
      </c>
      <c r="O30" s="58" t="s">
        <v>9681</v>
      </c>
      <c r="P30" s="61" t="n">
        <v>352</v>
      </c>
    </row>
    <row r="31" customFormat="false" ht="53.7" hidden="false" customHeight="false" outlineLevel="0" collapsed="false">
      <c r="A31" s="22" t="s">
        <v>9844</v>
      </c>
      <c r="B31" s="17" t="s">
        <v>9674</v>
      </c>
      <c r="C31" s="17" t="s">
        <v>196</v>
      </c>
      <c r="D31" s="55" t="s">
        <v>9828</v>
      </c>
      <c r="E31" s="17" t="s">
        <v>222</v>
      </c>
      <c r="F31" s="56" t="s">
        <v>9845</v>
      </c>
      <c r="G31" s="17" t="s">
        <v>9846</v>
      </c>
      <c r="H31" s="17" t="s">
        <v>9847</v>
      </c>
      <c r="I31" s="17" t="s">
        <v>9848</v>
      </c>
      <c r="J31" s="17"/>
      <c r="K31" s="17"/>
      <c r="L31" s="17" t="s">
        <v>9849</v>
      </c>
      <c r="M31" s="17" t="s">
        <v>9850</v>
      </c>
      <c r="N31" s="15" t="s">
        <v>94</v>
      </c>
      <c r="O31" s="17" t="s">
        <v>9681</v>
      </c>
      <c r="P31" s="15" t="n">
        <v>366</v>
      </c>
    </row>
    <row r="32" customFormat="false" ht="32.8" hidden="false" customHeight="false" outlineLevel="0" collapsed="false">
      <c r="A32" s="57" t="s">
        <v>9851</v>
      </c>
      <c r="B32" s="58" t="s">
        <v>9674</v>
      </c>
      <c r="C32" s="58" t="s">
        <v>196</v>
      </c>
      <c r="D32" s="59" t="s">
        <v>9852</v>
      </c>
      <c r="E32" s="58" t="s">
        <v>222</v>
      </c>
      <c r="F32" s="60" t="s">
        <v>9853</v>
      </c>
      <c r="G32" s="58" t="s">
        <v>9854</v>
      </c>
      <c r="H32" s="58" t="s">
        <v>9678</v>
      </c>
      <c r="I32" s="58" t="s">
        <v>9855</v>
      </c>
      <c r="J32" s="58"/>
      <c r="K32" s="58"/>
      <c r="L32" s="58" t="s">
        <v>9856</v>
      </c>
      <c r="M32" s="58"/>
      <c r="N32" s="61" t="s">
        <v>94</v>
      </c>
      <c r="O32" s="58" t="s">
        <v>9681</v>
      </c>
      <c r="P32" s="61" t="n">
        <v>383</v>
      </c>
    </row>
    <row r="33" customFormat="false" ht="85.05" hidden="false" customHeight="false" outlineLevel="0" collapsed="false">
      <c r="A33" s="22" t="s">
        <v>9857</v>
      </c>
      <c r="B33" s="17" t="s">
        <v>9674</v>
      </c>
      <c r="C33" s="17" t="s">
        <v>197</v>
      </c>
      <c r="D33" s="55" t="s">
        <v>9858</v>
      </c>
      <c r="E33" s="17" t="s">
        <v>222</v>
      </c>
      <c r="F33" s="56" t="s">
        <v>9859</v>
      </c>
      <c r="G33" s="17" t="s">
        <v>9860</v>
      </c>
      <c r="H33" s="17" t="s">
        <v>9861</v>
      </c>
      <c r="I33" s="17" t="s">
        <v>9678</v>
      </c>
      <c r="J33" s="17" t="s">
        <v>9862</v>
      </c>
      <c r="K33" s="17" t="s">
        <v>1396</v>
      </c>
      <c r="L33" s="17" t="s">
        <v>9707</v>
      </c>
      <c r="M33" s="17" t="s">
        <v>9863</v>
      </c>
      <c r="N33" s="15" t="s">
        <v>94</v>
      </c>
      <c r="O33" s="17" t="s">
        <v>9864</v>
      </c>
      <c r="P33" s="15" t="n">
        <v>315</v>
      </c>
    </row>
    <row r="34" customFormat="false" ht="22.35" hidden="false" customHeight="false" outlineLevel="0" collapsed="false">
      <c r="A34" s="57" t="s">
        <v>9865</v>
      </c>
      <c r="B34" s="58" t="s">
        <v>9674</v>
      </c>
      <c r="C34" s="58" t="s">
        <v>197</v>
      </c>
      <c r="D34" s="59" t="s">
        <v>9866</v>
      </c>
      <c r="E34" s="58" t="s">
        <v>222</v>
      </c>
      <c r="F34" s="60" t="s">
        <v>9867</v>
      </c>
      <c r="G34" s="58" t="s">
        <v>9868</v>
      </c>
      <c r="H34" s="58" t="s">
        <v>9678</v>
      </c>
      <c r="I34" s="58" t="s">
        <v>9679</v>
      </c>
      <c r="J34" s="58"/>
      <c r="K34" s="58"/>
      <c r="L34" s="58" t="s">
        <v>9869</v>
      </c>
      <c r="M34" s="58"/>
      <c r="N34" s="61" t="s">
        <v>94</v>
      </c>
      <c r="O34" s="58" t="s">
        <v>9681</v>
      </c>
      <c r="P34" s="61" t="n">
        <v>769</v>
      </c>
    </row>
    <row r="35" customFormat="false" ht="22.35" hidden="false" customHeight="false" outlineLevel="0" collapsed="false">
      <c r="A35" s="22" t="s">
        <v>9870</v>
      </c>
      <c r="B35" s="17" t="s">
        <v>9674</v>
      </c>
      <c r="C35" s="17" t="s">
        <v>197</v>
      </c>
      <c r="D35" s="55" t="s">
        <v>9871</v>
      </c>
      <c r="E35" s="17" t="s">
        <v>222</v>
      </c>
      <c r="F35" s="56" t="s">
        <v>9872</v>
      </c>
      <c r="G35" s="17" t="s">
        <v>9873</v>
      </c>
      <c r="H35" s="17" t="s">
        <v>9678</v>
      </c>
      <c r="I35" s="17" t="s">
        <v>9678</v>
      </c>
      <c r="J35" s="17"/>
      <c r="K35" s="17" t="s">
        <v>665</v>
      </c>
      <c r="L35" s="17" t="s">
        <v>9874</v>
      </c>
      <c r="M35" s="17"/>
      <c r="N35" s="15" t="s">
        <v>94</v>
      </c>
      <c r="O35" s="17" t="s">
        <v>9681</v>
      </c>
      <c r="P35" s="15" t="n">
        <v>781</v>
      </c>
    </row>
    <row r="36" customFormat="false" ht="43.25" hidden="false" customHeight="false" outlineLevel="0" collapsed="false">
      <c r="A36" s="57" t="s">
        <v>9875</v>
      </c>
      <c r="B36" s="58" t="s">
        <v>9674</v>
      </c>
      <c r="C36" s="58" t="s">
        <v>197</v>
      </c>
      <c r="D36" s="59" t="s">
        <v>9876</v>
      </c>
      <c r="E36" s="58" t="s">
        <v>222</v>
      </c>
      <c r="F36" s="60" t="s">
        <v>9877</v>
      </c>
      <c r="G36" s="58" t="s">
        <v>9878</v>
      </c>
      <c r="H36" s="58" t="s">
        <v>9879</v>
      </c>
      <c r="I36" s="58" t="s">
        <v>9880</v>
      </c>
      <c r="J36" s="58" t="s">
        <v>9881</v>
      </c>
      <c r="K36" s="58" t="s">
        <v>439</v>
      </c>
      <c r="L36" s="58" t="s">
        <v>9882</v>
      </c>
      <c r="M36" s="58"/>
      <c r="N36" s="61" t="s">
        <v>94</v>
      </c>
      <c r="O36" s="58" t="s">
        <v>9681</v>
      </c>
      <c r="P36" s="61" t="n">
        <v>786</v>
      </c>
    </row>
    <row r="37" customFormat="false" ht="53.7" hidden="false" customHeight="false" outlineLevel="0" collapsed="false">
      <c r="A37" s="22" t="s">
        <v>9883</v>
      </c>
      <c r="B37" s="17" t="s">
        <v>9674</v>
      </c>
      <c r="C37" s="17" t="s">
        <v>198</v>
      </c>
      <c r="D37" s="55" t="s">
        <v>9884</v>
      </c>
      <c r="E37" s="17" t="s">
        <v>222</v>
      </c>
      <c r="F37" s="56" t="s">
        <v>9885</v>
      </c>
      <c r="G37" s="17" t="s">
        <v>9886</v>
      </c>
      <c r="H37" s="17" t="s">
        <v>9887</v>
      </c>
      <c r="I37" s="17" t="s">
        <v>9706</v>
      </c>
      <c r="J37" s="17"/>
      <c r="K37" s="17" t="s">
        <v>512</v>
      </c>
      <c r="L37" s="17" t="s">
        <v>9707</v>
      </c>
      <c r="M37" s="17" t="s">
        <v>9888</v>
      </c>
      <c r="N37" s="15" t="s">
        <v>94</v>
      </c>
      <c r="O37" s="17" t="s">
        <v>9889</v>
      </c>
      <c r="P37" s="15" t="n">
        <v>107</v>
      </c>
    </row>
    <row r="38" customFormat="false" ht="64.15" hidden="false" customHeight="false" outlineLevel="0" collapsed="false">
      <c r="A38" s="57" t="s">
        <v>9890</v>
      </c>
      <c r="B38" s="58" t="s">
        <v>9674</v>
      </c>
      <c r="C38" s="58" t="s">
        <v>198</v>
      </c>
      <c r="D38" s="59" t="s">
        <v>9891</v>
      </c>
      <c r="E38" s="58" t="s">
        <v>222</v>
      </c>
      <c r="F38" s="60" t="s">
        <v>9892</v>
      </c>
      <c r="G38" s="58" t="s">
        <v>9893</v>
      </c>
      <c r="H38" s="58" t="s">
        <v>9894</v>
      </c>
      <c r="I38" s="58" t="s">
        <v>9706</v>
      </c>
      <c r="J38" s="58"/>
      <c r="K38" s="58" t="s">
        <v>492</v>
      </c>
      <c r="L38" s="58" t="s">
        <v>9707</v>
      </c>
      <c r="M38" s="58" t="s">
        <v>9895</v>
      </c>
      <c r="N38" s="61" t="s">
        <v>94</v>
      </c>
      <c r="O38" s="58" t="s">
        <v>9889</v>
      </c>
      <c r="P38" s="61" t="n">
        <v>165</v>
      </c>
    </row>
    <row r="39" customFormat="false" ht="22.35" hidden="false" customHeight="false" outlineLevel="0" collapsed="false">
      <c r="A39" s="22" t="s">
        <v>9896</v>
      </c>
      <c r="B39" s="17" t="s">
        <v>9674</v>
      </c>
      <c r="C39" s="17" t="s">
        <v>199</v>
      </c>
      <c r="D39" s="55" t="s">
        <v>9897</v>
      </c>
      <c r="E39" s="17" t="s">
        <v>226</v>
      </c>
      <c r="F39" s="56" t="s">
        <v>9898</v>
      </c>
      <c r="G39" s="17" t="s">
        <v>9899</v>
      </c>
      <c r="H39" s="17" t="s">
        <v>9900</v>
      </c>
      <c r="I39" s="17" t="s">
        <v>9678</v>
      </c>
      <c r="J39" s="17"/>
      <c r="K39" s="17"/>
      <c r="L39" s="17" t="s">
        <v>9901</v>
      </c>
      <c r="M39" s="17" t="s">
        <v>9902</v>
      </c>
      <c r="N39" s="15" t="s">
        <v>94</v>
      </c>
      <c r="O39" s="17" t="s">
        <v>9681</v>
      </c>
      <c r="P39" s="15" t="n">
        <v>219</v>
      </c>
    </row>
    <row r="40" customFormat="false" ht="22.35" hidden="false" customHeight="false" outlineLevel="0" collapsed="false">
      <c r="A40" s="57" t="s">
        <v>9903</v>
      </c>
      <c r="B40" s="58" t="s">
        <v>9674</v>
      </c>
      <c r="C40" s="58" t="s">
        <v>199</v>
      </c>
      <c r="D40" s="59" t="s">
        <v>9904</v>
      </c>
      <c r="E40" s="58" t="s">
        <v>222</v>
      </c>
      <c r="F40" s="60" t="s">
        <v>9905</v>
      </c>
      <c r="G40" s="58" t="s">
        <v>9906</v>
      </c>
      <c r="H40" s="58" t="s">
        <v>9678</v>
      </c>
      <c r="I40" s="58" t="s">
        <v>9679</v>
      </c>
      <c r="J40" s="58"/>
      <c r="K40" s="58"/>
      <c r="L40" s="58" t="s">
        <v>9907</v>
      </c>
      <c r="M40" s="58"/>
      <c r="N40" s="61" t="s">
        <v>94</v>
      </c>
      <c r="O40" s="58" t="s">
        <v>9681</v>
      </c>
      <c r="P40" s="61" t="n">
        <v>637</v>
      </c>
    </row>
    <row r="41" customFormat="false" ht="179.1" hidden="false" customHeight="false" outlineLevel="0" collapsed="false">
      <c r="A41" s="22" t="s">
        <v>9908</v>
      </c>
      <c r="B41" s="17" t="s">
        <v>9674</v>
      </c>
      <c r="C41" s="17" t="s">
        <v>199</v>
      </c>
      <c r="D41" s="55" t="s">
        <v>4285</v>
      </c>
      <c r="E41" s="17" t="s">
        <v>222</v>
      </c>
      <c r="F41" s="56" t="s">
        <v>9909</v>
      </c>
      <c r="G41" s="17" t="s">
        <v>9910</v>
      </c>
      <c r="H41" s="17" t="s">
        <v>9678</v>
      </c>
      <c r="I41" s="17" t="s">
        <v>9911</v>
      </c>
      <c r="J41" s="17"/>
      <c r="K41" s="17"/>
      <c r="L41" s="17" t="s">
        <v>9912</v>
      </c>
      <c r="M41" s="17" t="s">
        <v>9913</v>
      </c>
      <c r="N41" s="15" t="s">
        <v>94</v>
      </c>
      <c r="O41" s="17" t="s">
        <v>9681</v>
      </c>
      <c r="P41" s="15" t="n">
        <v>1122</v>
      </c>
    </row>
    <row r="42" customFormat="false" ht="32.8" hidden="false" customHeight="false" outlineLevel="0" collapsed="false">
      <c r="A42" s="57" t="s">
        <v>9914</v>
      </c>
      <c r="B42" s="58" t="s">
        <v>9674</v>
      </c>
      <c r="C42" s="58" t="s">
        <v>199</v>
      </c>
      <c r="D42" s="59" t="s">
        <v>9915</v>
      </c>
      <c r="E42" s="58" t="s">
        <v>222</v>
      </c>
      <c r="F42" s="60" t="s">
        <v>9916</v>
      </c>
      <c r="G42" s="58" t="s">
        <v>9917</v>
      </c>
      <c r="H42" s="58" t="s">
        <v>9918</v>
      </c>
      <c r="I42" s="58" t="s">
        <v>9819</v>
      </c>
      <c r="J42" s="58"/>
      <c r="K42" s="58"/>
      <c r="L42" s="58" t="s">
        <v>9919</v>
      </c>
      <c r="M42" s="58"/>
      <c r="N42" s="61" t="s">
        <v>94</v>
      </c>
      <c r="O42" s="58" t="s">
        <v>9681</v>
      </c>
      <c r="P42" s="61" t="n">
        <v>1700</v>
      </c>
    </row>
    <row r="43" customFormat="false" ht="22.35" hidden="false" customHeight="false" outlineLevel="0" collapsed="false">
      <c r="A43" s="22" t="s">
        <v>9920</v>
      </c>
      <c r="B43" s="17" t="s">
        <v>9674</v>
      </c>
      <c r="C43" s="17" t="s">
        <v>199</v>
      </c>
      <c r="D43" s="55" t="s">
        <v>9921</v>
      </c>
      <c r="E43" s="17" t="s">
        <v>222</v>
      </c>
      <c r="F43" s="56" t="s">
        <v>9922</v>
      </c>
      <c r="G43" s="17" t="s">
        <v>9923</v>
      </c>
      <c r="H43" s="17" t="s">
        <v>9924</v>
      </c>
      <c r="I43" s="17" t="s">
        <v>9706</v>
      </c>
      <c r="J43" s="17"/>
      <c r="K43" s="17"/>
      <c r="L43" s="17" t="s">
        <v>9925</v>
      </c>
      <c r="M43" s="17"/>
      <c r="N43" s="15" t="s">
        <v>94</v>
      </c>
      <c r="O43" s="17" t="s">
        <v>9926</v>
      </c>
      <c r="P43" s="15" t="n">
        <v>656</v>
      </c>
    </row>
    <row r="44" customFormat="false" ht="22.35" hidden="false" customHeight="false" outlineLevel="0" collapsed="false">
      <c r="A44" s="57" t="s">
        <v>9927</v>
      </c>
      <c r="B44" s="58" t="s">
        <v>9674</v>
      </c>
      <c r="C44" s="58" t="s">
        <v>199</v>
      </c>
      <c r="D44" s="59" t="s">
        <v>9928</v>
      </c>
      <c r="E44" s="58" t="s">
        <v>222</v>
      </c>
      <c r="F44" s="60" t="s">
        <v>9929</v>
      </c>
      <c r="G44" s="58" t="s">
        <v>9930</v>
      </c>
      <c r="H44" s="58" t="s">
        <v>9924</v>
      </c>
      <c r="I44" s="58" t="s">
        <v>9706</v>
      </c>
      <c r="J44" s="58"/>
      <c r="K44" s="58"/>
      <c r="L44" s="58" t="s">
        <v>9931</v>
      </c>
      <c r="M44" s="58"/>
      <c r="N44" s="61" t="s">
        <v>94</v>
      </c>
      <c r="O44" s="58" t="s">
        <v>9926</v>
      </c>
      <c r="P44" s="61" t="n">
        <v>727</v>
      </c>
    </row>
    <row r="45" customFormat="false" ht="32.8" hidden="false" customHeight="false" outlineLevel="0" collapsed="false">
      <c r="A45" s="22" t="s">
        <v>9932</v>
      </c>
      <c r="B45" s="17" t="s">
        <v>9674</v>
      </c>
      <c r="C45" s="17" t="s">
        <v>199</v>
      </c>
      <c r="D45" s="55" t="s">
        <v>9933</v>
      </c>
      <c r="E45" s="17" t="s">
        <v>222</v>
      </c>
      <c r="F45" s="56" t="s">
        <v>9934</v>
      </c>
      <c r="G45" s="17" t="s">
        <v>9935</v>
      </c>
      <c r="H45" s="17" t="s">
        <v>9936</v>
      </c>
      <c r="I45" s="17" t="s">
        <v>9937</v>
      </c>
      <c r="J45" s="17" t="s">
        <v>9938</v>
      </c>
      <c r="K45" s="17" t="s">
        <v>656</v>
      </c>
      <c r="L45" s="17" t="s">
        <v>9939</v>
      </c>
      <c r="M45" s="17"/>
      <c r="N45" s="15" t="s">
        <v>94</v>
      </c>
      <c r="O45" s="17" t="s">
        <v>9926</v>
      </c>
      <c r="P45" s="15" t="n">
        <v>903</v>
      </c>
    </row>
    <row r="46" customFormat="false" ht="22.35" hidden="false" customHeight="false" outlineLevel="0" collapsed="false">
      <c r="A46" s="57" t="s">
        <v>9940</v>
      </c>
      <c r="B46" s="58" t="s">
        <v>9674</v>
      </c>
      <c r="C46" s="58" t="s">
        <v>199</v>
      </c>
      <c r="D46" s="59" t="s">
        <v>9941</v>
      </c>
      <c r="E46" s="58" t="s">
        <v>222</v>
      </c>
      <c r="F46" s="60" t="s">
        <v>9942</v>
      </c>
      <c r="G46" s="58" t="s">
        <v>9943</v>
      </c>
      <c r="H46" s="58" t="s">
        <v>9944</v>
      </c>
      <c r="I46" s="58" t="s">
        <v>9706</v>
      </c>
      <c r="J46" s="58"/>
      <c r="K46" s="58"/>
      <c r="L46" s="58" t="s">
        <v>9945</v>
      </c>
      <c r="M46" s="58"/>
      <c r="N46" s="61" t="s">
        <v>94</v>
      </c>
      <c r="O46" s="58" t="s">
        <v>9926</v>
      </c>
      <c r="P46" s="61" t="n">
        <v>963</v>
      </c>
    </row>
    <row r="47" customFormat="false" ht="32.8" hidden="false" customHeight="false" outlineLevel="0" collapsed="false">
      <c r="A47" s="22" t="s">
        <v>9946</v>
      </c>
      <c r="B47" s="17" t="s">
        <v>9674</v>
      </c>
      <c r="C47" s="17" t="s">
        <v>199</v>
      </c>
      <c r="D47" s="55" t="s">
        <v>9947</v>
      </c>
      <c r="E47" s="17" t="s">
        <v>222</v>
      </c>
      <c r="F47" s="56" t="s">
        <v>9948</v>
      </c>
      <c r="G47" s="17" t="s">
        <v>9949</v>
      </c>
      <c r="H47" s="17" t="s">
        <v>9924</v>
      </c>
      <c r="I47" s="17" t="s">
        <v>9706</v>
      </c>
      <c r="J47" s="17"/>
      <c r="K47" s="17"/>
      <c r="L47" s="17" t="s">
        <v>9950</v>
      </c>
      <c r="M47" s="17" t="s">
        <v>9951</v>
      </c>
      <c r="N47" s="15" t="s">
        <v>94</v>
      </c>
      <c r="O47" s="17" t="s">
        <v>9926</v>
      </c>
      <c r="P47" s="15" t="n">
        <v>1105</v>
      </c>
    </row>
    <row r="48" customFormat="false" ht="22.35" hidden="false" customHeight="false" outlineLevel="0" collapsed="false">
      <c r="A48" s="57" t="s">
        <v>9952</v>
      </c>
      <c r="B48" s="58" t="s">
        <v>9674</v>
      </c>
      <c r="C48" s="58" t="s">
        <v>200</v>
      </c>
      <c r="D48" s="59" t="s">
        <v>9953</v>
      </c>
      <c r="E48" s="58" t="s">
        <v>222</v>
      </c>
      <c r="F48" s="60" t="s">
        <v>9954</v>
      </c>
      <c r="G48" s="58" t="s">
        <v>9955</v>
      </c>
      <c r="H48" s="58" t="s">
        <v>9678</v>
      </c>
      <c r="I48" s="58" t="s">
        <v>9678</v>
      </c>
      <c r="J48" s="58"/>
      <c r="K48" s="58"/>
      <c r="L48" s="58" t="s">
        <v>9956</v>
      </c>
      <c r="M48" s="58"/>
      <c r="N48" s="61" t="s">
        <v>94</v>
      </c>
      <c r="O48" s="58" t="s">
        <v>9681</v>
      </c>
      <c r="P48" s="61" t="n">
        <v>644</v>
      </c>
    </row>
    <row r="49" customFormat="false" ht="22.35" hidden="false" customHeight="false" outlineLevel="0" collapsed="false">
      <c r="A49" s="22" t="s">
        <v>9957</v>
      </c>
      <c r="B49" s="17" t="s">
        <v>9674</v>
      </c>
      <c r="C49" s="17" t="s">
        <v>200</v>
      </c>
      <c r="D49" s="55" t="s">
        <v>9958</v>
      </c>
      <c r="E49" s="17" t="s">
        <v>222</v>
      </c>
      <c r="F49" s="56" t="s">
        <v>9959</v>
      </c>
      <c r="G49" s="17" t="s">
        <v>9960</v>
      </c>
      <c r="H49" s="17" t="s">
        <v>9678</v>
      </c>
      <c r="I49" s="17" t="s">
        <v>9678</v>
      </c>
      <c r="J49" s="17"/>
      <c r="K49" s="17" t="s">
        <v>665</v>
      </c>
      <c r="L49" s="17" t="s">
        <v>9956</v>
      </c>
      <c r="M49" s="17"/>
      <c r="N49" s="15" t="s">
        <v>94</v>
      </c>
      <c r="O49" s="17" t="s">
        <v>9681</v>
      </c>
      <c r="P49" s="15" t="n">
        <v>645</v>
      </c>
    </row>
    <row r="50" customFormat="false" ht="32.8" hidden="false" customHeight="false" outlineLevel="0" collapsed="false">
      <c r="A50" s="57" t="s">
        <v>9961</v>
      </c>
      <c r="B50" s="58" t="s">
        <v>9674</v>
      </c>
      <c r="C50" s="58" t="s">
        <v>200</v>
      </c>
      <c r="D50" s="59" t="s">
        <v>9962</v>
      </c>
      <c r="E50" s="58" t="s">
        <v>222</v>
      </c>
      <c r="F50" s="60" t="s">
        <v>9963</v>
      </c>
      <c r="G50" s="58" t="s">
        <v>9964</v>
      </c>
      <c r="H50" s="58" t="s">
        <v>9965</v>
      </c>
      <c r="I50" s="58" t="s">
        <v>9966</v>
      </c>
      <c r="J50" s="58"/>
      <c r="K50" s="58"/>
      <c r="L50" s="58" t="s">
        <v>9967</v>
      </c>
      <c r="M50" s="58" t="s">
        <v>9968</v>
      </c>
      <c r="N50" s="61" t="s">
        <v>94</v>
      </c>
      <c r="O50" s="58" t="s">
        <v>9681</v>
      </c>
      <c r="P50" s="61" t="n">
        <v>912</v>
      </c>
    </row>
    <row r="51" customFormat="false" ht="74.6" hidden="false" customHeight="false" outlineLevel="0" collapsed="false">
      <c r="A51" s="22" t="s">
        <v>9969</v>
      </c>
      <c r="B51" s="17" t="s">
        <v>9674</v>
      </c>
      <c r="C51" s="17" t="s">
        <v>200</v>
      </c>
      <c r="D51" s="55" t="s">
        <v>9970</v>
      </c>
      <c r="E51" s="17" t="s">
        <v>222</v>
      </c>
      <c r="F51" s="56" t="s">
        <v>9971</v>
      </c>
      <c r="G51" s="17" t="s">
        <v>9972</v>
      </c>
      <c r="H51" s="17" t="s">
        <v>9973</v>
      </c>
      <c r="I51" s="17" t="s">
        <v>9706</v>
      </c>
      <c r="J51" s="17"/>
      <c r="K51" s="17"/>
      <c r="L51" s="17" t="s">
        <v>9707</v>
      </c>
      <c r="M51" s="17" t="s">
        <v>9974</v>
      </c>
      <c r="N51" s="15" t="s">
        <v>94</v>
      </c>
      <c r="O51" s="17" t="s">
        <v>9975</v>
      </c>
      <c r="P51" s="15" t="n">
        <v>321</v>
      </c>
    </row>
    <row r="52" customFormat="false" ht="43.25" hidden="false" customHeight="false" outlineLevel="0" collapsed="false">
      <c r="A52" s="57" t="s">
        <v>9976</v>
      </c>
      <c r="B52" s="58" t="s">
        <v>9674</v>
      </c>
      <c r="C52" s="58" t="s">
        <v>201</v>
      </c>
      <c r="D52" s="59" t="s">
        <v>9956</v>
      </c>
      <c r="E52" s="58" t="s">
        <v>222</v>
      </c>
      <c r="F52" s="60" t="s">
        <v>9977</v>
      </c>
      <c r="G52" s="58" t="s">
        <v>9978</v>
      </c>
      <c r="H52" s="58" t="s">
        <v>9979</v>
      </c>
      <c r="I52" s="58" t="s">
        <v>9678</v>
      </c>
      <c r="J52" s="58"/>
      <c r="K52" s="58" t="s">
        <v>439</v>
      </c>
      <c r="L52" s="58" t="s">
        <v>9980</v>
      </c>
      <c r="M52" s="58" t="s">
        <v>9981</v>
      </c>
      <c r="N52" s="61" t="s">
        <v>94</v>
      </c>
      <c r="O52" s="58" t="s">
        <v>9681</v>
      </c>
      <c r="P52" s="61" t="n">
        <v>713</v>
      </c>
    </row>
    <row r="53" customFormat="false" ht="32.8" hidden="false" customHeight="false" outlineLevel="0" collapsed="false">
      <c r="A53" s="22" t="s">
        <v>9982</v>
      </c>
      <c r="B53" s="17" t="s">
        <v>9674</v>
      </c>
      <c r="C53" s="17" t="s">
        <v>202</v>
      </c>
      <c r="D53" s="55" t="s">
        <v>9983</v>
      </c>
      <c r="E53" s="17" t="s">
        <v>222</v>
      </c>
      <c r="F53" s="56" t="s">
        <v>9984</v>
      </c>
      <c r="G53" s="17" t="s">
        <v>9985</v>
      </c>
      <c r="H53" s="17" t="s">
        <v>9986</v>
      </c>
      <c r="I53" s="17" t="s">
        <v>9678</v>
      </c>
      <c r="J53" s="17" t="s">
        <v>9987</v>
      </c>
      <c r="K53" s="17" t="s">
        <v>439</v>
      </c>
      <c r="L53" s="17" t="s">
        <v>9988</v>
      </c>
      <c r="M53" s="17"/>
      <c r="N53" s="15" t="s">
        <v>94</v>
      </c>
      <c r="O53" s="17" t="s">
        <v>9681</v>
      </c>
      <c r="P53" s="15" t="n">
        <v>430</v>
      </c>
    </row>
    <row r="54" customFormat="false" ht="22.35" hidden="false" customHeight="false" outlineLevel="0" collapsed="false">
      <c r="A54" s="57" t="s">
        <v>9989</v>
      </c>
      <c r="B54" s="58" t="s">
        <v>9674</v>
      </c>
      <c r="C54" s="58" t="s">
        <v>202</v>
      </c>
      <c r="D54" s="59" t="s">
        <v>9990</v>
      </c>
      <c r="E54" s="58" t="s">
        <v>222</v>
      </c>
      <c r="F54" s="60" t="s">
        <v>9991</v>
      </c>
      <c r="G54" s="58" t="s">
        <v>9992</v>
      </c>
      <c r="H54" s="58" t="s">
        <v>9993</v>
      </c>
      <c r="I54" s="58" t="s">
        <v>9678</v>
      </c>
      <c r="J54" s="58"/>
      <c r="K54" s="58"/>
      <c r="L54" s="58" t="s">
        <v>9994</v>
      </c>
      <c r="M54" s="58"/>
      <c r="N54" s="61" t="s">
        <v>94</v>
      </c>
      <c r="O54" s="58" t="s">
        <v>9681</v>
      </c>
      <c r="P54" s="61" t="n">
        <v>1009</v>
      </c>
    </row>
    <row r="55" customFormat="false" ht="53.7" hidden="false" customHeight="false" outlineLevel="0" collapsed="false">
      <c r="A55" s="22" t="s">
        <v>9995</v>
      </c>
      <c r="B55" s="17" t="s">
        <v>9674</v>
      </c>
      <c r="C55" s="17" t="s">
        <v>202</v>
      </c>
      <c r="D55" s="55" t="s">
        <v>9996</v>
      </c>
      <c r="E55" s="17" t="s">
        <v>222</v>
      </c>
      <c r="F55" s="56" t="s">
        <v>9997</v>
      </c>
      <c r="G55" s="17" t="s">
        <v>9998</v>
      </c>
      <c r="H55" s="17" t="s">
        <v>9944</v>
      </c>
      <c r="I55" s="17" t="s">
        <v>9706</v>
      </c>
      <c r="J55" s="17"/>
      <c r="K55" s="17"/>
      <c r="L55" s="17" t="s">
        <v>9707</v>
      </c>
      <c r="M55" s="17" t="s">
        <v>9999</v>
      </c>
      <c r="N55" s="15" t="s">
        <v>94</v>
      </c>
      <c r="O55" s="17" t="s">
        <v>10000</v>
      </c>
      <c r="P55" s="15" t="n">
        <v>68</v>
      </c>
    </row>
    <row r="56" customFormat="false" ht="64.15" hidden="false" customHeight="false" outlineLevel="0" collapsed="false">
      <c r="A56" s="57" t="s">
        <v>10001</v>
      </c>
      <c r="B56" s="58" t="s">
        <v>9674</v>
      </c>
      <c r="C56" s="58" t="s">
        <v>202</v>
      </c>
      <c r="D56" s="59" t="s">
        <v>10002</v>
      </c>
      <c r="E56" s="58" t="s">
        <v>222</v>
      </c>
      <c r="F56" s="60" t="s">
        <v>10003</v>
      </c>
      <c r="G56" s="58" t="s">
        <v>10004</v>
      </c>
      <c r="H56" s="58" t="s">
        <v>10005</v>
      </c>
      <c r="I56" s="58" t="s">
        <v>9706</v>
      </c>
      <c r="J56" s="58"/>
      <c r="K56" s="58" t="s">
        <v>10006</v>
      </c>
      <c r="L56" s="58" t="s">
        <v>9707</v>
      </c>
      <c r="M56" s="58" t="s">
        <v>10007</v>
      </c>
      <c r="N56" s="61" t="s">
        <v>94</v>
      </c>
      <c r="O56" s="58" t="s">
        <v>10000</v>
      </c>
      <c r="P56" s="61" t="n">
        <v>156</v>
      </c>
    </row>
    <row r="57" customFormat="false" ht="126.85" hidden="false" customHeight="false" outlineLevel="0" collapsed="false">
      <c r="A57" s="22" t="s">
        <v>10008</v>
      </c>
      <c r="B57" s="17" t="s">
        <v>9674</v>
      </c>
      <c r="C57" s="17" t="s">
        <v>203</v>
      </c>
      <c r="D57" s="55" t="s">
        <v>10009</v>
      </c>
      <c r="E57" s="17" t="s">
        <v>242</v>
      </c>
      <c r="F57" s="56" t="s">
        <v>10010</v>
      </c>
      <c r="G57" s="17" t="s">
        <v>10011</v>
      </c>
      <c r="H57" s="17"/>
      <c r="I57" s="17"/>
      <c r="J57" s="17"/>
      <c r="K57" s="17"/>
      <c r="L57" s="17" t="s">
        <v>10012</v>
      </c>
      <c r="M57" s="17" t="s">
        <v>10013</v>
      </c>
      <c r="N57" s="15" t="s">
        <v>94</v>
      </c>
      <c r="O57" s="17" t="s">
        <v>10014</v>
      </c>
      <c r="P57" s="15" t="n">
        <v>52</v>
      </c>
    </row>
    <row r="58" customFormat="false" ht="32.8" hidden="false" customHeight="false" outlineLevel="0" collapsed="false">
      <c r="A58" s="57" t="s">
        <v>10015</v>
      </c>
      <c r="B58" s="58" t="s">
        <v>9674</v>
      </c>
      <c r="C58" s="58" t="s">
        <v>203</v>
      </c>
      <c r="D58" s="59" t="s">
        <v>10016</v>
      </c>
      <c r="E58" s="58" t="s">
        <v>242</v>
      </c>
      <c r="F58" s="60" t="s">
        <v>10017</v>
      </c>
      <c r="G58" s="58" t="s">
        <v>10018</v>
      </c>
      <c r="H58" s="58"/>
      <c r="I58" s="58"/>
      <c r="J58" s="58"/>
      <c r="K58" s="58"/>
      <c r="L58" s="58" t="s">
        <v>10012</v>
      </c>
      <c r="M58" s="58" t="s">
        <v>10019</v>
      </c>
      <c r="N58" s="61" t="s">
        <v>94</v>
      </c>
      <c r="O58" s="58" t="s">
        <v>10014</v>
      </c>
      <c r="P58" s="61" t="n">
        <v>59</v>
      </c>
    </row>
    <row r="59" customFormat="false" ht="22.35" hidden="false" customHeight="false" outlineLevel="0" collapsed="false">
      <c r="A59" s="22" t="s">
        <v>10020</v>
      </c>
      <c r="B59" s="17" t="s">
        <v>9674</v>
      </c>
      <c r="C59" s="17" t="s">
        <v>203</v>
      </c>
      <c r="D59" s="55" t="s">
        <v>10021</v>
      </c>
      <c r="E59" s="17" t="s">
        <v>242</v>
      </c>
      <c r="F59" s="56" t="s">
        <v>10022</v>
      </c>
      <c r="G59" s="17" t="s">
        <v>10023</v>
      </c>
      <c r="H59" s="17"/>
      <c r="I59" s="17"/>
      <c r="J59" s="17"/>
      <c r="K59" s="17"/>
      <c r="L59" s="17" t="s">
        <v>10024</v>
      </c>
      <c r="M59" s="17" t="s">
        <v>10025</v>
      </c>
      <c r="N59" s="15" t="s">
        <v>94</v>
      </c>
      <c r="O59" s="17" t="s">
        <v>10014</v>
      </c>
      <c r="P59" s="15" t="n">
        <v>97</v>
      </c>
    </row>
    <row r="60" customFormat="false" ht="22.35" hidden="false" customHeight="false" outlineLevel="0" collapsed="false">
      <c r="A60" s="57" t="s">
        <v>10026</v>
      </c>
      <c r="B60" s="58" t="s">
        <v>9674</v>
      </c>
      <c r="C60" s="58" t="s">
        <v>203</v>
      </c>
      <c r="D60" s="59" t="s">
        <v>10027</v>
      </c>
      <c r="E60" s="58" t="s">
        <v>242</v>
      </c>
      <c r="F60" s="60" t="s">
        <v>10028</v>
      </c>
      <c r="G60" s="58" t="s">
        <v>10029</v>
      </c>
      <c r="H60" s="58"/>
      <c r="I60" s="58"/>
      <c r="J60" s="58"/>
      <c r="K60" s="58"/>
      <c r="L60" s="58" t="s">
        <v>10024</v>
      </c>
      <c r="M60" s="58" t="s">
        <v>10030</v>
      </c>
      <c r="N60" s="61" t="s">
        <v>94</v>
      </c>
      <c r="O60" s="58" t="s">
        <v>10014</v>
      </c>
      <c r="P60" s="61" t="n">
        <v>98</v>
      </c>
    </row>
    <row r="61" customFormat="false" ht="22.35" hidden="false" customHeight="false" outlineLevel="0" collapsed="false">
      <c r="A61" s="22" t="s">
        <v>10031</v>
      </c>
      <c r="B61" s="17" t="s">
        <v>9674</v>
      </c>
      <c r="C61" s="17" t="s">
        <v>203</v>
      </c>
      <c r="D61" s="55" t="s">
        <v>10032</v>
      </c>
      <c r="E61" s="17" t="s">
        <v>242</v>
      </c>
      <c r="F61" s="56" t="s">
        <v>10033</v>
      </c>
      <c r="G61" s="17" t="s">
        <v>10034</v>
      </c>
      <c r="H61" s="17"/>
      <c r="I61" s="17"/>
      <c r="J61" s="17"/>
      <c r="K61" s="17"/>
      <c r="L61" s="17" t="s">
        <v>9765</v>
      </c>
      <c r="M61" s="17"/>
      <c r="N61" s="15" t="s">
        <v>94</v>
      </c>
      <c r="O61" s="17" t="s">
        <v>10014</v>
      </c>
      <c r="P61" s="15" t="n">
        <v>103</v>
      </c>
    </row>
    <row r="62" customFormat="false" ht="22.35" hidden="false" customHeight="false" outlineLevel="0" collapsed="false">
      <c r="A62" s="57" t="s">
        <v>10035</v>
      </c>
      <c r="B62" s="58" t="s">
        <v>9674</v>
      </c>
      <c r="C62" s="58" t="s">
        <v>203</v>
      </c>
      <c r="D62" s="59" t="s">
        <v>10036</v>
      </c>
      <c r="E62" s="58" t="s">
        <v>242</v>
      </c>
      <c r="F62" s="60" t="s">
        <v>10037</v>
      </c>
      <c r="G62" s="58" t="s">
        <v>10038</v>
      </c>
      <c r="H62" s="58"/>
      <c r="I62" s="58"/>
      <c r="J62" s="58"/>
      <c r="K62" s="58"/>
      <c r="L62" s="58" t="s">
        <v>9765</v>
      </c>
      <c r="M62" s="58"/>
      <c r="N62" s="61" t="s">
        <v>94</v>
      </c>
      <c r="O62" s="58" t="s">
        <v>10014</v>
      </c>
      <c r="P62" s="61" t="n">
        <v>104</v>
      </c>
    </row>
    <row r="63" customFormat="false" ht="32.8" hidden="false" customHeight="false" outlineLevel="0" collapsed="false">
      <c r="A63" s="22" t="s">
        <v>10039</v>
      </c>
      <c r="B63" s="17" t="s">
        <v>9674</v>
      </c>
      <c r="C63" s="17" t="s">
        <v>203</v>
      </c>
      <c r="D63" s="55" t="s">
        <v>10040</v>
      </c>
      <c r="E63" s="17" t="s">
        <v>242</v>
      </c>
      <c r="F63" s="56" t="s">
        <v>10041</v>
      </c>
      <c r="G63" s="17" t="s">
        <v>10042</v>
      </c>
      <c r="H63" s="17"/>
      <c r="I63" s="17"/>
      <c r="J63" s="17"/>
      <c r="K63" s="17"/>
      <c r="L63" s="17" t="s">
        <v>10043</v>
      </c>
      <c r="M63" s="17"/>
      <c r="N63" s="15" t="s">
        <v>94</v>
      </c>
      <c r="O63" s="17" t="s">
        <v>10014</v>
      </c>
      <c r="P63" s="15" t="n">
        <v>111</v>
      </c>
    </row>
    <row r="64" customFormat="false" ht="22.35" hidden="false" customHeight="false" outlineLevel="0" collapsed="false">
      <c r="A64" s="57" t="s">
        <v>10044</v>
      </c>
      <c r="B64" s="58" t="s">
        <v>9674</v>
      </c>
      <c r="C64" s="58" t="s">
        <v>203</v>
      </c>
      <c r="D64" s="59" t="s">
        <v>10045</v>
      </c>
      <c r="E64" s="58" t="s">
        <v>242</v>
      </c>
      <c r="F64" s="60" t="s">
        <v>10046</v>
      </c>
      <c r="G64" s="58" t="s">
        <v>10047</v>
      </c>
      <c r="H64" s="58"/>
      <c r="I64" s="58"/>
      <c r="J64" s="58"/>
      <c r="K64" s="58"/>
      <c r="L64" s="58" t="s">
        <v>10048</v>
      </c>
      <c r="M64" s="58"/>
      <c r="N64" s="61" t="s">
        <v>94</v>
      </c>
      <c r="O64" s="58" t="s">
        <v>10014</v>
      </c>
      <c r="P64" s="61" t="n">
        <v>124</v>
      </c>
    </row>
    <row r="65" customFormat="false" ht="53.7" hidden="false" customHeight="false" outlineLevel="0" collapsed="false">
      <c r="A65" s="22" t="s">
        <v>10049</v>
      </c>
      <c r="B65" s="17" t="s">
        <v>9674</v>
      </c>
      <c r="C65" s="17" t="s">
        <v>204</v>
      </c>
      <c r="D65" s="55" t="s">
        <v>10050</v>
      </c>
      <c r="E65" s="17" t="s">
        <v>222</v>
      </c>
      <c r="F65" s="56" t="s">
        <v>10051</v>
      </c>
      <c r="G65" s="17" t="s">
        <v>10052</v>
      </c>
      <c r="H65" s="17" t="s">
        <v>9944</v>
      </c>
      <c r="I65" s="17" t="s">
        <v>9706</v>
      </c>
      <c r="J65" s="17"/>
      <c r="K65" s="17"/>
      <c r="L65" s="17" t="s">
        <v>9707</v>
      </c>
      <c r="M65" s="17" t="s">
        <v>10053</v>
      </c>
      <c r="N65" s="15" t="s">
        <v>94</v>
      </c>
      <c r="O65" s="17" t="s">
        <v>10054</v>
      </c>
      <c r="P65" s="15" t="n">
        <v>69</v>
      </c>
    </row>
    <row r="66" customFormat="false" ht="64.15" hidden="false" customHeight="false" outlineLevel="0" collapsed="false">
      <c r="A66" s="57" t="s">
        <v>10055</v>
      </c>
      <c r="B66" s="58" t="s">
        <v>9674</v>
      </c>
      <c r="C66" s="58" t="s">
        <v>204</v>
      </c>
      <c r="D66" s="59" t="s">
        <v>10056</v>
      </c>
      <c r="E66" s="58" t="s">
        <v>222</v>
      </c>
      <c r="F66" s="60" t="s">
        <v>10057</v>
      </c>
      <c r="G66" s="58" t="s">
        <v>10058</v>
      </c>
      <c r="H66" s="58" t="s">
        <v>10059</v>
      </c>
      <c r="I66" s="58" t="s">
        <v>9678</v>
      </c>
      <c r="J66" s="58" t="s">
        <v>10060</v>
      </c>
      <c r="K66" s="58"/>
      <c r="L66" s="58" t="s">
        <v>9707</v>
      </c>
      <c r="M66" s="58" t="s">
        <v>10061</v>
      </c>
      <c r="N66" s="61" t="s">
        <v>94</v>
      </c>
      <c r="O66" s="58" t="s">
        <v>10062</v>
      </c>
      <c r="P66" s="61" t="n">
        <v>101</v>
      </c>
    </row>
    <row r="67" customFormat="false" ht="53.7" hidden="false" customHeight="false" outlineLevel="0" collapsed="false">
      <c r="A67" s="22" t="s">
        <v>10063</v>
      </c>
      <c r="B67" s="17" t="s">
        <v>9674</v>
      </c>
      <c r="C67" s="17" t="s">
        <v>204</v>
      </c>
      <c r="D67" s="55" t="s">
        <v>10064</v>
      </c>
      <c r="E67" s="17" t="s">
        <v>222</v>
      </c>
      <c r="F67" s="56" t="s">
        <v>10065</v>
      </c>
      <c r="G67" s="17" t="s">
        <v>10066</v>
      </c>
      <c r="H67" s="17" t="s">
        <v>10067</v>
      </c>
      <c r="I67" s="17" t="s">
        <v>10068</v>
      </c>
      <c r="J67" s="17" t="s">
        <v>10069</v>
      </c>
      <c r="K67" s="17" t="s">
        <v>439</v>
      </c>
      <c r="L67" s="17" t="s">
        <v>9739</v>
      </c>
      <c r="M67" s="17" t="s">
        <v>10070</v>
      </c>
      <c r="N67" s="15" t="s">
        <v>94</v>
      </c>
      <c r="O67" s="17" t="s">
        <v>9681</v>
      </c>
      <c r="P67" s="15" t="n">
        <v>458</v>
      </c>
    </row>
    <row r="68" customFormat="false" ht="43.25" hidden="false" customHeight="false" outlineLevel="0" collapsed="false">
      <c r="A68" s="57" t="s">
        <v>10071</v>
      </c>
      <c r="B68" s="58" t="s">
        <v>9674</v>
      </c>
      <c r="C68" s="58" t="s">
        <v>204</v>
      </c>
      <c r="D68" s="59" t="s">
        <v>10072</v>
      </c>
      <c r="E68" s="58" t="s">
        <v>222</v>
      </c>
      <c r="F68" s="60" t="s">
        <v>10073</v>
      </c>
      <c r="G68" s="58" t="s">
        <v>10074</v>
      </c>
      <c r="H68" s="58" t="s">
        <v>10075</v>
      </c>
      <c r="I68" s="58" t="s">
        <v>9841</v>
      </c>
      <c r="J68" s="58"/>
      <c r="K68" s="58"/>
      <c r="L68" s="58" t="s">
        <v>10076</v>
      </c>
      <c r="M68" s="58"/>
      <c r="N68" s="61" t="s">
        <v>94</v>
      </c>
      <c r="O68" s="58" t="s">
        <v>9681</v>
      </c>
      <c r="P68" s="61" t="n">
        <v>600</v>
      </c>
    </row>
    <row r="69" customFormat="false" ht="22.35" hidden="false" customHeight="false" outlineLevel="0" collapsed="false">
      <c r="A69" s="22" t="s">
        <v>10077</v>
      </c>
      <c r="B69" s="17" t="s">
        <v>9674</v>
      </c>
      <c r="C69" s="17" t="s">
        <v>204</v>
      </c>
      <c r="D69" s="55" t="s">
        <v>10078</v>
      </c>
      <c r="E69" s="17" t="s">
        <v>222</v>
      </c>
      <c r="F69" s="56" t="s">
        <v>10079</v>
      </c>
      <c r="G69" s="17" t="s">
        <v>10080</v>
      </c>
      <c r="H69" s="17" t="s">
        <v>3970</v>
      </c>
      <c r="I69" s="17" t="s">
        <v>10081</v>
      </c>
      <c r="J69" s="17"/>
      <c r="K69" s="17"/>
      <c r="L69" s="17" t="s">
        <v>10082</v>
      </c>
      <c r="M69" s="17"/>
      <c r="N69" s="15" t="s">
        <v>94</v>
      </c>
      <c r="O69" s="17" t="s">
        <v>9681</v>
      </c>
      <c r="P69" s="15" t="n">
        <v>930</v>
      </c>
    </row>
    <row r="70" customFormat="false" ht="22.35" hidden="false" customHeight="false" outlineLevel="0" collapsed="false">
      <c r="A70" s="57" t="s">
        <v>10083</v>
      </c>
      <c r="B70" s="58" t="s">
        <v>9674</v>
      </c>
      <c r="C70" s="58" t="s">
        <v>204</v>
      </c>
      <c r="D70" s="59" t="s">
        <v>10084</v>
      </c>
      <c r="E70" s="58" t="s">
        <v>222</v>
      </c>
      <c r="F70" s="60" t="s">
        <v>10085</v>
      </c>
      <c r="G70" s="58" t="s">
        <v>10086</v>
      </c>
      <c r="H70" s="58" t="s">
        <v>3970</v>
      </c>
      <c r="I70" s="58" t="s">
        <v>10087</v>
      </c>
      <c r="J70" s="58"/>
      <c r="K70" s="58"/>
      <c r="L70" s="58" t="s">
        <v>10088</v>
      </c>
      <c r="M70" s="58"/>
      <c r="N70" s="61" t="s">
        <v>94</v>
      </c>
      <c r="O70" s="58" t="s">
        <v>9681</v>
      </c>
      <c r="P70" s="61" t="n">
        <v>936</v>
      </c>
    </row>
    <row r="71" customFormat="false" ht="22.35" hidden="false" customHeight="false" outlineLevel="0" collapsed="false">
      <c r="A71" s="22" t="s">
        <v>10089</v>
      </c>
      <c r="B71" s="17" t="s">
        <v>9674</v>
      </c>
      <c r="C71" s="17" t="s">
        <v>204</v>
      </c>
      <c r="D71" s="55" t="s">
        <v>10090</v>
      </c>
      <c r="E71" s="17" t="s">
        <v>222</v>
      </c>
      <c r="F71" s="56" t="s">
        <v>10091</v>
      </c>
      <c r="G71" s="17" t="s">
        <v>10092</v>
      </c>
      <c r="H71" s="17" t="s">
        <v>9965</v>
      </c>
      <c r="I71" s="17" t="s">
        <v>9819</v>
      </c>
      <c r="J71" s="17"/>
      <c r="K71" s="17"/>
      <c r="L71" s="17" t="s">
        <v>10093</v>
      </c>
      <c r="M71" s="17"/>
      <c r="N71" s="15" t="s">
        <v>94</v>
      </c>
      <c r="O71" s="17" t="s">
        <v>9681</v>
      </c>
      <c r="P71" s="15" t="n">
        <v>943</v>
      </c>
    </row>
    <row r="72" customFormat="false" ht="105.95" hidden="false" customHeight="false" outlineLevel="0" collapsed="false">
      <c r="A72" s="57" t="s">
        <v>10094</v>
      </c>
      <c r="B72" s="58" t="s">
        <v>9674</v>
      </c>
      <c r="C72" s="58" t="s">
        <v>204</v>
      </c>
      <c r="D72" s="59" t="s">
        <v>10095</v>
      </c>
      <c r="E72" s="58" t="s">
        <v>222</v>
      </c>
      <c r="F72" s="60" t="s">
        <v>10096</v>
      </c>
      <c r="G72" s="58" t="s">
        <v>10097</v>
      </c>
      <c r="H72" s="58" t="s">
        <v>9944</v>
      </c>
      <c r="I72" s="58" t="s">
        <v>9706</v>
      </c>
      <c r="J72" s="58"/>
      <c r="K72" s="58"/>
      <c r="L72" s="58" t="s">
        <v>9707</v>
      </c>
      <c r="M72" s="58" t="s">
        <v>10098</v>
      </c>
      <c r="N72" s="61" t="s">
        <v>94</v>
      </c>
      <c r="O72" s="58" t="s">
        <v>9926</v>
      </c>
      <c r="P72" s="61" t="n">
        <v>479</v>
      </c>
    </row>
    <row r="73" customFormat="false" ht="64.15" hidden="false" customHeight="false" outlineLevel="0" collapsed="false">
      <c r="A73" s="22" t="s">
        <v>10099</v>
      </c>
      <c r="B73" s="17" t="s">
        <v>9674</v>
      </c>
      <c r="C73" s="17" t="s">
        <v>204</v>
      </c>
      <c r="D73" s="55" t="s">
        <v>10100</v>
      </c>
      <c r="E73" s="17" t="s">
        <v>222</v>
      </c>
      <c r="F73" s="56" t="s">
        <v>10101</v>
      </c>
      <c r="G73" s="17" t="s">
        <v>10102</v>
      </c>
      <c r="H73" s="17" t="s">
        <v>9944</v>
      </c>
      <c r="I73" s="17" t="s">
        <v>9706</v>
      </c>
      <c r="J73" s="17"/>
      <c r="K73" s="17"/>
      <c r="L73" s="17" t="s">
        <v>9707</v>
      </c>
      <c r="M73" s="17" t="s">
        <v>10103</v>
      </c>
      <c r="N73" s="15" t="s">
        <v>94</v>
      </c>
      <c r="O73" s="17" t="s">
        <v>10104</v>
      </c>
      <c r="P73" s="15" t="n">
        <v>72</v>
      </c>
    </row>
    <row r="74" customFormat="false" ht="53.7" hidden="false" customHeight="false" outlineLevel="0" collapsed="false">
      <c r="A74" s="57" t="s">
        <v>10105</v>
      </c>
      <c r="B74" s="58" t="s">
        <v>9674</v>
      </c>
      <c r="C74" s="58" t="s">
        <v>204</v>
      </c>
      <c r="D74" s="59" t="s">
        <v>10106</v>
      </c>
      <c r="E74" s="58" t="s">
        <v>222</v>
      </c>
      <c r="F74" s="60" t="s">
        <v>10107</v>
      </c>
      <c r="G74" s="58" t="s">
        <v>10108</v>
      </c>
      <c r="H74" s="58" t="s">
        <v>9944</v>
      </c>
      <c r="I74" s="58" t="s">
        <v>9706</v>
      </c>
      <c r="J74" s="58" t="s">
        <v>10109</v>
      </c>
      <c r="K74" s="58"/>
      <c r="L74" s="58" t="s">
        <v>9707</v>
      </c>
      <c r="M74" s="58" t="s">
        <v>10110</v>
      </c>
      <c r="N74" s="61" t="s">
        <v>94</v>
      </c>
      <c r="O74" s="58" t="s">
        <v>10111</v>
      </c>
      <c r="P74" s="61" t="n">
        <v>68</v>
      </c>
    </row>
    <row r="75" customFormat="false" ht="32.8" hidden="false" customHeight="false" outlineLevel="0" collapsed="false">
      <c r="A75" s="22" t="s">
        <v>10112</v>
      </c>
      <c r="B75" s="17" t="s">
        <v>9674</v>
      </c>
      <c r="C75" s="17" t="s">
        <v>205</v>
      </c>
      <c r="D75" s="55" t="s">
        <v>10113</v>
      </c>
      <c r="E75" s="17" t="s">
        <v>222</v>
      </c>
      <c r="F75" s="56" t="s">
        <v>10114</v>
      </c>
      <c r="G75" s="17" t="s">
        <v>10115</v>
      </c>
      <c r="H75" s="17" t="s">
        <v>9678</v>
      </c>
      <c r="I75" s="17" t="s">
        <v>10116</v>
      </c>
      <c r="J75" s="17"/>
      <c r="K75" s="17"/>
      <c r="L75" s="17" t="s">
        <v>10117</v>
      </c>
      <c r="M75" s="17" t="s">
        <v>10118</v>
      </c>
      <c r="N75" s="15" t="s">
        <v>94</v>
      </c>
      <c r="O75" s="17" t="s">
        <v>10119</v>
      </c>
      <c r="P75" s="15" t="n">
        <v>238</v>
      </c>
    </row>
    <row r="76" customFormat="false" ht="32.8" hidden="false" customHeight="false" outlineLevel="0" collapsed="false">
      <c r="A76" s="57" t="s">
        <v>10120</v>
      </c>
      <c r="B76" s="58" t="s">
        <v>9674</v>
      </c>
      <c r="C76" s="58" t="s">
        <v>205</v>
      </c>
      <c r="D76" s="59" t="s">
        <v>10121</v>
      </c>
      <c r="E76" s="58" t="s">
        <v>226</v>
      </c>
      <c r="F76" s="60" t="s">
        <v>10122</v>
      </c>
      <c r="G76" s="58" t="s">
        <v>10123</v>
      </c>
      <c r="H76" s="58" t="s">
        <v>10124</v>
      </c>
      <c r="I76" s="58" t="s">
        <v>10125</v>
      </c>
      <c r="J76" s="58"/>
      <c r="K76" s="58"/>
      <c r="L76" s="58" t="s">
        <v>10126</v>
      </c>
      <c r="M76" s="58" t="s">
        <v>10127</v>
      </c>
      <c r="N76" s="61" t="s">
        <v>94</v>
      </c>
      <c r="O76" s="58" t="s">
        <v>9681</v>
      </c>
      <c r="P76" s="61" t="n">
        <v>1069</v>
      </c>
    </row>
    <row r="77" customFormat="false" ht="43.25" hidden="false" customHeight="false" outlineLevel="0" collapsed="false">
      <c r="A77" s="22" t="s">
        <v>10128</v>
      </c>
      <c r="B77" s="17" t="s">
        <v>9674</v>
      </c>
      <c r="C77" s="17" t="s">
        <v>205</v>
      </c>
      <c r="D77" s="55" t="s">
        <v>10129</v>
      </c>
      <c r="E77" s="17" t="s">
        <v>241</v>
      </c>
      <c r="F77" s="56" t="s">
        <v>10130</v>
      </c>
      <c r="G77" s="17" t="s">
        <v>10131</v>
      </c>
      <c r="H77" s="17"/>
      <c r="I77" s="17"/>
      <c r="J77" s="17"/>
      <c r="K77" s="17"/>
      <c r="L77" s="17" t="s">
        <v>10132</v>
      </c>
      <c r="M77" s="17" t="s">
        <v>10133</v>
      </c>
      <c r="N77" s="15" t="s">
        <v>94</v>
      </c>
      <c r="O77" s="17" t="s">
        <v>9681</v>
      </c>
      <c r="P77" s="15" t="n">
        <v>1386</v>
      </c>
    </row>
    <row r="78" customFormat="false" ht="32.8" hidden="false" customHeight="false" outlineLevel="0" collapsed="false">
      <c r="A78" s="57" t="s">
        <v>10134</v>
      </c>
      <c r="B78" s="58" t="s">
        <v>9674</v>
      </c>
      <c r="C78" s="58" t="s">
        <v>205</v>
      </c>
      <c r="D78" s="59" t="s">
        <v>10135</v>
      </c>
      <c r="E78" s="58" t="s">
        <v>241</v>
      </c>
      <c r="F78" s="60" t="s">
        <v>10136</v>
      </c>
      <c r="G78" s="58" t="s">
        <v>10137</v>
      </c>
      <c r="H78" s="58"/>
      <c r="I78" s="58"/>
      <c r="J78" s="58"/>
      <c r="K78" s="58"/>
      <c r="L78" s="58" t="s">
        <v>10132</v>
      </c>
      <c r="M78" s="58" t="s">
        <v>10138</v>
      </c>
      <c r="N78" s="61" t="s">
        <v>94</v>
      </c>
      <c r="O78" s="58" t="s">
        <v>9681</v>
      </c>
      <c r="P78" s="61" t="n">
        <v>1408</v>
      </c>
    </row>
    <row r="79" customFormat="false" ht="43.25" hidden="false" customHeight="false" outlineLevel="0" collapsed="false">
      <c r="A79" s="22" t="s">
        <v>10139</v>
      </c>
      <c r="B79" s="17" t="s">
        <v>9674</v>
      </c>
      <c r="C79" s="17" t="s">
        <v>205</v>
      </c>
      <c r="D79" s="55" t="s">
        <v>10140</v>
      </c>
      <c r="E79" s="17" t="s">
        <v>241</v>
      </c>
      <c r="F79" s="56" t="s">
        <v>10141</v>
      </c>
      <c r="G79" s="17" t="s">
        <v>10142</v>
      </c>
      <c r="H79" s="17"/>
      <c r="I79" s="17"/>
      <c r="J79" s="17"/>
      <c r="K79" s="17"/>
      <c r="L79" s="17" t="s">
        <v>10132</v>
      </c>
      <c r="M79" s="17" t="s">
        <v>10143</v>
      </c>
      <c r="N79" s="15" t="s">
        <v>94</v>
      </c>
      <c r="O79" s="17" t="s">
        <v>9681</v>
      </c>
      <c r="P79" s="15" t="n">
        <v>1429</v>
      </c>
    </row>
    <row r="80" customFormat="false" ht="32.8" hidden="false" customHeight="false" outlineLevel="0" collapsed="false">
      <c r="A80" s="57" t="s">
        <v>10144</v>
      </c>
      <c r="B80" s="58" t="s">
        <v>9674</v>
      </c>
      <c r="C80" s="58" t="s">
        <v>205</v>
      </c>
      <c r="D80" s="59" t="s">
        <v>10145</v>
      </c>
      <c r="E80" s="58" t="s">
        <v>241</v>
      </c>
      <c r="F80" s="60" t="s">
        <v>10146</v>
      </c>
      <c r="G80" s="58" t="s">
        <v>10147</v>
      </c>
      <c r="H80" s="58"/>
      <c r="I80" s="58"/>
      <c r="J80" s="58"/>
      <c r="K80" s="58"/>
      <c r="L80" s="58" t="s">
        <v>10132</v>
      </c>
      <c r="M80" s="58" t="s">
        <v>10148</v>
      </c>
      <c r="N80" s="61" t="s">
        <v>94</v>
      </c>
      <c r="O80" s="58" t="s">
        <v>9681</v>
      </c>
      <c r="P80" s="61" t="n">
        <v>1451</v>
      </c>
    </row>
    <row r="81" customFormat="false" ht="22.35" hidden="false" customHeight="false" outlineLevel="0" collapsed="false">
      <c r="A81" s="22" t="s">
        <v>10149</v>
      </c>
      <c r="B81" s="17" t="s">
        <v>9674</v>
      </c>
      <c r="C81" s="17" t="s">
        <v>205</v>
      </c>
      <c r="D81" s="55" t="s">
        <v>10150</v>
      </c>
      <c r="E81" s="17" t="s">
        <v>241</v>
      </c>
      <c r="F81" s="56" t="s">
        <v>10151</v>
      </c>
      <c r="G81" s="17" t="s">
        <v>10152</v>
      </c>
      <c r="H81" s="17"/>
      <c r="I81" s="17"/>
      <c r="J81" s="17"/>
      <c r="K81" s="17"/>
      <c r="L81" s="17" t="s">
        <v>10132</v>
      </c>
      <c r="M81" s="17" t="s">
        <v>10153</v>
      </c>
      <c r="N81" s="15" t="s">
        <v>94</v>
      </c>
      <c r="O81" s="17" t="s">
        <v>9681</v>
      </c>
      <c r="P81" s="15" t="n">
        <v>1472</v>
      </c>
    </row>
    <row r="82" customFormat="false" ht="22.35" hidden="false" customHeight="false" outlineLevel="0" collapsed="false">
      <c r="A82" s="57" t="s">
        <v>10154</v>
      </c>
      <c r="B82" s="58" t="s">
        <v>9674</v>
      </c>
      <c r="C82" s="58" t="s">
        <v>205</v>
      </c>
      <c r="D82" s="59" t="s">
        <v>10155</v>
      </c>
      <c r="E82" s="58" t="s">
        <v>241</v>
      </c>
      <c r="F82" s="60" t="s">
        <v>10156</v>
      </c>
      <c r="G82" s="58" t="s">
        <v>10157</v>
      </c>
      <c r="H82" s="58"/>
      <c r="I82" s="58"/>
      <c r="J82" s="58"/>
      <c r="K82" s="58" t="s">
        <v>439</v>
      </c>
      <c r="L82" s="58" t="s">
        <v>10132</v>
      </c>
      <c r="M82" s="58" t="s">
        <v>10158</v>
      </c>
      <c r="N82" s="61" t="s">
        <v>94</v>
      </c>
      <c r="O82" s="58" t="s">
        <v>9681</v>
      </c>
      <c r="P82" s="61" t="n">
        <v>1473</v>
      </c>
    </row>
    <row r="83" customFormat="false" ht="22.35" hidden="false" customHeight="false" outlineLevel="0" collapsed="false">
      <c r="A83" s="22" t="s">
        <v>10159</v>
      </c>
      <c r="B83" s="17" t="s">
        <v>9674</v>
      </c>
      <c r="C83" s="17" t="s">
        <v>205</v>
      </c>
      <c r="D83" s="55" t="s">
        <v>10160</v>
      </c>
      <c r="E83" s="17" t="s">
        <v>241</v>
      </c>
      <c r="F83" s="56" t="s">
        <v>10161</v>
      </c>
      <c r="G83" s="17" t="s">
        <v>10162</v>
      </c>
      <c r="H83" s="17"/>
      <c r="I83" s="17"/>
      <c r="J83" s="17"/>
      <c r="K83" s="17" t="s">
        <v>439</v>
      </c>
      <c r="L83" s="17" t="s">
        <v>10132</v>
      </c>
      <c r="M83" s="17" t="s">
        <v>10163</v>
      </c>
      <c r="N83" s="15" t="s">
        <v>94</v>
      </c>
      <c r="O83" s="17" t="s">
        <v>9681</v>
      </c>
      <c r="P83" s="15" t="n">
        <v>1479</v>
      </c>
    </row>
    <row r="84" customFormat="false" ht="22.35" hidden="false" customHeight="false" outlineLevel="0" collapsed="false">
      <c r="A84" s="57" t="s">
        <v>10164</v>
      </c>
      <c r="B84" s="58" t="s">
        <v>9674</v>
      </c>
      <c r="C84" s="58" t="s">
        <v>205</v>
      </c>
      <c r="D84" s="59" t="s">
        <v>10165</v>
      </c>
      <c r="E84" s="58" t="s">
        <v>241</v>
      </c>
      <c r="F84" s="60" t="s">
        <v>10166</v>
      </c>
      <c r="G84" s="58" t="s">
        <v>10167</v>
      </c>
      <c r="H84" s="58"/>
      <c r="I84" s="58"/>
      <c r="J84" s="58"/>
      <c r="K84" s="58" t="s">
        <v>439</v>
      </c>
      <c r="L84" s="58" t="s">
        <v>10132</v>
      </c>
      <c r="M84" s="58" t="s">
        <v>10168</v>
      </c>
      <c r="N84" s="61" t="s">
        <v>94</v>
      </c>
      <c r="O84" s="58" t="s">
        <v>9681</v>
      </c>
      <c r="P84" s="61" t="n">
        <v>1484</v>
      </c>
    </row>
    <row r="85" customFormat="false" ht="22.35" hidden="false" customHeight="false" outlineLevel="0" collapsed="false">
      <c r="A85" s="22" t="s">
        <v>10169</v>
      </c>
      <c r="B85" s="17" t="s">
        <v>9674</v>
      </c>
      <c r="C85" s="17" t="s">
        <v>205</v>
      </c>
      <c r="D85" s="55" t="s">
        <v>10170</v>
      </c>
      <c r="E85" s="17" t="s">
        <v>241</v>
      </c>
      <c r="F85" s="56" t="s">
        <v>10171</v>
      </c>
      <c r="G85" s="17" t="s">
        <v>10172</v>
      </c>
      <c r="H85" s="17"/>
      <c r="I85" s="17"/>
      <c r="J85" s="17"/>
      <c r="K85" s="17"/>
      <c r="L85" s="17" t="s">
        <v>10132</v>
      </c>
      <c r="M85" s="17" t="s">
        <v>10173</v>
      </c>
      <c r="N85" s="15" t="s">
        <v>94</v>
      </c>
      <c r="O85" s="17" t="s">
        <v>9681</v>
      </c>
      <c r="P85" s="15" t="n">
        <v>1489</v>
      </c>
    </row>
    <row r="86" customFormat="false" ht="22.35" hidden="false" customHeight="false" outlineLevel="0" collapsed="false">
      <c r="A86" s="57" t="s">
        <v>10174</v>
      </c>
      <c r="B86" s="58" t="s">
        <v>9674</v>
      </c>
      <c r="C86" s="58" t="s">
        <v>205</v>
      </c>
      <c r="D86" s="59" t="s">
        <v>10175</v>
      </c>
      <c r="E86" s="58" t="s">
        <v>241</v>
      </c>
      <c r="F86" s="60" t="s">
        <v>10176</v>
      </c>
      <c r="G86" s="58" t="s">
        <v>10177</v>
      </c>
      <c r="H86" s="58"/>
      <c r="I86" s="58"/>
      <c r="J86" s="58"/>
      <c r="K86" s="58"/>
      <c r="L86" s="58" t="s">
        <v>10132</v>
      </c>
      <c r="M86" s="58" t="s">
        <v>10178</v>
      </c>
      <c r="N86" s="61" t="s">
        <v>94</v>
      </c>
      <c r="O86" s="58" t="s">
        <v>9681</v>
      </c>
      <c r="P86" s="61" t="n">
        <v>1498</v>
      </c>
    </row>
    <row r="87" customFormat="false" ht="22.35" hidden="false" customHeight="false" outlineLevel="0" collapsed="false">
      <c r="A87" s="22" t="s">
        <v>10179</v>
      </c>
      <c r="B87" s="17" t="s">
        <v>9674</v>
      </c>
      <c r="C87" s="17" t="s">
        <v>205</v>
      </c>
      <c r="D87" s="55" t="s">
        <v>10180</v>
      </c>
      <c r="E87" s="17" t="s">
        <v>241</v>
      </c>
      <c r="F87" s="56" t="s">
        <v>10181</v>
      </c>
      <c r="G87" s="17" t="s">
        <v>10182</v>
      </c>
      <c r="H87" s="17"/>
      <c r="I87" s="17"/>
      <c r="J87" s="17"/>
      <c r="K87" s="17"/>
      <c r="L87" s="17" t="s">
        <v>10132</v>
      </c>
      <c r="M87" s="17" t="s">
        <v>10183</v>
      </c>
      <c r="N87" s="15" t="s">
        <v>94</v>
      </c>
      <c r="O87" s="17" t="s">
        <v>9681</v>
      </c>
      <c r="P87" s="15" t="n">
        <v>1508</v>
      </c>
    </row>
    <row r="88" customFormat="false" ht="32.8" hidden="false" customHeight="false" outlineLevel="0" collapsed="false">
      <c r="A88" s="57" t="s">
        <v>10184</v>
      </c>
      <c r="B88" s="58" t="s">
        <v>9674</v>
      </c>
      <c r="C88" s="58" t="s">
        <v>205</v>
      </c>
      <c r="D88" s="59" t="s">
        <v>10185</v>
      </c>
      <c r="E88" s="58" t="s">
        <v>241</v>
      </c>
      <c r="F88" s="60" t="s">
        <v>10186</v>
      </c>
      <c r="G88" s="58" t="s">
        <v>10187</v>
      </c>
      <c r="H88" s="58"/>
      <c r="I88" s="58"/>
      <c r="J88" s="58"/>
      <c r="K88" s="58"/>
      <c r="L88" s="58" t="s">
        <v>10132</v>
      </c>
      <c r="M88" s="58" t="s">
        <v>10188</v>
      </c>
      <c r="N88" s="61" t="s">
        <v>94</v>
      </c>
      <c r="O88" s="58" t="s">
        <v>9681</v>
      </c>
      <c r="P88" s="61" t="n">
        <v>1509</v>
      </c>
    </row>
    <row r="89" customFormat="false" ht="64.15" hidden="false" customHeight="false" outlineLevel="0" collapsed="false">
      <c r="A89" s="22" t="s">
        <v>10189</v>
      </c>
      <c r="B89" s="17" t="s">
        <v>9674</v>
      </c>
      <c r="C89" s="17" t="s">
        <v>205</v>
      </c>
      <c r="D89" s="55" t="s">
        <v>10190</v>
      </c>
      <c r="E89" s="17" t="s">
        <v>241</v>
      </c>
      <c r="F89" s="56" t="s">
        <v>10191</v>
      </c>
      <c r="G89" s="17" t="s">
        <v>10192</v>
      </c>
      <c r="H89" s="17"/>
      <c r="I89" s="17"/>
      <c r="J89" s="17"/>
      <c r="K89" s="17" t="s">
        <v>439</v>
      </c>
      <c r="L89" s="17" t="s">
        <v>10132</v>
      </c>
      <c r="M89" s="17" t="s">
        <v>10193</v>
      </c>
      <c r="N89" s="15" t="s">
        <v>94</v>
      </c>
      <c r="O89" s="17" t="s">
        <v>9681</v>
      </c>
      <c r="P89" s="15" t="n">
        <v>1545</v>
      </c>
    </row>
    <row r="90" customFormat="false" ht="22.35" hidden="false" customHeight="false" outlineLevel="0" collapsed="false">
      <c r="A90" s="57" t="s">
        <v>10194</v>
      </c>
      <c r="B90" s="58" t="s">
        <v>9674</v>
      </c>
      <c r="C90" s="58" t="s">
        <v>205</v>
      </c>
      <c r="D90" s="59" t="s">
        <v>10195</v>
      </c>
      <c r="E90" s="58" t="s">
        <v>241</v>
      </c>
      <c r="F90" s="60" t="s">
        <v>10196</v>
      </c>
      <c r="G90" s="58" t="s">
        <v>10197</v>
      </c>
      <c r="H90" s="58"/>
      <c r="I90" s="58"/>
      <c r="J90" s="58"/>
      <c r="K90" s="58"/>
      <c r="L90" s="58" t="s">
        <v>10132</v>
      </c>
      <c r="M90" s="58" t="s">
        <v>10198</v>
      </c>
      <c r="N90" s="61" t="s">
        <v>94</v>
      </c>
      <c r="O90" s="58" t="s">
        <v>9681</v>
      </c>
      <c r="P90" s="61" t="n">
        <v>1585</v>
      </c>
    </row>
    <row r="91" customFormat="false" ht="22.35" hidden="false" customHeight="false" outlineLevel="0" collapsed="false">
      <c r="A91" s="22" t="s">
        <v>10199</v>
      </c>
      <c r="B91" s="17" t="s">
        <v>9674</v>
      </c>
      <c r="C91" s="17" t="s">
        <v>205</v>
      </c>
      <c r="D91" s="55" t="s">
        <v>10200</v>
      </c>
      <c r="E91" s="17" t="s">
        <v>241</v>
      </c>
      <c r="F91" s="56" t="s">
        <v>10201</v>
      </c>
      <c r="G91" s="17" t="s">
        <v>10202</v>
      </c>
      <c r="H91" s="17"/>
      <c r="I91" s="17"/>
      <c r="J91" s="17"/>
      <c r="K91" s="17" t="s">
        <v>492</v>
      </c>
      <c r="L91" s="17" t="s">
        <v>10132</v>
      </c>
      <c r="M91" s="17" t="s">
        <v>10203</v>
      </c>
      <c r="N91" s="15" t="s">
        <v>94</v>
      </c>
      <c r="O91" s="17" t="s">
        <v>9681</v>
      </c>
      <c r="P91" s="15" t="n">
        <v>1602</v>
      </c>
    </row>
    <row r="92" customFormat="false" ht="32.8" hidden="false" customHeight="false" outlineLevel="0" collapsed="false">
      <c r="A92" s="57" t="s">
        <v>10204</v>
      </c>
      <c r="B92" s="58" t="s">
        <v>9674</v>
      </c>
      <c r="C92" s="58" t="s">
        <v>205</v>
      </c>
      <c r="D92" s="59" t="s">
        <v>10205</v>
      </c>
      <c r="E92" s="58" t="s">
        <v>241</v>
      </c>
      <c r="F92" s="60" t="s">
        <v>10206</v>
      </c>
      <c r="G92" s="58" t="s">
        <v>10207</v>
      </c>
      <c r="H92" s="58"/>
      <c r="I92" s="58"/>
      <c r="J92" s="58"/>
      <c r="K92" s="58"/>
      <c r="L92" s="58" t="s">
        <v>10132</v>
      </c>
      <c r="M92" s="58" t="s">
        <v>10208</v>
      </c>
      <c r="N92" s="61" t="s">
        <v>94</v>
      </c>
      <c r="O92" s="58" t="s">
        <v>9681</v>
      </c>
      <c r="P92" s="61" t="n">
        <v>1647</v>
      </c>
    </row>
    <row r="93" customFormat="false" ht="22.35" hidden="false" customHeight="false" outlineLevel="0" collapsed="false">
      <c r="A93" s="22" t="s">
        <v>10209</v>
      </c>
      <c r="B93" s="17" t="s">
        <v>9674</v>
      </c>
      <c r="C93" s="17" t="s">
        <v>205</v>
      </c>
      <c r="D93" s="55" t="s">
        <v>10210</v>
      </c>
      <c r="E93" s="17" t="s">
        <v>241</v>
      </c>
      <c r="F93" s="56" t="s">
        <v>10211</v>
      </c>
      <c r="G93" s="17" t="s">
        <v>10212</v>
      </c>
      <c r="H93" s="17"/>
      <c r="I93" s="17"/>
      <c r="J93" s="17"/>
      <c r="K93" s="17"/>
      <c r="L93" s="17" t="s">
        <v>10132</v>
      </c>
      <c r="M93" s="17" t="s">
        <v>10213</v>
      </c>
      <c r="N93" s="15" t="s">
        <v>94</v>
      </c>
      <c r="O93" s="17" t="s">
        <v>9681</v>
      </c>
      <c r="P93" s="15" t="n">
        <v>1675</v>
      </c>
    </row>
    <row r="94" customFormat="false" ht="22.35" hidden="false" customHeight="false" outlineLevel="0" collapsed="false">
      <c r="A94" s="57" t="s">
        <v>10214</v>
      </c>
      <c r="B94" s="58" t="s">
        <v>9674</v>
      </c>
      <c r="C94" s="58" t="s">
        <v>205</v>
      </c>
      <c r="D94" s="59" t="s">
        <v>10215</v>
      </c>
      <c r="E94" s="58" t="s">
        <v>241</v>
      </c>
      <c r="F94" s="60" t="s">
        <v>10216</v>
      </c>
      <c r="G94" s="58" t="s">
        <v>10217</v>
      </c>
      <c r="H94" s="58"/>
      <c r="I94" s="58"/>
      <c r="J94" s="58"/>
      <c r="K94" s="58"/>
      <c r="L94" s="58" t="s">
        <v>10132</v>
      </c>
      <c r="M94" s="58" t="s">
        <v>10218</v>
      </c>
      <c r="N94" s="61" t="s">
        <v>94</v>
      </c>
      <c r="O94" s="58" t="s">
        <v>9681</v>
      </c>
      <c r="P94" s="61" t="n">
        <v>1678</v>
      </c>
    </row>
  </sheetData>
  <autoFilter ref="A4:P94"/>
  <mergeCells count="1">
    <mergeCell ref="A2:J2"/>
  </mergeCells>
  <printOptions headings="false" gridLines="false" gridLinesSet="true" horizontalCentered="true" verticalCentered="false"/>
  <pageMargins left="0.4" right="0.4" top="0.5" bottom="0.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&amp;LiW-ASCEJ-01-API-Reference-R1.0-REL1.0&amp;C&amp;A&amp;RPage &amp;P of &amp;N</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P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8"/>
    <col collapsed="false" customWidth="true" hidden="false" outlineLevel="0" max="4" min="4" style="0" width="30"/>
    <col collapsed="false" customWidth="true" hidden="false" outlineLevel="0" max="5" min="5" style="0" width="12"/>
    <col collapsed="false" customWidth="true" hidden="false" outlineLevel="0" max="6" min="6" style="0" width="46"/>
    <col collapsed="false" customWidth="true" hidden="false" outlineLevel="0" max="7" min="7" style="0" width="52"/>
    <col collapsed="false" customWidth="true" hidden="false" outlineLevel="0" max="9" min="8" style="0" width="34"/>
    <col collapsed="false" customWidth="true" hidden="false" outlineLevel="0" max="10" min="10" style="0" width="46"/>
    <col collapsed="false" customWidth="true" hidden="false" outlineLevel="0" max="11" min="11" style="0" width="10"/>
    <col collapsed="false" customWidth="true" hidden="false" outlineLevel="0" max="12" min="12" style="0" width="34"/>
    <col collapsed="false" customWidth="true" hidden="false" outlineLevel="0" max="13" min="13" style="0" width="40"/>
    <col collapsed="false" customWidth="true" hidden="false" outlineLevel="0" max="14" min="14" style="0" width="6"/>
    <col collapsed="false" customWidth="true" hidden="false" outlineLevel="0" max="15" min="15" style="0" width="46"/>
    <col collapsed="false" customWidth="true" hidden="false" outlineLevel="0" max="16" min="16" style="0" width="7"/>
  </cols>
  <sheetData>
    <row r="1" customFormat="false" ht="25.5" hidden="false" customHeight="true" outlineLevel="0" collapsed="false">
      <c r="A1" s="12" t="s">
        <v>10219</v>
      </c>
    </row>
    <row r="2" customFormat="false" ht="30" hidden="false" customHeight="true" outlineLevel="0" collapsed="false">
      <c r="A2" s="13" t="s">
        <v>72</v>
      </c>
      <c r="B2" s="13"/>
      <c r="C2" s="13"/>
      <c r="D2" s="13"/>
      <c r="E2" s="13"/>
      <c r="F2" s="13"/>
      <c r="G2" s="13"/>
      <c r="H2" s="13"/>
      <c r="I2" s="13"/>
      <c r="J2" s="13"/>
    </row>
    <row r="3" customFormat="false" ht="15" hidden="false" customHeight="false" outlineLevel="0" collapsed="false">
      <c r="A3" s="9" t="s">
        <v>10220</v>
      </c>
    </row>
    <row r="4" customFormat="false" ht="30" hidden="false" customHeight="true" outlineLevel="0" collapsed="false">
      <c r="A4" s="14" t="s">
        <v>398</v>
      </c>
      <c r="B4" s="14" t="s">
        <v>1006</v>
      </c>
      <c r="C4" s="14" t="s">
        <v>98</v>
      </c>
      <c r="D4" s="14" t="s">
        <v>1007</v>
      </c>
      <c r="E4" s="14" t="s">
        <v>220</v>
      </c>
      <c r="F4" s="14" t="s">
        <v>1008</v>
      </c>
      <c r="G4" s="14" t="s">
        <v>1009</v>
      </c>
      <c r="H4" s="14" t="s">
        <v>1010</v>
      </c>
      <c r="I4" s="14" t="s">
        <v>1011</v>
      </c>
      <c r="J4" s="14" t="s">
        <v>1012</v>
      </c>
      <c r="K4" s="14" t="s">
        <v>1013</v>
      </c>
      <c r="L4" s="14" t="s">
        <v>1014</v>
      </c>
      <c r="M4" s="14" t="s">
        <v>1015</v>
      </c>
      <c r="N4" s="14" t="s">
        <v>1016</v>
      </c>
      <c r="O4" s="14" t="s">
        <v>1017</v>
      </c>
      <c r="P4" s="14" t="s">
        <v>1018</v>
      </c>
    </row>
    <row r="5" customFormat="false" ht="32.8" hidden="false" customHeight="false" outlineLevel="0" collapsed="false">
      <c r="A5" s="22" t="s">
        <v>10221</v>
      </c>
      <c r="B5" s="17" t="s">
        <v>10222</v>
      </c>
      <c r="C5" s="17" t="s">
        <v>206</v>
      </c>
      <c r="D5" s="55" t="s">
        <v>10223</v>
      </c>
      <c r="E5" s="17" t="s">
        <v>223</v>
      </c>
      <c r="F5" s="56" t="s">
        <v>10224</v>
      </c>
      <c r="G5" s="17" t="s">
        <v>10225</v>
      </c>
      <c r="H5" s="17"/>
      <c r="I5" s="17"/>
      <c r="J5" s="17"/>
      <c r="K5" s="17"/>
      <c r="L5" s="17" t="s">
        <v>10226</v>
      </c>
      <c r="M5" s="17"/>
      <c r="N5" s="15" t="s">
        <v>94</v>
      </c>
      <c r="O5" s="17" t="s">
        <v>10227</v>
      </c>
      <c r="P5" s="15" t="n">
        <v>37</v>
      </c>
    </row>
    <row r="6" customFormat="false" ht="22.35" hidden="false" customHeight="false" outlineLevel="0" collapsed="false">
      <c r="A6" s="57" t="s">
        <v>10228</v>
      </c>
      <c r="B6" s="58" t="s">
        <v>10222</v>
      </c>
      <c r="C6" s="58" t="s">
        <v>206</v>
      </c>
      <c r="D6" s="59" t="s">
        <v>10229</v>
      </c>
      <c r="E6" s="58" t="s">
        <v>246</v>
      </c>
      <c r="F6" s="60" t="s">
        <v>10230</v>
      </c>
      <c r="G6" s="58" t="s">
        <v>10231</v>
      </c>
      <c r="H6" s="58"/>
      <c r="I6" s="58"/>
      <c r="J6" s="58"/>
      <c r="K6" s="58"/>
      <c r="L6" s="58" t="s">
        <v>10232</v>
      </c>
      <c r="M6" s="58"/>
      <c r="N6" s="61" t="s">
        <v>94</v>
      </c>
      <c r="O6" s="58" t="s">
        <v>10227</v>
      </c>
      <c r="P6" s="61" t="n">
        <v>40</v>
      </c>
    </row>
    <row r="7" customFormat="false" ht="22.35" hidden="false" customHeight="false" outlineLevel="0" collapsed="false">
      <c r="A7" s="22" t="s">
        <v>10233</v>
      </c>
      <c r="B7" s="17" t="s">
        <v>10222</v>
      </c>
      <c r="C7" s="17" t="s">
        <v>206</v>
      </c>
      <c r="D7" s="55" t="s">
        <v>10234</v>
      </c>
      <c r="E7" s="17" t="s">
        <v>246</v>
      </c>
      <c r="F7" s="56" t="s">
        <v>10235</v>
      </c>
      <c r="G7" s="17" t="s">
        <v>10236</v>
      </c>
      <c r="H7" s="17"/>
      <c r="I7" s="17"/>
      <c r="J7" s="17"/>
      <c r="K7" s="17"/>
      <c r="L7" s="17" t="s">
        <v>10232</v>
      </c>
      <c r="M7" s="17"/>
      <c r="N7" s="15" t="s">
        <v>94</v>
      </c>
      <c r="O7" s="17" t="s">
        <v>10227</v>
      </c>
      <c r="P7" s="15" t="n">
        <v>41</v>
      </c>
    </row>
    <row r="8" customFormat="false" ht="22.35" hidden="false" customHeight="false" outlineLevel="0" collapsed="false">
      <c r="A8" s="57" t="s">
        <v>10237</v>
      </c>
      <c r="B8" s="58" t="s">
        <v>10222</v>
      </c>
      <c r="C8" s="58" t="s">
        <v>206</v>
      </c>
      <c r="D8" s="59" t="s">
        <v>10238</v>
      </c>
      <c r="E8" s="58" t="s">
        <v>246</v>
      </c>
      <c r="F8" s="60" t="s">
        <v>10239</v>
      </c>
      <c r="G8" s="58" t="s">
        <v>10240</v>
      </c>
      <c r="H8" s="58"/>
      <c r="I8" s="58"/>
      <c r="J8" s="58"/>
      <c r="K8" s="58"/>
      <c r="L8" s="58" t="s">
        <v>10232</v>
      </c>
      <c r="M8" s="58"/>
      <c r="N8" s="61" t="s">
        <v>94</v>
      </c>
      <c r="O8" s="58" t="s">
        <v>10227</v>
      </c>
      <c r="P8" s="61" t="n">
        <v>42</v>
      </c>
    </row>
    <row r="9" customFormat="false" ht="22.35" hidden="false" customHeight="false" outlineLevel="0" collapsed="false">
      <c r="A9" s="22" t="s">
        <v>10241</v>
      </c>
      <c r="B9" s="17" t="s">
        <v>10222</v>
      </c>
      <c r="C9" s="17" t="s">
        <v>206</v>
      </c>
      <c r="D9" s="55" t="s">
        <v>10242</v>
      </c>
      <c r="E9" s="17" t="s">
        <v>246</v>
      </c>
      <c r="F9" s="56" t="s">
        <v>10243</v>
      </c>
      <c r="G9" s="17" t="s">
        <v>10244</v>
      </c>
      <c r="H9" s="17"/>
      <c r="I9" s="17"/>
      <c r="J9" s="17"/>
      <c r="K9" s="17"/>
      <c r="L9" s="17" t="s">
        <v>10232</v>
      </c>
      <c r="M9" s="17"/>
      <c r="N9" s="15" t="s">
        <v>94</v>
      </c>
      <c r="O9" s="17" t="s">
        <v>10227</v>
      </c>
      <c r="P9" s="15" t="n">
        <v>43</v>
      </c>
    </row>
    <row r="10" customFormat="false" ht="22.35" hidden="false" customHeight="false" outlineLevel="0" collapsed="false">
      <c r="A10" s="57" t="s">
        <v>10245</v>
      </c>
      <c r="B10" s="58" t="s">
        <v>10222</v>
      </c>
      <c r="C10" s="58" t="s">
        <v>206</v>
      </c>
      <c r="D10" s="59" t="s">
        <v>10246</v>
      </c>
      <c r="E10" s="58" t="s">
        <v>246</v>
      </c>
      <c r="F10" s="60" t="s">
        <v>10247</v>
      </c>
      <c r="G10" s="58" t="s">
        <v>10248</v>
      </c>
      <c r="H10" s="58"/>
      <c r="I10" s="58"/>
      <c r="J10" s="58"/>
      <c r="K10" s="58"/>
      <c r="L10" s="58" t="s">
        <v>10232</v>
      </c>
      <c r="M10" s="58"/>
      <c r="N10" s="61" t="s">
        <v>94</v>
      </c>
      <c r="O10" s="58" t="s">
        <v>10227</v>
      </c>
      <c r="P10" s="61" t="n">
        <v>44</v>
      </c>
    </row>
    <row r="11" customFormat="false" ht="22.35" hidden="false" customHeight="false" outlineLevel="0" collapsed="false">
      <c r="A11" s="22" t="s">
        <v>10249</v>
      </c>
      <c r="B11" s="17" t="s">
        <v>10222</v>
      </c>
      <c r="C11" s="17" t="s">
        <v>206</v>
      </c>
      <c r="D11" s="55" t="s">
        <v>10250</v>
      </c>
      <c r="E11" s="17" t="s">
        <v>246</v>
      </c>
      <c r="F11" s="56" t="s">
        <v>10251</v>
      </c>
      <c r="G11" s="17" t="s">
        <v>10252</v>
      </c>
      <c r="H11" s="17"/>
      <c r="I11" s="17"/>
      <c r="J11" s="17"/>
      <c r="K11" s="17"/>
      <c r="L11" s="17" t="s">
        <v>10232</v>
      </c>
      <c r="M11" s="17"/>
      <c r="N11" s="15" t="s">
        <v>94</v>
      </c>
      <c r="O11" s="17" t="s">
        <v>10227</v>
      </c>
      <c r="P11" s="15" t="n">
        <v>45</v>
      </c>
    </row>
    <row r="12" customFormat="false" ht="32.8" hidden="false" customHeight="false" outlineLevel="0" collapsed="false">
      <c r="A12" s="57" t="s">
        <v>10253</v>
      </c>
      <c r="B12" s="58" t="s">
        <v>10222</v>
      </c>
      <c r="C12" s="58" t="s">
        <v>206</v>
      </c>
      <c r="D12" s="59" t="s">
        <v>10254</v>
      </c>
      <c r="E12" s="58" t="s">
        <v>246</v>
      </c>
      <c r="F12" s="60" t="s">
        <v>10255</v>
      </c>
      <c r="G12" s="58" t="s">
        <v>10256</v>
      </c>
      <c r="H12" s="58"/>
      <c r="I12" s="58"/>
      <c r="J12" s="58" t="s">
        <v>10257</v>
      </c>
      <c r="K12" s="58"/>
      <c r="L12" s="58" t="s">
        <v>10258</v>
      </c>
      <c r="M12" s="58"/>
      <c r="N12" s="61" t="s">
        <v>94</v>
      </c>
      <c r="O12" s="58" t="s">
        <v>10227</v>
      </c>
      <c r="P12" s="61" t="n">
        <v>49</v>
      </c>
    </row>
    <row r="13" customFormat="false" ht="22.35" hidden="false" customHeight="false" outlineLevel="0" collapsed="false">
      <c r="A13" s="22" t="s">
        <v>10259</v>
      </c>
      <c r="B13" s="17" t="s">
        <v>10222</v>
      </c>
      <c r="C13" s="17" t="s">
        <v>206</v>
      </c>
      <c r="D13" s="55" t="s">
        <v>10260</v>
      </c>
      <c r="E13" s="17" t="s">
        <v>223</v>
      </c>
      <c r="F13" s="56" t="s">
        <v>10261</v>
      </c>
      <c r="G13" s="17" t="s">
        <v>10262</v>
      </c>
      <c r="H13" s="17"/>
      <c r="I13" s="17"/>
      <c r="J13" s="17"/>
      <c r="K13" s="17"/>
      <c r="L13" s="17" t="s">
        <v>10263</v>
      </c>
      <c r="M13" s="17"/>
      <c r="N13" s="15" t="s">
        <v>94</v>
      </c>
      <c r="O13" s="17" t="s">
        <v>10264</v>
      </c>
      <c r="P13" s="15" t="n">
        <v>284</v>
      </c>
    </row>
    <row r="14" customFormat="false" ht="32.8" hidden="false" customHeight="false" outlineLevel="0" collapsed="false">
      <c r="A14" s="57" t="s">
        <v>10265</v>
      </c>
      <c r="B14" s="58" t="s">
        <v>10222</v>
      </c>
      <c r="C14" s="58" t="s">
        <v>206</v>
      </c>
      <c r="D14" s="59" t="s">
        <v>10266</v>
      </c>
      <c r="E14" s="58" t="s">
        <v>246</v>
      </c>
      <c r="F14" s="60" t="s">
        <v>10267</v>
      </c>
      <c r="G14" s="58" t="s">
        <v>10268</v>
      </c>
      <c r="H14" s="58"/>
      <c r="I14" s="58"/>
      <c r="J14" s="58"/>
      <c r="K14" s="58"/>
      <c r="L14" s="58" t="s">
        <v>10269</v>
      </c>
      <c r="M14" s="58"/>
      <c r="N14" s="61" t="s">
        <v>94</v>
      </c>
      <c r="O14" s="58" t="s">
        <v>10264</v>
      </c>
      <c r="P14" s="61" t="n">
        <v>291</v>
      </c>
    </row>
    <row r="15" customFormat="false" ht="43.25" hidden="false" customHeight="false" outlineLevel="0" collapsed="false">
      <c r="A15" s="22" t="s">
        <v>10270</v>
      </c>
      <c r="B15" s="17" t="s">
        <v>10222</v>
      </c>
      <c r="C15" s="17" t="s">
        <v>196</v>
      </c>
      <c r="D15" s="55" t="s">
        <v>10271</v>
      </c>
      <c r="E15" s="17" t="s">
        <v>223</v>
      </c>
      <c r="F15" s="56" t="s">
        <v>10272</v>
      </c>
      <c r="G15" s="17" t="s">
        <v>10273</v>
      </c>
      <c r="H15" s="17"/>
      <c r="I15" s="17"/>
      <c r="J15" s="17"/>
      <c r="K15" s="17"/>
      <c r="L15" s="17" t="s">
        <v>10274</v>
      </c>
      <c r="M15" s="17"/>
      <c r="N15" s="15" t="s">
        <v>94</v>
      </c>
      <c r="O15" s="17" t="s">
        <v>10264</v>
      </c>
      <c r="P15" s="15" t="n">
        <v>225</v>
      </c>
    </row>
    <row r="16" customFormat="false" ht="43.25" hidden="false" customHeight="false" outlineLevel="0" collapsed="false">
      <c r="A16" s="57" t="s">
        <v>10275</v>
      </c>
      <c r="B16" s="58" t="s">
        <v>10222</v>
      </c>
      <c r="C16" s="58" t="s">
        <v>196</v>
      </c>
      <c r="D16" s="59" t="s">
        <v>10276</v>
      </c>
      <c r="E16" s="58" t="s">
        <v>223</v>
      </c>
      <c r="F16" s="60" t="s">
        <v>10277</v>
      </c>
      <c r="G16" s="58" t="s">
        <v>10278</v>
      </c>
      <c r="H16" s="58"/>
      <c r="I16" s="58"/>
      <c r="J16" s="58"/>
      <c r="K16" s="58"/>
      <c r="L16" s="58" t="s">
        <v>10274</v>
      </c>
      <c r="M16" s="58"/>
      <c r="N16" s="61" t="s">
        <v>94</v>
      </c>
      <c r="O16" s="58" t="s">
        <v>10264</v>
      </c>
      <c r="P16" s="61" t="n">
        <v>226</v>
      </c>
    </row>
    <row r="17" customFormat="false" ht="43.25" hidden="false" customHeight="false" outlineLevel="0" collapsed="false">
      <c r="A17" s="22" t="s">
        <v>10279</v>
      </c>
      <c r="B17" s="17" t="s">
        <v>10222</v>
      </c>
      <c r="C17" s="17" t="s">
        <v>196</v>
      </c>
      <c r="D17" s="55" t="s">
        <v>10280</v>
      </c>
      <c r="E17" s="17" t="s">
        <v>223</v>
      </c>
      <c r="F17" s="56" t="s">
        <v>10281</v>
      </c>
      <c r="G17" s="17" t="s">
        <v>10282</v>
      </c>
      <c r="H17" s="17"/>
      <c r="I17" s="17"/>
      <c r="J17" s="17"/>
      <c r="K17" s="17"/>
      <c r="L17" s="17" t="s">
        <v>10274</v>
      </c>
      <c r="M17" s="17"/>
      <c r="N17" s="15" t="s">
        <v>94</v>
      </c>
      <c r="O17" s="17" t="s">
        <v>10264</v>
      </c>
      <c r="P17" s="15" t="n">
        <v>227</v>
      </c>
    </row>
    <row r="18" customFormat="false" ht="22.35" hidden="false" customHeight="false" outlineLevel="0" collapsed="false">
      <c r="A18" s="57" t="s">
        <v>10283</v>
      </c>
      <c r="B18" s="58" t="s">
        <v>10222</v>
      </c>
      <c r="C18" s="58" t="s">
        <v>207</v>
      </c>
      <c r="D18" s="59" t="s">
        <v>10284</v>
      </c>
      <c r="E18" s="58" t="s">
        <v>223</v>
      </c>
      <c r="F18" s="60" t="s">
        <v>10285</v>
      </c>
      <c r="G18" s="58" t="s">
        <v>10286</v>
      </c>
      <c r="H18" s="58"/>
      <c r="I18" s="58"/>
      <c r="J18" s="58"/>
      <c r="K18" s="58" t="s">
        <v>439</v>
      </c>
      <c r="L18" s="58" t="s">
        <v>10287</v>
      </c>
      <c r="M18" s="58"/>
      <c r="N18" s="61" t="s">
        <v>94</v>
      </c>
      <c r="O18" s="58" t="s">
        <v>10264</v>
      </c>
      <c r="P18" s="61" t="n">
        <v>297</v>
      </c>
    </row>
    <row r="19" customFormat="false" ht="22.35" hidden="false" customHeight="false" outlineLevel="0" collapsed="false">
      <c r="A19" s="22" t="s">
        <v>10288</v>
      </c>
      <c r="B19" s="17" t="s">
        <v>10222</v>
      </c>
      <c r="C19" s="17" t="s">
        <v>207</v>
      </c>
      <c r="D19" s="55" t="s">
        <v>10289</v>
      </c>
      <c r="E19" s="17" t="s">
        <v>223</v>
      </c>
      <c r="F19" s="56" t="s">
        <v>10290</v>
      </c>
      <c r="G19" s="17" t="s">
        <v>10291</v>
      </c>
      <c r="H19" s="17"/>
      <c r="I19" s="17"/>
      <c r="J19" s="17"/>
      <c r="K19" s="17" t="s">
        <v>439</v>
      </c>
      <c r="L19" s="17" t="s">
        <v>10287</v>
      </c>
      <c r="M19" s="17"/>
      <c r="N19" s="15" t="s">
        <v>94</v>
      </c>
      <c r="O19" s="17" t="s">
        <v>10264</v>
      </c>
      <c r="P19" s="15" t="n">
        <v>298</v>
      </c>
    </row>
    <row r="20" customFormat="false" ht="22.35" hidden="false" customHeight="false" outlineLevel="0" collapsed="false">
      <c r="A20" s="57" t="s">
        <v>10292</v>
      </c>
      <c r="B20" s="58" t="s">
        <v>10222</v>
      </c>
      <c r="C20" s="58" t="s">
        <v>207</v>
      </c>
      <c r="D20" s="59" t="s">
        <v>10293</v>
      </c>
      <c r="E20" s="58" t="s">
        <v>223</v>
      </c>
      <c r="F20" s="60" t="s">
        <v>10294</v>
      </c>
      <c r="G20" s="58" t="s">
        <v>10295</v>
      </c>
      <c r="H20" s="58"/>
      <c r="I20" s="58"/>
      <c r="J20" s="58"/>
      <c r="K20" s="58" t="s">
        <v>413</v>
      </c>
      <c r="L20" s="58" t="s">
        <v>10287</v>
      </c>
      <c r="M20" s="58"/>
      <c r="N20" s="61" t="s">
        <v>94</v>
      </c>
      <c r="O20" s="58" t="s">
        <v>10264</v>
      </c>
      <c r="P20" s="61" t="n">
        <v>299</v>
      </c>
    </row>
    <row r="21" customFormat="false" ht="22.35" hidden="false" customHeight="false" outlineLevel="0" collapsed="false">
      <c r="A21" s="22" t="s">
        <v>10296</v>
      </c>
      <c r="B21" s="17" t="s">
        <v>10222</v>
      </c>
      <c r="C21" s="17" t="s">
        <v>207</v>
      </c>
      <c r="D21" s="55" t="s">
        <v>10297</v>
      </c>
      <c r="E21" s="17" t="s">
        <v>223</v>
      </c>
      <c r="F21" s="56" t="s">
        <v>10298</v>
      </c>
      <c r="G21" s="17" t="s">
        <v>10299</v>
      </c>
      <c r="H21" s="17"/>
      <c r="I21" s="17"/>
      <c r="J21" s="17"/>
      <c r="K21" s="17" t="s">
        <v>413</v>
      </c>
      <c r="L21" s="17" t="s">
        <v>10287</v>
      </c>
      <c r="M21" s="17"/>
      <c r="N21" s="15" t="s">
        <v>94</v>
      </c>
      <c r="O21" s="17" t="s">
        <v>10264</v>
      </c>
      <c r="P21" s="15" t="n">
        <v>300</v>
      </c>
    </row>
    <row r="22" customFormat="false" ht="22.35" hidden="false" customHeight="false" outlineLevel="0" collapsed="false">
      <c r="A22" s="57" t="s">
        <v>10300</v>
      </c>
      <c r="B22" s="58" t="s">
        <v>10222</v>
      </c>
      <c r="C22" s="58" t="s">
        <v>207</v>
      </c>
      <c r="D22" s="59" t="s">
        <v>10301</v>
      </c>
      <c r="E22" s="58" t="s">
        <v>223</v>
      </c>
      <c r="F22" s="60" t="s">
        <v>10302</v>
      </c>
      <c r="G22" s="58" t="s">
        <v>10303</v>
      </c>
      <c r="H22" s="58"/>
      <c r="I22" s="58"/>
      <c r="J22" s="58"/>
      <c r="K22" s="58" t="s">
        <v>439</v>
      </c>
      <c r="L22" s="58" t="s">
        <v>10287</v>
      </c>
      <c r="M22" s="58"/>
      <c r="N22" s="61" t="s">
        <v>94</v>
      </c>
      <c r="O22" s="58" t="s">
        <v>10264</v>
      </c>
      <c r="P22" s="61" t="n">
        <v>301</v>
      </c>
    </row>
    <row r="23" customFormat="false" ht="22.35" hidden="false" customHeight="false" outlineLevel="0" collapsed="false">
      <c r="A23" s="22" t="s">
        <v>10304</v>
      </c>
      <c r="B23" s="17" t="s">
        <v>10222</v>
      </c>
      <c r="C23" s="17" t="s">
        <v>207</v>
      </c>
      <c r="D23" s="55" t="s">
        <v>10305</v>
      </c>
      <c r="E23" s="17" t="s">
        <v>223</v>
      </c>
      <c r="F23" s="56" t="s">
        <v>10306</v>
      </c>
      <c r="G23" s="17" t="s">
        <v>10307</v>
      </c>
      <c r="H23" s="17"/>
      <c r="I23" s="17"/>
      <c r="J23" s="17"/>
      <c r="K23" s="17" t="s">
        <v>439</v>
      </c>
      <c r="L23" s="17" t="s">
        <v>10287</v>
      </c>
      <c r="M23" s="17"/>
      <c r="N23" s="15" t="s">
        <v>94</v>
      </c>
      <c r="O23" s="17" t="s">
        <v>10264</v>
      </c>
      <c r="P23" s="15" t="n">
        <v>302</v>
      </c>
    </row>
    <row r="24" customFormat="false" ht="22.35" hidden="false" customHeight="false" outlineLevel="0" collapsed="false">
      <c r="A24" s="57" t="s">
        <v>10308</v>
      </c>
      <c r="B24" s="58" t="s">
        <v>10222</v>
      </c>
      <c r="C24" s="58" t="s">
        <v>207</v>
      </c>
      <c r="D24" s="59" t="s">
        <v>10309</v>
      </c>
      <c r="E24" s="58" t="s">
        <v>223</v>
      </c>
      <c r="F24" s="60" t="s">
        <v>10310</v>
      </c>
      <c r="G24" s="58" t="s">
        <v>10311</v>
      </c>
      <c r="H24" s="58"/>
      <c r="I24" s="58"/>
      <c r="J24" s="58"/>
      <c r="K24" s="58" t="s">
        <v>10312</v>
      </c>
      <c r="L24" s="58" t="s">
        <v>10287</v>
      </c>
      <c r="M24" s="58"/>
      <c r="N24" s="61" t="s">
        <v>94</v>
      </c>
      <c r="O24" s="58" t="s">
        <v>10264</v>
      </c>
      <c r="P24" s="61" t="n">
        <v>303</v>
      </c>
    </row>
    <row r="25" customFormat="false" ht="22.35" hidden="false" customHeight="false" outlineLevel="0" collapsed="false">
      <c r="A25" s="22" t="s">
        <v>10313</v>
      </c>
      <c r="B25" s="17" t="s">
        <v>10222</v>
      </c>
      <c r="C25" s="17" t="s">
        <v>207</v>
      </c>
      <c r="D25" s="55" t="s">
        <v>10314</v>
      </c>
      <c r="E25" s="17" t="s">
        <v>223</v>
      </c>
      <c r="F25" s="56" t="s">
        <v>10315</v>
      </c>
      <c r="G25" s="17" t="s">
        <v>10316</v>
      </c>
      <c r="H25" s="17"/>
      <c r="I25" s="17"/>
      <c r="J25" s="17"/>
      <c r="K25" s="17" t="s">
        <v>512</v>
      </c>
      <c r="L25" s="17" t="s">
        <v>10317</v>
      </c>
      <c r="M25" s="17"/>
      <c r="N25" s="15" t="s">
        <v>94</v>
      </c>
      <c r="O25" s="17" t="s">
        <v>10264</v>
      </c>
      <c r="P25" s="15" t="n">
        <v>304</v>
      </c>
    </row>
    <row r="26" customFormat="false" ht="22.35" hidden="false" customHeight="false" outlineLevel="0" collapsed="false">
      <c r="A26" s="57" t="s">
        <v>10318</v>
      </c>
      <c r="B26" s="58" t="s">
        <v>10222</v>
      </c>
      <c r="C26" s="58" t="s">
        <v>207</v>
      </c>
      <c r="D26" s="59" t="s">
        <v>10319</v>
      </c>
      <c r="E26" s="58" t="s">
        <v>223</v>
      </c>
      <c r="F26" s="60" t="s">
        <v>10320</v>
      </c>
      <c r="G26" s="58" t="s">
        <v>10321</v>
      </c>
      <c r="H26" s="58"/>
      <c r="I26" s="58"/>
      <c r="J26" s="58"/>
      <c r="K26" s="58"/>
      <c r="L26" s="58" t="s">
        <v>10322</v>
      </c>
      <c r="M26" s="58"/>
      <c r="N26" s="61" t="s">
        <v>94</v>
      </c>
      <c r="O26" s="58" t="s">
        <v>10264</v>
      </c>
      <c r="P26" s="61" t="n">
        <v>305</v>
      </c>
    </row>
    <row r="27" customFormat="false" ht="22.35" hidden="false" customHeight="false" outlineLevel="0" collapsed="false">
      <c r="A27" s="22" t="s">
        <v>10323</v>
      </c>
      <c r="B27" s="17" t="s">
        <v>10222</v>
      </c>
      <c r="C27" s="17" t="s">
        <v>207</v>
      </c>
      <c r="D27" s="55" t="s">
        <v>10324</v>
      </c>
      <c r="E27" s="17" t="s">
        <v>223</v>
      </c>
      <c r="F27" s="56" t="s">
        <v>10325</v>
      </c>
      <c r="G27" s="17" t="s">
        <v>10326</v>
      </c>
      <c r="H27" s="17"/>
      <c r="I27" s="17"/>
      <c r="J27" s="17"/>
      <c r="K27" s="17"/>
      <c r="L27" s="17" t="s">
        <v>10317</v>
      </c>
      <c r="M27" s="17"/>
      <c r="N27" s="15" t="s">
        <v>94</v>
      </c>
      <c r="O27" s="17" t="s">
        <v>10264</v>
      </c>
      <c r="P27" s="15" t="n">
        <v>306</v>
      </c>
    </row>
    <row r="28" customFormat="false" ht="22.35" hidden="false" customHeight="false" outlineLevel="0" collapsed="false">
      <c r="A28" s="57" t="s">
        <v>10327</v>
      </c>
      <c r="B28" s="58" t="s">
        <v>10222</v>
      </c>
      <c r="C28" s="58" t="s">
        <v>207</v>
      </c>
      <c r="D28" s="59" t="s">
        <v>10328</v>
      </c>
      <c r="E28" s="58" t="s">
        <v>223</v>
      </c>
      <c r="F28" s="60" t="s">
        <v>10329</v>
      </c>
      <c r="G28" s="58" t="s">
        <v>10330</v>
      </c>
      <c r="H28" s="58"/>
      <c r="I28" s="58"/>
      <c r="J28" s="58"/>
      <c r="K28" s="58"/>
      <c r="L28" s="58" t="s">
        <v>10317</v>
      </c>
      <c r="M28" s="58"/>
      <c r="N28" s="61" t="s">
        <v>94</v>
      </c>
      <c r="O28" s="58" t="s">
        <v>10264</v>
      </c>
      <c r="P28" s="61" t="n">
        <v>307</v>
      </c>
    </row>
    <row r="29" customFormat="false" ht="22.35" hidden="false" customHeight="false" outlineLevel="0" collapsed="false">
      <c r="A29" s="22" t="s">
        <v>10331</v>
      </c>
      <c r="B29" s="17" t="s">
        <v>10222</v>
      </c>
      <c r="C29" s="17" t="s">
        <v>208</v>
      </c>
      <c r="D29" s="55" t="s">
        <v>10332</v>
      </c>
      <c r="E29" s="17" t="s">
        <v>244</v>
      </c>
      <c r="F29" s="56" t="s">
        <v>10333</v>
      </c>
      <c r="G29" s="17" t="s">
        <v>10334</v>
      </c>
      <c r="H29" s="17"/>
      <c r="I29" s="17" t="s">
        <v>10335</v>
      </c>
      <c r="J29" s="17"/>
      <c r="K29" s="17"/>
      <c r="L29" s="17" t="s">
        <v>10336</v>
      </c>
      <c r="M29" s="17" t="s">
        <v>10337</v>
      </c>
      <c r="N29" s="15" t="s">
        <v>94</v>
      </c>
      <c r="O29" s="17" t="s">
        <v>10264</v>
      </c>
      <c r="P29" s="15" t="n">
        <v>353</v>
      </c>
    </row>
    <row r="30" customFormat="false" ht="22.35" hidden="false" customHeight="false" outlineLevel="0" collapsed="false">
      <c r="A30" s="57" t="s">
        <v>10338</v>
      </c>
      <c r="B30" s="58" t="s">
        <v>10222</v>
      </c>
      <c r="C30" s="58" t="s">
        <v>208</v>
      </c>
      <c r="D30" s="59" t="s">
        <v>10339</v>
      </c>
      <c r="E30" s="58" t="s">
        <v>244</v>
      </c>
      <c r="F30" s="60" t="s">
        <v>10340</v>
      </c>
      <c r="G30" s="58" t="s">
        <v>10341</v>
      </c>
      <c r="H30" s="58"/>
      <c r="I30" s="58" t="s">
        <v>10335</v>
      </c>
      <c r="J30" s="58"/>
      <c r="K30" s="58"/>
      <c r="L30" s="58" t="s">
        <v>10336</v>
      </c>
      <c r="M30" s="58" t="s">
        <v>10337</v>
      </c>
      <c r="N30" s="61" t="s">
        <v>94</v>
      </c>
      <c r="O30" s="58" t="s">
        <v>10264</v>
      </c>
      <c r="P30" s="61" t="n">
        <v>354</v>
      </c>
    </row>
    <row r="31" customFormat="false" ht="22.35" hidden="false" customHeight="false" outlineLevel="0" collapsed="false">
      <c r="A31" s="22" t="s">
        <v>10342</v>
      </c>
      <c r="B31" s="17" t="s">
        <v>10222</v>
      </c>
      <c r="C31" s="17" t="s">
        <v>208</v>
      </c>
      <c r="D31" s="55" t="s">
        <v>10343</v>
      </c>
      <c r="E31" s="17" t="s">
        <v>244</v>
      </c>
      <c r="F31" s="56" t="s">
        <v>10344</v>
      </c>
      <c r="G31" s="17" t="s">
        <v>10345</v>
      </c>
      <c r="H31" s="17"/>
      <c r="I31" s="17" t="s">
        <v>10335</v>
      </c>
      <c r="J31" s="17"/>
      <c r="K31" s="17"/>
      <c r="L31" s="17" t="s">
        <v>10336</v>
      </c>
      <c r="M31" s="17" t="s">
        <v>10337</v>
      </c>
      <c r="N31" s="15" t="s">
        <v>94</v>
      </c>
      <c r="O31" s="17" t="s">
        <v>10264</v>
      </c>
      <c r="P31" s="15" t="n">
        <v>355</v>
      </c>
    </row>
    <row r="32" customFormat="false" ht="22.35" hidden="false" customHeight="false" outlineLevel="0" collapsed="false">
      <c r="A32" s="57" t="s">
        <v>10346</v>
      </c>
      <c r="B32" s="58" t="s">
        <v>10222</v>
      </c>
      <c r="C32" s="58" t="s">
        <v>208</v>
      </c>
      <c r="D32" s="59" t="s">
        <v>10347</v>
      </c>
      <c r="E32" s="58" t="s">
        <v>244</v>
      </c>
      <c r="F32" s="60" t="s">
        <v>10348</v>
      </c>
      <c r="G32" s="58" t="s">
        <v>10349</v>
      </c>
      <c r="H32" s="58"/>
      <c r="I32" s="58" t="s">
        <v>10335</v>
      </c>
      <c r="J32" s="58"/>
      <c r="K32" s="58"/>
      <c r="L32" s="58" t="s">
        <v>10336</v>
      </c>
      <c r="M32" s="58" t="s">
        <v>10337</v>
      </c>
      <c r="N32" s="61" t="s">
        <v>94</v>
      </c>
      <c r="O32" s="58" t="s">
        <v>10264</v>
      </c>
      <c r="P32" s="61" t="n">
        <v>356</v>
      </c>
    </row>
    <row r="33" customFormat="false" ht="22.35" hidden="false" customHeight="false" outlineLevel="0" collapsed="false">
      <c r="A33" s="22" t="s">
        <v>10350</v>
      </c>
      <c r="B33" s="17" t="s">
        <v>10222</v>
      </c>
      <c r="C33" s="17" t="s">
        <v>208</v>
      </c>
      <c r="D33" s="55" t="s">
        <v>10351</v>
      </c>
      <c r="E33" s="17" t="s">
        <v>244</v>
      </c>
      <c r="F33" s="56" t="s">
        <v>10352</v>
      </c>
      <c r="G33" s="17" t="s">
        <v>10353</v>
      </c>
      <c r="H33" s="17"/>
      <c r="I33" s="17" t="s">
        <v>10335</v>
      </c>
      <c r="J33" s="17"/>
      <c r="K33" s="17"/>
      <c r="L33" s="17" t="s">
        <v>10336</v>
      </c>
      <c r="M33" s="17" t="s">
        <v>10337</v>
      </c>
      <c r="N33" s="15" t="s">
        <v>94</v>
      </c>
      <c r="O33" s="17" t="s">
        <v>10264</v>
      </c>
      <c r="P33" s="15" t="n">
        <v>357</v>
      </c>
    </row>
    <row r="34" customFormat="false" ht="22.35" hidden="false" customHeight="false" outlineLevel="0" collapsed="false">
      <c r="A34" s="57" t="s">
        <v>10354</v>
      </c>
      <c r="B34" s="58" t="s">
        <v>10222</v>
      </c>
      <c r="C34" s="58" t="s">
        <v>208</v>
      </c>
      <c r="D34" s="59" t="s">
        <v>10355</v>
      </c>
      <c r="E34" s="58" t="s">
        <v>244</v>
      </c>
      <c r="F34" s="60" t="s">
        <v>10356</v>
      </c>
      <c r="G34" s="58" t="s">
        <v>10357</v>
      </c>
      <c r="H34" s="58"/>
      <c r="I34" s="58" t="s">
        <v>10335</v>
      </c>
      <c r="J34" s="58"/>
      <c r="K34" s="58"/>
      <c r="L34" s="58" t="s">
        <v>10336</v>
      </c>
      <c r="M34" s="58" t="s">
        <v>10337</v>
      </c>
      <c r="N34" s="61" t="s">
        <v>94</v>
      </c>
      <c r="O34" s="58" t="s">
        <v>10264</v>
      </c>
      <c r="P34" s="61" t="n">
        <v>358</v>
      </c>
    </row>
    <row r="35" customFormat="false" ht="22.35" hidden="false" customHeight="false" outlineLevel="0" collapsed="false">
      <c r="A35" s="22" t="s">
        <v>10358</v>
      </c>
      <c r="B35" s="17" t="s">
        <v>10222</v>
      </c>
      <c r="C35" s="17" t="s">
        <v>208</v>
      </c>
      <c r="D35" s="55" t="s">
        <v>10359</v>
      </c>
      <c r="E35" s="17" t="s">
        <v>244</v>
      </c>
      <c r="F35" s="56" t="s">
        <v>10360</v>
      </c>
      <c r="G35" s="17" t="s">
        <v>10361</v>
      </c>
      <c r="H35" s="17"/>
      <c r="I35" s="17" t="s">
        <v>10335</v>
      </c>
      <c r="J35" s="17"/>
      <c r="K35" s="17"/>
      <c r="L35" s="17" t="s">
        <v>10336</v>
      </c>
      <c r="M35" s="17" t="s">
        <v>10337</v>
      </c>
      <c r="N35" s="15" t="s">
        <v>94</v>
      </c>
      <c r="O35" s="17" t="s">
        <v>10264</v>
      </c>
      <c r="P35" s="15" t="n">
        <v>359</v>
      </c>
    </row>
    <row r="36" customFormat="false" ht="22.35" hidden="false" customHeight="false" outlineLevel="0" collapsed="false">
      <c r="A36" s="57" t="s">
        <v>10362</v>
      </c>
      <c r="B36" s="58" t="s">
        <v>10222</v>
      </c>
      <c r="C36" s="58" t="s">
        <v>208</v>
      </c>
      <c r="D36" s="59" t="s">
        <v>10363</v>
      </c>
      <c r="E36" s="58" t="s">
        <v>244</v>
      </c>
      <c r="F36" s="60" t="s">
        <v>10364</v>
      </c>
      <c r="G36" s="58" t="s">
        <v>10365</v>
      </c>
      <c r="H36" s="58"/>
      <c r="I36" s="58" t="s">
        <v>10335</v>
      </c>
      <c r="J36" s="58"/>
      <c r="K36" s="58"/>
      <c r="L36" s="58" t="s">
        <v>10336</v>
      </c>
      <c r="M36" s="58" t="s">
        <v>10337</v>
      </c>
      <c r="N36" s="61" t="s">
        <v>94</v>
      </c>
      <c r="O36" s="58" t="s">
        <v>10264</v>
      </c>
      <c r="P36" s="61" t="n">
        <v>360</v>
      </c>
    </row>
    <row r="37" customFormat="false" ht="22.35" hidden="false" customHeight="false" outlineLevel="0" collapsed="false">
      <c r="A37" s="22" t="s">
        <v>10366</v>
      </c>
      <c r="B37" s="17" t="s">
        <v>10222</v>
      </c>
      <c r="C37" s="17" t="s">
        <v>208</v>
      </c>
      <c r="D37" s="55" t="s">
        <v>10367</v>
      </c>
      <c r="E37" s="17" t="s">
        <v>244</v>
      </c>
      <c r="F37" s="56" t="s">
        <v>10368</v>
      </c>
      <c r="G37" s="17" t="s">
        <v>10369</v>
      </c>
      <c r="H37" s="17"/>
      <c r="I37" s="17" t="s">
        <v>10335</v>
      </c>
      <c r="J37" s="17"/>
      <c r="K37" s="17"/>
      <c r="L37" s="17" t="s">
        <v>10336</v>
      </c>
      <c r="M37" s="17" t="s">
        <v>10337</v>
      </c>
      <c r="N37" s="15" t="s">
        <v>94</v>
      </c>
      <c r="O37" s="17" t="s">
        <v>10264</v>
      </c>
      <c r="P37" s="15" t="n">
        <v>361</v>
      </c>
    </row>
    <row r="38" customFormat="false" ht="22.35" hidden="false" customHeight="false" outlineLevel="0" collapsed="false">
      <c r="A38" s="57" t="s">
        <v>10370</v>
      </c>
      <c r="B38" s="58" t="s">
        <v>10222</v>
      </c>
      <c r="C38" s="58" t="s">
        <v>208</v>
      </c>
      <c r="D38" s="59" t="s">
        <v>10371</v>
      </c>
      <c r="E38" s="58" t="s">
        <v>244</v>
      </c>
      <c r="F38" s="60" t="s">
        <v>10372</v>
      </c>
      <c r="G38" s="58" t="s">
        <v>10373</v>
      </c>
      <c r="H38" s="58"/>
      <c r="I38" s="58" t="s">
        <v>10335</v>
      </c>
      <c r="J38" s="58"/>
      <c r="K38" s="58"/>
      <c r="L38" s="58" t="s">
        <v>10336</v>
      </c>
      <c r="M38" s="58" t="s">
        <v>10337</v>
      </c>
      <c r="N38" s="61" t="s">
        <v>94</v>
      </c>
      <c r="O38" s="58" t="s">
        <v>10264</v>
      </c>
      <c r="P38" s="61" t="n">
        <v>362</v>
      </c>
    </row>
    <row r="39" customFormat="false" ht="22.35" hidden="false" customHeight="false" outlineLevel="0" collapsed="false">
      <c r="A39" s="22" t="s">
        <v>10374</v>
      </c>
      <c r="B39" s="17" t="s">
        <v>10222</v>
      </c>
      <c r="C39" s="17" t="s">
        <v>208</v>
      </c>
      <c r="D39" s="55" t="s">
        <v>10375</v>
      </c>
      <c r="E39" s="17" t="s">
        <v>244</v>
      </c>
      <c r="F39" s="56" t="s">
        <v>10376</v>
      </c>
      <c r="G39" s="17" t="s">
        <v>10377</v>
      </c>
      <c r="H39" s="17"/>
      <c r="I39" s="17" t="s">
        <v>10335</v>
      </c>
      <c r="J39" s="17"/>
      <c r="K39" s="17"/>
      <c r="L39" s="17" t="s">
        <v>10336</v>
      </c>
      <c r="M39" s="17" t="s">
        <v>10337</v>
      </c>
      <c r="N39" s="15" t="s">
        <v>94</v>
      </c>
      <c r="O39" s="17" t="s">
        <v>10264</v>
      </c>
      <c r="P39" s="15" t="n">
        <v>363</v>
      </c>
    </row>
    <row r="40" customFormat="false" ht="22.35" hidden="false" customHeight="false" outlineLevel="0" collapsed="false">
      <c r="A40" s="57" t="s">
        <v>10378</v>
      </c>
      <c r="B40" s="58" t="s">
        <v>10222</v>
      </c>
      <c r="C40" s="58" t="s">
        <v>208</v>
      </c>
      <c r="D40" s="59" t="s">
        <v>10379</v>
      </c>
      <c r="E40" s="58" t="s">
        <v>244</v>
      </c>
      <c r="F40" s="60" t="s">
        <v>10380</v>
      </c>
      <c r="G40" s="58" t="s">
        <v>10381</v>
      </c>
      <c r="H40" s="58"/>
      <c r="I40" s="58" t="s">
        <v>10335</v>
      </c>
      <c r="J40" s="58"/>
      <c r="K40" s="58"/>
      <c r="L40" s="58" t="s">
        <v>10336</v>
      </c>
      <c r="M40" s="58" t="s">
        <v>10382</v>
      </c>
      <c r="N40" s="61" t="s">
        <v>94</v>
      </c>
      <c r="O40" s="58" t="s">
        <v>10264</v>
      </c>
      <c r="P40" s="61" t="n">
        <v>364</v>
      </c>
    </row>
    <row r="41" customFormat="false" ht="64.15" hidden="false" customHeight="false" outlineLevel="0" collapsed="false">
      <c r="A41" s="22" t="s">
        <v>10383</v>
      </c>
      <c r="B41" s="17" t="s">
        <v>10222</v>
      </c>
      <c r="C41" s="17" t="s">
        <v>209</v>
      </c>
      <c r="D41" s="55" t="s">
        <v>10384</v>
      </c>
      <c r="E41" s="17" t="s">
        <v>238</v>
      </c>
      <c r="F41" s="56" t="s">
        <v>10385</v>
      </c>
      <c r="G41" s="17" t="s">
        <v>10386</v>
      </c>
      <c r="H41" s="17" t="s">
        <v>10387</v>
      </c>
      <c r="I41" s="17" t="s">
        <v>10388</v>
      </c>
      <c r="J41" s="17" t="s">
        <v>10389</v>
      </c>
      <c r="K41" s="17" t="s">
        <v>427</v>
      </c>
      <c r="L41" s="17" t="s">
        <v>10390</v>
      </c>
      <c r="M41" s="17" t="s">
        <v>10391</v>
      </c>
      <c r="N41" s="15" t="s">
        <v>94</v>
      </c>
      <c r="O41" s="17" t="s">
        <v>10264</v>
      </c>
      <c r="P41" s="15" t="n">
        <v>143</v>
      </c>
    </row>
    <row r="42" customFormat="false" ht="53.7" hidden="false" customHeight="false" outlineLevel="0" collapsed="false">
      <c r="A42" s="57" t="s">
        <v>10392</v>
      </c>
      <c r="B42" s="58" t="s">
        <v>10222</v>
      </c>
      <c r="C42" s="58" t="s">
        <v>209</v>
      </c>
      <c r="D42" s="59" t="s">
        <v>10393</v>
      </c>
      <c r="E42" s="58" t="s">
        <v>238</v>
      </c>
      <c r="F42" s="60" t="s">
        <v>10394</v>
      </c>
      <c r="G42" s="58" t="s">
        <v>10395</v>
      </c>
      <c r="H42" s="58" t="s">
        <v>10396</v>
      </c>
      <c r="I42" s="58" t="s">
        <v>10388</v>
      </c>
      <c r="J42" s="58" t="s">
        <v>10397</v>
      </c>
      <c r="K42" s="58" t="s">
        <v>5636</v>
      </c>
      <c r="L42" s="58" t="s">
        <v>10398</v>
      </c>
      <c r="M42" s="58" t="s">
        <v>10399</v>
      </c>
      <c r="N42" s="61" t="s">
        <v>94</v>
      </c>
      <c r="O42" s="58" t="s">
        <v>10264</v>
      </c>
      <c r="P42" s="61" t="n">
        <v>144</v>
      </c>
    </row>
    <row r="43" customFormat="false" ht="32.8" hidden="false" customHeight="false" outlineLevel="0" collapsed="false">
      <c r="A43" s="22" t="s">
        <v>10400</v>
      </c>
      <c r="B43" s="17" t="s">
        <v>10222</v>
      </c>
      <c r="C43" s="17" t="s">
        <v>209</v>
      </c>
      <c r="D43" s="55" t="s">
        <v>10401</v>
      </c>
      <c r="E43" s="17" t="s">
        <v>238</v>
      </c>
      <c r="F43" s="56" t="s">
        <v>10402</v>
      </c>
      <c r="G43" s="17" t="s">
        <v>10403</v>
      </c>
      <c r="H43" s="17" t="s">
        <v>10404</v>
      </c>
      <c r="I43" s="17" t="s">
        <v>10388</v>
      </c>
      <c r="J43" s="17"/>
      <c r="K43" s="17" t="s">
        <v>413</v>
      </c>
      <c r="L43" s="17" t="s">
        <v>10405</v>
      </c>
      <c r="M43" s="17" t="s">
        <v>10406</v>
      </c>
      <c r="N43" s="15" t="s">
        <v>94</v>
      </c>
      <c r="O43" s="17" t="s">
        <v>10264</v>
      </c>
      <c r="P43" s="15" t="n">
        <v>145</v>
      </c>
    </row>
    <row r="44" customFormat="false" ht="32.8" hidden="false" customHeight="false" outlineLevel="0" collapsed="false">
      <c r="A44" s="57" t="s">
        <v>10407</v>
      </c>
      <c r="B44" s="58" t="s">
        <v>10222</v>
      </c>
      <c r="C44" s="58" t="s">
        <v>209</v>
      </c>
      <c r="D44" s="59" t="s">
        <v>10408</v>
      </c>
      <c r="E44" s="58" t="s">
        <v>238</v>
      </c>
      <c r="F44" s="60" t="s">
        <v>10409</v>
      </c>
      <c r="G44" s="58" t="s">
        <v>10410</v>
      </c>
      <c r="H44" s="58" t="s">
        <v>10411</v>
      </c>
      <c r="I44" s="58" t="s">
        <v>10388</v>
      </c>
      <c r="J44" s="58"/>
      <c r="K44" s="58" t="s">
        <v>413</v>
      </c>
      <c r="L44" s="58" t="s">
        <v>10412</v>
      </c>
      <c r="M44" s="58" t="s">
        <v>10413</v>
      </c>
      <c r="N44" s="61" t="s">
        <v>94</v>
      </c>
      <c r="O44" s="58" t="s">
        <v>10264</v>
      </c>
      <c r="P44" s="61" t="n">
        <v>146</v>
      </c>
    </row>
    <row r="45" customFormat="false" ht="22.35" hidden="false" customHeight="false" outlineLevel="0" collapsed="false">
      <c r="A45" s="22" t="s">
        <v>10414</v>
      </c>
      <c r="B45" s="17" t="s">
        <v>10222</v>
      </c>
      <c r="C45" s="17" t="s">
        <v>209</v>
      </c>
      <c r="D45" s="55" t="s">
        <v>10415</v>
      </c>
      <c r="E45" s="17" t="s">
        <v>238</v>
      </c>
      <c r="F45" s="56" t="s">
        <v>10416</v>
      </c>
      <c r="G45" s="17" t="s">
        <v>10417</v>
      </c>
      <c r="H45" s="17" t="s">
        <v>10418</v>
      </c>
      <c r="I45" s="17" t="s">
        <v>10388</v>
      </c>
      <c r="J45" s="17" t="s">
        <v>10419</v>
      </c>
      <c r="K45" s="17" t="s">
        <v>485</v>
      </c>
      <c r="L45" s="17" t="s">
        <v>10420</v>
      </c>
      <c r="M45" s="17" t="s">
        <v>10421</v>
      </c>
      <c r="N45" s="15" t="s">
        <v>94</v>
      </c>
      <c r="O45" s="17" t="s">
        <v>10264</v>
      </c>
      <c r="P45" s="15" t="n">
        <v>147</v>
      </c>
    </row>
    <row r="46" customFormat="false" ht="53.7" hidden="false" customHeight="false" outlineLevel="0" collapsed="false">
      <c r="A46" s="57" t="s">
        <v>10422</v>
      </c>
      <c r="B46" s="58" t="s">
        <v>10222</v>
      </c>
      <c r="C46" s="58" t="s">
        <v>209</v>
      </c>
      <c r="D46" s="59" t="s">
        <v>10423</v>
      </c>
      <c r="E46" s="58" t="s">
        <v>238</v>
      </c>
      <c r="F46" s="60" t="s">
        <v>10424</v>
      </c>
      <c r="G46" s="58" t="s">
        <v>10425</v>
      </c>
      <c r="H46" s="58" t="s">
        <v>10426</v>
      </c>
      <c r="I46" s="58" t="s">
        <v>10388</v>
      </c>
      <c r="J46" s="58"/>
      <c r="K46" s="58" t="s">
        <v>439</v>
      </c>
      <c r="L46" s="58" t="s">
        <v>10427</v>
      </c>
      <c r="M46" s="58" t="s">
        <v>10428</v>
      </c>
      <c r="N46" s="61" t="s">
        <v>94</v>
      </c>
      <c r="O46" s="58" t="s">
        <v>10264</v>
      </c>
      <c r="P46" s="61" t="n">
        <v>193</v>
      </c>
    </row>
    <row r="47" customFormat="false" ht="43.25" hidden="false" customHeight="false" outlineLevel="0" collapsed="false">
      <c r="A47" s="22" t="s">
        <v>10429</v>
      </c>
      <c r="B47" s="17" t="s">
        <v>10222</v>
      </c>
      <c r="C47" s="17" t="s">
        <v>209</v>
      </c>
      <c r="D47" s="55" t="s">
        <v>10430</v>
      </c>
      <c r="E47" s="17" t="s">
        <v>238</v>
      </c>
      <c r="F47" s="56" t="s">
        <v>10431</v>
      </c>
      <c r="G47" s="17" t="s">
        <v>10432</v>
      </c>
      <c r="H47" s="17" t="s">
        <v>10433</v>
      </c>
      <c r="I47" s="17" t="s">
        <v>10388</v>
      </c>
      <c r="J47" s="17"/>
      <c r="K47" s="17" t="s">
        <v>459</v>
      </c>
      <c r="L47" s="17" t="s">
        <v>10434</v>
      </c>
      <c r="M47" s="17" t="s">
        <v>10435</v>
      </c>
      <c r="N47" s="15" t="s">
        <v>94</v>
      </c>
      <c r="O47" s="17" t="s">
        <v>10264</v>
      </c>
      <c r="P47" s="15" t="n">
        <v>194</v>
      </c>
    </row>
    <row r="48" customFormat="false" ht="22.35" hidden="false" customHeight="false" outlineLevel="0" collapsed="false">
      <c r="A48" s="57" t="s">
        <v>10436</v>
      </c>
      <c r="B48" s="58" t="s">
        <v>10222</v>
      </c>
      <c r="C48" s="58" t="s">
        <v>209</v>
      </c>
      <c r="D48" s="59" t="s">
        <v>10437</v>
      </c>
      <c r="E48" s="58" t="s">
        <v>238</v>
      </c>
      <c r="F48" s="60" t="s">
        <v>10438</v>
      </c>
      <c r="G48" s="58" t="s">
        <v>10439</v>
      </c>
      <c r="H48" s="58" t="s">
        <v>10440</v>
      </c>
      <c r="I48" s="58" t="s">
        <v>10388</v>
      </c>
      <c r="J48" s="58" t="s">
        <v>10441</v>
      </c>
      <c r="K48" s="58" t="s">
        <v>10312</v>
      </c>
      <c r="L48" s="58" t="s">
        <v>10442</v>
      </c>
      <c r="M48" s="58" t="s">
        <v>10443</v>
      </c>
      <c r="N48" s="61" t="s">
        <v>94</v>
      </c>
      <c r="O48" s="58" t="s">
        <v>10264</v>
      </c>
      <c r="P48" s="61" t="n">
        <v>195</v>
      </c>
    </row>
    <row r="49" customFormat="false" ht="32.8" hidden="false" customHeight="false" outlineLevel="0" collapsed="false">
      <c r="A49" s="22" t="s">
        <v>10444</v>
      </c>
      <c r="B49" s="17" t="s">
        <v>10222</v>
      </c>
      <c r="C49" s="17" t="s">
        <v>209</v>
      </c>
      <c r="D49" s="55" t="s">
        <v>10445</v>
      </c>
      <c r="E49" s="17" t="s">
        <v>238</v>
      </c>
      <c r="F49" s="56" t="s">
        <v>10446</v>
      </c>
      <c r="G49" s="17" t="s">
        <v>10447</v>
      </c>
      <c r="H49" s="17" t="s">
        <v>10448</v>
      </c>
      <c r="I49" s="17" t="s">
        <v>10388</v>
      </c>
      <c r="J49" s="17" t="s">
        <v>10449</v>
      </c>
      <c r="K49" s="17" t="s">
        <v>10450</v>
      </c>
      <c r="L49" s="17" t="s">
        <v>10451</v>
      </c>
      <c r="M49" s="17" t="s">
        <v>10452</v>
      </c>
      <c r="N49" s="15" t="s">
        <v>94</v>
      </c>
      <c r="O49" s="17" t="s">
        <v>10264</v>
      </c>
      <c r="P49" s="15" t="n">
        <v>196</v>
      </c>
    </row>
    <row r="50" customFormat="false" ht="32.8" hidden="false" customHeight="false" outlineLevel="0" collapsed="false">
      <c r="A50" s="57" t="s">
        <v>10453</v>
      </c>
      <c r="B50" s="58" t="s">
        <v>10222</v>
      </c>
      <c r="C50" s="58" t="s">
        <v>209</v>
      </c>
      <c r="D50" s="59" t="s">
        <v>10454</v>
      </c>
      <c r="E50" s="58" t="s">
        <v>238</v>
      </c>
      <c r="F50" s="60" t="s">
        <v>10455</v>
      </c>
      <c r="G50" s="58" t="s">
        <v>10456</v>
      </c>
      <c r="H50" s="58" t="s">
        <v>10457</v>
      </c>
      <c r="I50" s="58" t="s">
        <v>10388</v>
      </c>
      <c r="J50" s="58" t="s">
        <v>10458</v>
      </c>
      <c r="K50" s="58"/>
      <c r="L50" s="58" t="s">
        <v>10459</v>
      </c>
      <c r="M50" s="58" t="s">
        <v>10460</v>
      </c>
      <c r="N50" s="61" t="s">
        <v>94</v>
      </c>
      <c r="O50" s="58" t="s">
        <v>10264</v>
      </c>
      <c r="P50" s="61" t="n">
        <v>197</v>
      </c>
    </row>
    <row r="51" customFormat="false" ht="22.35" hidden="false" customHeight="false" outlineLevel="0" collapsed="false">
      <c r="A51" s="22" t="s">
        <v>10461</v>
      </c>
      <c r="B51" s="17" t="s">
        <v>10222</v>
      </c>
      <c r="C51" s="17" t="s">
        <v>209</v>
      </c>
      <c r="D51" s="55" t="s">
        <v>10462</v>
      </c>
      <c r="E51" s="17" t="s">
        <v>238</v>
      </c>
      <c r="F51" s="56" t="s">
        <v>10463</v>
      </c>
      <c r="G51" s="17" t="s">
        <v>10464</v>
      </c>
      <c r="H51" s="17" t="s">
        <v>10465</v>
      </c>
      <c r="I51" s="17" t="s">
        <v>10388</v>
      </c>
      <c r="J51" s="17"/>
      <c r="K51" s="17"/>
      <c r="L51" s="17" t="s">
        <v>10466</v>
      </c>
      <c r="M51" s="17" t="s">
        <v>10467</v>
      </c>
      <c r="N51" s="15" t="s">
        <v>94</v>
      </c>
      <c r="O51" s="17" t="s">
        <v>10264</v>
      </c>
      <c r="P51" s="15" t="n">
        <v>198</v>
      </c>
    </row>
    <row r="52" customFormat="false" ht="32.8" hidden="false" customHeight="false" outlineLevel="0" collapsed="false">
      <c r="A52" s="57" t="s">
        <v>10468</v>
      </c>
      <c r="B52" s="58" t="s">
        <v>10222</v>
      </c>
      <c r="C52" s="58" t="s">
        <v>209</v>
      </c>
      <c r="D52" s="59" t="s">
        <v>10469</v>
      </c>
      <c r="E52" s="58" t="s">
        <v>238</v>
      </c>
      <c r="F52" s="60" t="s">
        <v>10470</v>
      </c>
      <c r="G52" s="58" t="s">
        <v>10471</v>
      </c>
      <c r="H52" s="58" t="s">
        <v>10472</v>
      </c>
      <c r="I52" s="58" t="s">
        <v>10388</v>
      </c>
      <c r="J52" s="58"/>
      <c r="K52" s="58"/>
      <c r="L52" s="58" t="s">
        <v>10473</v>
      </c>
      <c r="M52" s="58" t="s">
        <v>10474</v>
      </c>
      <c r="N52" s="61" t="s">
        <v>94</v>
      </c>
      <c r="O52" s="58" t="s">
        <v>10264</v>
      </c>
      <c r="P52" s="61" t="n">
        <v>199</v>
      </c>
    </row>
    <row r="53" customFormat="false" ht="32.8" hidden="false" customHeight="false" outlineLevel="0" collapsed="false">
      <c r="A53" s="22" t="s">
        <v>10475</v>
      </c>
      <c r="B53" s="17" t="s">
        <v>10222</v>
      </c>
      <c r="C53" s="17" t="s">
        <v>209</v>
      </c>
      <c r="D53" s="55" t="s">
        <v>10476</v>
      </c>
      <c r="E53" s="17" t="s">
        <v>238</v>
      </c>
      <c r="F53" s="56" t="s">
        <v>10477</v>
      </c>
      <c r="G53" s="17" t="s">
        <v>10478</v>
      </c>
      <c r="H53" s="17" t="s">
        <v>10479</v>
      </c>
      <c r="I53" s="17" t="s">
        <v>10388</v>
      </c>
      <c r="J53" s="17"/>
      <c r="K53" s="17"/>
      <c r="L53" s="17" t="s">
        <v>10480</v>
      </c>
      <c r="M53" s="17" t="s">
        <v>10481</v>
      </c>
      <c r="N53" s="15" t="s">
        <v>94</v>
      </c>
      <c r="O53" s="17" t="s">
        <v>10264</v>
      </c>
      <c r="P53" s="15" t="n">
        <v>200</v>
      </c>
    </row>
    <row r="54" customFormat="false" ht="22.35" hidden="false" customHeight="false" outlineLevel="0" collapsed="false">
      <c r="A54" s="57" t="s">
        <v>10482</v>
      </c>
      <c r="B54" s="58" t="s">
        <v>10222</v>
      </c>
      <c r="C54" s="58" t="s">
        <v>209</v>
      </c>
      <c r="D54" s="59" t="s">
        <v>10483</v>
      </c>
      <c r="E54" s="58" t="s">
        <v>238</v>
      </c>
      <c r="F54" s="60" t="s">
        <v>10484</v>
      </c>
      <c r="G54" s="58" t="s">
        <v>10485</v>
      </c>
      <c r="H54" s="58" t="s">
        <v>10486</v>
      </c>
      <c r="I54" s="58" t="s">
        <v>10388</v>
      </c>
      <c r="J54" s="58"/>
      <c r="K54" s="58" t="s">
        <v>512</v>
      </c>
      <c r="L54" s="58" t="s">
        <v>10487</v>
      </c>
      <c r="M54" s="58" t="s">
        <v>10488</v>
      </c>
      <c r="N54" s="61" t="s">
        <v>94</v>
      </c>
      <c r="O54" s="58" t="s">
        <v>10264</v>
      </c>
      <c r="P54" s="61" t="n">
        <v>201</v>
      </c>
    </row>
    <row r="55" customFormat="false" ht="22.35" hidden="false" customHeight="false" outlineLevel="0" collapsed="false">
      <c r="A55" s="22" t="s">
        <v>10489</v>
      </c>
      <c r="B55" s="17" t="s">
        <v>10222</v>
      </c>
      <c r="C55" s="17" t="s">
        <v>209</v>
      </c>
      <c r="D55" s="55" t="s">
        <v>10490</v>
      </c>
      <c r="E55" s="17" t="s">
        <v>238</v>
      </c>
      <c r="F55" s="56" t="s">
        <v>10491</v>
      </c>
      <c r="G55" s="17" t="s">
        <v>10492</v>
      </c>
      <c r="H55" s="17" t="s">
        <v>10493</v>
      </c>
      <c r="I55" s="17" t="s">
        <v>10388</v>
      </c>
      <c r="J55" s="17"/>
      <c r="K55" s="17"/>
      <c r="L55" s="17" t="s">
        <v>10494</v>
      </c>
      <c r="M55" s="17" t="s">
        <v>10495</v>
      </c>
      <c r="N55" s="15" t="s">
        <v>94</v>
      </c>
      <c r="O55" s="17" t="s">
        <v>10264</v>
      </c>
      <c r="P55" s="15" t="n">
        <v>203</v>
      </c>
    </row>
    <row r="56" customFormat="false" ht="22.35" hidden="false" customHeight="false" outlineLevel="0" collapsed="false">
      <c r="A56" s="57" t="s">
        <v>10496</v>
      </c>
      <c r="B56" s="58" t="s">
        <v>10222</v>
      </c>
      <c r="C56" s="58" t="s">
        <v>209</v>
      </c>
      <c r="D56" s="59" t="s">
        <v>10497</v>
      </c>
      <c r="E56" s="58" t="s">
        <v>238</v>
      </c>
      <c r="F56" s="60" t="s">
        <v>10498</v>
      </c>
      <c r="G56" s="58" t="s">
        <v>10499</v>
      </c>
      <c r="H56" s="58" t="s">
        <v>10500</v>
      </c>
      <c r="I56" s="58" t="s">
        <v>10388</v>
      </c>
      <c r="J56" s="58"/>
      <c r="K56" s="58"/>
      <c r="L56" s="58" t="s">
        <v>10501</v>
      </c>
      <c r="M56" s="58" t="s">
        <v>10502</v>
      </c>
      <c r="N56" s="61" t="s">
        <v>94</v>
      </c>
      <c r="O56" s="58" t="s">
        <v>10264</v>
      </c>
      <c r="P56" s="61" t="n">
        <v>204</v>
      </c>
    </row>
    <row r="57" customFormat="false" ht="32.8" hidden="false" customHeight="false" outlineLevel="0" collapsed="false">
      <c r="A57" s="22" t="s">
        <v>10503</v>
      </c>
      <c r="B57" s="17" t="s">
        <v>10222</v>
      </c>
      <c r="C57" s="17" t="s">
        <v>209</v>
      </c>
      <c r="D57" s="55" t="s">
        <v>10504</v>
      </c>
      <c r="E57" s="17" t="s">
        <v>238</v>
      </c>
      <c r="F57" s="56" t="s">
        <v>10505</v>
      </c>
      <c r="G57" s="17" t="s">
        <v>10506</v>
      </c>
      <c r="H57" s="17" t="s">
        <v>10507</v>
      </c>
      <c r="I57" s="17" t="s">
        <v>10388</v>
      </c>
      <c r="J57" s="17"/>
      <c r="K57" s="17"/>
      <c r="L57" s="17" t="s">
        <v>10508</v>
      </c>
      <c r="M57" s="17" t="s">
        <v>10509</v>
      </c>
      <c r="N57" s="15" t="s">
        <v>94</v>
      </c>
      <c r="O57" s="17" t="s">
        <v>10264</v>
      </c>
      <c r="P57" s="15" t="n">
        <v>205</v>
      </c>
    </row>
    <row r="58" customFormat="false" ht="22.35" hidden="false" customHeight="false" outlineLevel="0" collapsed="false">
      <c r="A58" s="57" t="s">
        <v>10510</v>
      </c>
      <c r="B58" s="58" t="s">
        <v>10222</v>
      </c>
      <c r="C58" s="58" t="s">
        <v>209</v>
      </c>
      <c r="D58" s="59" t="s">
        <v>10511</v>
      </c>
      <c r="E58" s="58" t="s">
        <v>238</v>
      </c>
      <c r="F58" s="60" t="s">
        <v>10512</v>
      </c>
      <c r="G58" s="58" t="s">
        <v>10513</v>
      </c>
      <c r="H58" s="58" t="s">
        <v>10514</v>
      </c>
      <c r="I58" s="58" t="s">
        <v>10388</v>
      </c>
      <c r="J58" s="58"/>
      <c r="K58" s="58"/>
      <c r="L58" s="58" t="s">
        <v>10515</v>
      </c>
      <c r="M58" s="58" t="s">
        <v>10516</v>
      </c>
      <c r="N58" s="61" t="s">
        <v>94</v>
      </c>
      <c r="O58" s="58" t="s">
        <v>10264</v>
      </c>
      <c r="P58" s="61" t="n">
        <v>207</v>
      </c>
    </row>
    <row r="59" customFormat="false" ht="43.25" hidden="false" customHeight="false" outlineLevel="0" collapsed="false">
      <c r="A59" s="22" t="s">
        <v>10517</v>
      </c>
      <c r="B59" s="17" t="s">
        <v>10222</v>
      </c>
      <c r="C59" s="17" t="s">
        <v>209</v>
      </c>
      <c r="D59" s="55" t="s">
        <v>10518</v>
      </c>
      <c r="E59" s="17" t="s">
        <v>238</v>
      </c>
      <c r="F59" s="56" t="s">
        <v>10519</v>
      </c>
      <c r="G59" s="17" t="s">
        <v>10520</v>
      </c>
      <c r="H59" s="17" t="s">
        <v>10521</v>
      </c>
      <c r="I59" s="17" t="s">
        <v>10388</v>
      </c>
      <c r="J59" s="17" t="s">
        <v>10522</v>
      </c>
      <c r="K59" s="17"/>
      <c r="L59" s="17" t="s">
        <v>10523</v>
      </c>
      <c r="M59" s="17" t="s">
        <v>10524</v>
      </c>
      <c r="N59" s="15" t="s">
        <v>94</v>
      </c>
      <c r="O59" s="17" t="s">
        <v>10264</v>
      </c>
      <c r="P59" s="15" t="n">
        <v>208</v>
      </c>
    </row>
    <row r="60" customFormat="false" ht="64.15" hidden="false" customHeight="false" outlineLevel="0" collapsed="false">
      <c r="A60" s="57" t="s">
        <v>10525</v>
      </c>
      <c r="B60" s="58" t="s">
        <v>10222</v>
      </c>
      <c r="C60" s="58" t="s">
        <v>209</v>
      </c>
      <c r="D60" s="59" t="s">
        <v>10526</v>
      </c>
      <c r="E60" s="58" t="s">
        <v>238</v>
      </c>
      <c r="F60" s="60" t="s">
        <v>10527</v>
      </c>
      <c r="G60" s="58" t="s">
        <v>10528</v>
      </c>
      <c r="H60" s="58" t="s">
        <v>10529</v>
      </c>
      <c r="I60" s="58" t="s">
        <v>10388</v>
      </c>
      <c r="J60" s="58"/>
      <c r="K60" s="58"/>
      <c r="L60" s="58" t="s">
        <v>10530</v>
      </c>
      <c r="M60" s="58" t="s">
        <v>10531</v>
      </c>
      <c r="N60" s="61" t="s">
        <v>94</v>
      </c>
      <c r="O60" s="58" t="s">
        <v>10264</v>
      </c>
      <c r="P60" s="61" t="n">
        <v>209</v>
      </c>
    </row>
    <row r="61" customFormat="false" ht="32.8" hidden="false" customHeight="false" outlineLevel="0" collapsed="false">
      <c r="A61" s="22" t="s">
        <v>10532</v>
      </c>
      <c r="B61" s="17" t="s">
        <v>10222</v>
      </c>
      <c r="C61" s="17" t="s">
        <v>210</v>
      </c>
      <c r="D61" s="55" t="s">
        <v>10533</v>
      </c>
      <c r="E61" s="17" t="s">
        <v>226</v>
      </c>
      <c r="F61" s="56" t="s">
        <v>10534</v>
      </c>
      <c r="G61" s="17" t="s">
        <v>10535</v>
      </c>
      <c r="H61" s="17" t="s">
        <v>10536</v>
      </c>
      <c r="I61" s="17" t="s">
        <v>10537</v>
      </c>
      <c r="J61" s="17"/>
      <c r="K61" s="17"/>
      <c r="L61" s="17" t="s">
        <v>10538</v>
      </c>
      <c r="M61" s="17"/>
      <c r="N61" s="15" t="s">
        <v>94</v>
      </c>
      <c r="O61" s="17" t="s">
        <v>10539</v>
      </c>
      <c r="P61" s="15" t="n">
        <v>165</v>
      </c>
    </row>
    <row r="62" customFormat="false" ht="22.35" hidden="false" customHeight="false" outlineLevel="0" collapsed="false">
      <c r="A62" s="57" t="s">
        <v>10540</v>
      </c>
      <c r="B62" s="58" t="s">
        <v>10222</v>
      </c>
      <c r="C62" s="58" t="s">
        <v>210</v>
      </c>
      <c r="D62" s="59" t="s">
        <v>10541</v>
      </c>
      <c r="E62" s="58" t="s">
        <v>226</v>
      </c>
      <c r="F62" s="60" t="s">
        <v>10542</v>
      </c>
      <c r="G62" s="58" t="s">
        <v>10543</v>
      </c>
      <c r="H62" s="58" t="s">
        <v>10544</v>
      </c>
      <c r="I62" s="58" t="s">
        <v>10545</v>
      </c>
      <c r="J62" s="58"/>
      <c r="K62" s="58"/>
      <c r="L62" s="58" t="s">
        <v>10518</v>
      </c>
      <c r="M62" s="58"/>
      <c r="N62" s="61" t="s">
        <v>94</v>
      </c>
      <c r="O62" s="58" t="s">
        <v>10539</v>
      </c>
      <c r="P62" s="61" t="n">
        <v>496</v>
      </c>
    </row>
    <row r="63" customFormat="false" ht="85.05" hidden="false" customHeight="false" outlineLevel="0" collapsed="false">
      <c r="A63" s="22" t="s">
        <v>10546</v>
      </c>
      <c r="B63" s="17" t="s">
        <v>10222</v>
      </c>
      <c r="C63" s="17" t="s">
        <v>210</v>
      </c>
      <c r="D63" s="55" t="s">
        <v>10547</v>
      </c>
      <c r="E63" s="17" t="s">
        <v>226</v>
      </c>
      <c r="F63" s="56" t="s">
        <v>10548</v>
      </c>
      <c r="G63" s="17" t="s">
        <v>10549</v>
      </c>
      <c r="H63" s="17" t="s">
        <v>10536</v>
      </c>
      <c r="I63" s="17" t="s">
        <v>10537</v>
      </c>
      <c r="J63" s="17"/>
      <c r="K63" s="17"/>
      <c r="L63" s="17" t="s">
        <v>10538</v>
      </c>
      <c r="M63" s="17" t="s">
        <v>10550</v>
      </c>
      <c r="N63" s="15" t="s">
        <v>94</v>
      </c>
      <c r="O63" s="17" t="s">
        <v>10539</v>
      </c>
      <c r="P63" s="15" t="n">
        <v>570</v>
      </c>
    </row>
    <row r="64" customFormat="false" ht="43.25" hidden="false" customHeight="false" outlineLevel="0" collapsed="false">
      <c r="A64" s="57" t="s">
        <v>10551</v>
      </c>
      <c r="B64" s="58" t="s">
        <v>10222</v>
      </c>
      <c r="C64" s="58" t="s">
        <v>210</v>
      </c>
      <c r="D64" s="59" t="s">
        <v>10552</v>
      </c>
      <c r="E64" s="58" t="s">
        <v>222</v>
      </c>
      <c r="F64" s="60" t="s">
        <v>10553</v>
      </c>
      <c r="G64" s="58" t="s">
        <v>10554</v>
      </c>
      <c r="H64" s="58" t="s">
        <v>9965</v>
      </c>
      <c r="I64" s="58" t="s">
        <v>10555</v>
      </c>
      <c r="J64" s="58"/>
      <c r="K64" s="58"/>
      <c r="L64" s="58" t="s">
        <v>10556</v>
      </c>
      <c r="M64" s="58" t="s">
        <v>10557</v>
      </c>
      <c r="N64" s="61" t="s">
        <v>94</v>
      </c>
      <c r="O64" s="58" t="s">
        <v>10539</v>
      </c>
      <c r="P64" s="61" t="n">
        <v>815</v>
      </c>
    </row>
    <row r="65" customFormat="false" ht="53.7" hidden="false" customHeight="false" outlineLevel="0" collapsed="false">
      <c r="A65" s="22" t="s">
        <v>10558</v>
      </c>
      <c r="B65" s="17" t="s">
        <v>10222</v>
      </c>
      <c r="C65" s="17" t="s">
        <v>210</v>
      </c>
      <c r="D65" s="55" t="s">
        <v>10538</v>
      </c>
      <c r="E65" s="17" t="s">
        <v>222</v>
      </c>
      <c r="F65" s="56" t="s">
        <v>10559</v>
      </c>
      <c r="G65" s="17" t="s">
        <v>10560</v>
      </c>
      <c r="H65" s="17" t="s">
        <v>9678</v>
      </c>
      <c r="I65" s="17" t="s">
        <v>10561</v>
      </c>
      <c r="J65" s="17"/>
      <c r="K65" s="17"/>
      <c r="L65" s="17" t="s">
        <v>10562</v>
      </c>
      <c r="M65" s="17" t="s">
        <v>10563</v>
      </c>
      <c r="N65" s="15" t="s">
        <v>94</v>
      </c>
      <c r="O65" s="17" t="s">
        <v>10539</v>
      </c>
      <c r="P65" s="15" t="n">
        <v>861</v>
      </c>
    </row>
    <row r="66" customFormat="false" ht="32.8" hidden="false" customHeight="false" outlineLevel="0" collapsed="false">
      <c r="A66" s="57" t="s">
        <v>10564</v>
      </c>
      <c r="B66" s="58" t="s">
        <v>10222</v>
      </c>
      <c r="C66" s="58" t="s">
        <v>211</v>
      </c>
      <c r="D66" s="59" t="s">
        <v>10565</v>
      </c>
      <c r="E66" s="58" t="s">
        <v>223</v>
      </c>
      <c r="F66" s="60" t="s">
        <v>10566</v>
      </c>
      <c r="G66" s="58" t="s">
        <v>10567</v>
      </c>
      <c r="H66" s="58"/>
      <c r="I66" s="58"/>
      <c r="J66" s="58"/>
      <c r="K66" s="58"/>
      <c r="L66" s="58"/>
      <c r="M66" s="58"/>
      <c r="N66" s="61" t="s">
        <v>94</v>
      </c>
      <c r="O66" s="58" t="s">
        <v>10264</v>
      </c>
      <c r="P66" s="61" t="n">
        <v>247</v>
      </c>
    </row>
    <row r="67" customFormat="false" ht="32.8" hidden="false" customHeight="false" outlineLevel="0" collapsed="false">
      <c r="A67" s="22" t="s">
        <v>10568</v>
      </c>
      <c r="B67" s="17" t="s">
        <v>10222</v>
      </c>
      <c r="C67" s="17" t="s">
        <v>211</v>
      </c>
      <c r="D67" s="55" t="s">
        <v>10569</v>
      </c>
      <c r="E67" s="17" t="s">
        <v>240</v>
      </c>
      <c r="F67" s="56" t="s">
        <v>10570</v>
      </c>
      <c r="G67" s="17" t="s">
        <v>10571</v>
      </c>
      <c r="H67" s="17" t="s">
        <v>10572</v>
      </c>
      <c r="I67" s="17" t="s">
        <v>10573</v>
      </c>
      <c r="J67" s="17" t="s">
        <v>10574</v>
      </c>
      <c r="K67" s="17" t="s">
        <v>439</v>
      </c>
      <c r="L67" s="17" t="s">
        <v>10575</v>
      </c>
      <c r="M67" s="17" t="s">
        <v>10576</v>
      </c>
      <c r="N67" s="15" t="s">
        <v>94</v>
      </c>
      <c r="O67" s="17" t="s">
        <v>10264</v>
      </c>
      <c r="P67" s="15" t="n">
        <v>251</v>
      </c>
    </row>
    <row r="68" customFormat="false" ht="32.8" hidden="false" customHeight="false" outlineLevel="0" collapsed="false">
      <c r="A68" s="57" t="s">
        <v>10577</v>
      </c>
      <c r="B68" s="58" t="s">
        <v>10222</v>
      </c>
      <c r="C68" s="58" t="s">
        <v>211</v>
      </c>
      <c r="D68" s="59" t="s">
        <v>10578</v>
      </c>
      <c r="E68" s="58" t="s">
        <v>240</v>
      </c>
      <c r="F68" s="60" t="s">
        <v>10579</v>
      </c>
      <c r="G68" s="58" t="s">
        <v>10580</v>
      </c>
      <c r="H68" s="58" t="s">
        <v>10581</v>
      </c>
      <c r="I68" s="58" t="s">
        <v>10573</v>
      </c>
      <c r="J68" s="58" t="s">
        <v>10582</v>
      </c>
      <c r="K68" s="58" t="s">
        <v>439</v>
      </c>
      <c r="L68" s="58" t="s">
        <v>10583</v>
      </c>
      <c r="M68" s="58" t="s">
        <v>10576</v>
      </c>
      <c r="N68" s="61" t="s">
        <v>94</v>
      </c>
      <c r="O68" s="58" t="s">
        <v>10264</v>
      </c>
      <c r="P68" s="61" t="n">
        <v>252</v>
      </c>
    </row>
    <row r="69" customFormat="false" ht="32.8" hidden="false" customHeight="false" outlineLevel="0" collapsed="false">
      <c r="A69" s="22" t="s">
        <v>10584</v>
      </c>
      <c r="B69" s="17" t="s">
        <v>10222</v>
      </c>
      <c r="C69" s="17" t="s">
        <v>211</v>
      </c>
      <c r="D69" s="55" t="s">
        <v>10585</v>
      </c>
      <c r="E69" s="17" t="s">
        <v>240</v>
      </c>
      <c r="F69" s="56" t="s">
        <v>10586</v>
      </c>
      <c r="G69" s="17" t="s">
        <v>10587</v>
      </c>
      <c r="H69" s="17" t="s">
        <v>10588</v>
      </c>
      <c r="I69" s="17" t="s">
        <v>10573</v>
      </c>
      <c r="J69" s="17"/>
      <c r="K69" s="17" t="s">
        <v>413</v>
      </c>
      <c r="L69" s="17" t="s">
        <v>10589</v>
      </c>
      <c r="M69" s="17" t="s">
        <v>10576</v>
      </c>
      <c r="N69" s="15" t="s">
        <v>94</v>
      </c>
      <c r="O69" s="17" t="s">
        <v>10264</v>
      </c>
      <c r="P69" s="15" t="n">
        <v>253</v>
      </c>
    </row>
    <row r="70" customFormat="false" ht="32.8" hidden="false" customHeight="false" outlineLevel="0" collapsed="false">
      <c r="A70" s="57" t="s">
        <v>10590</v>
      </c>
      <c r="B70" s="58" t="s">
        <v>10222</v>
      </c>
      <c r="C70" s="58" t="s">
        <v>211</v>
      </c>
      <c r="D70" s="59" t="s">
        <v>10591</v>
      </c>
      <c r="E70" s="58" t="s">
        <v>240</v>
      </c>
      <c r="F70" s="60" t="s">
        <v>10592</v>
      </c>
      <c r="G70" s="58" t="s">
        <v>10593</v>
      </c>
      <c r="H70" s="58" t="s">
        <v>10594</v>
      </c>
      <c r="I70" s="58" t="s">
        <v>10573</v>
      </c>
      <c r="J70" s="58"/>
      <c r="K70" s="58" t="s">
        <v>413</v>
      </c>
      <c r="L70" s="58" t="s">
        <v>10595</v>
      </c>
      <c r="M70" s="58" t="s">
        <v>10576</v>
      </c>
      <c r="N70" s="61" t="s">
        <v>94</v>
      </c>
      <c r="O70" s="58" t="s">
        <v>10264</v>
      </c>
      <c r="P70" s="61" t="n">
        <v>254</v>
      </c>
    </row>
    <row r="71" customFormat="false" ht="32.8" hidden="false" customHeight="false" outlineLevel="0" collapsed="false">
      <c r="A71" s="22" t="s">
        <v>10596</v>
      </c>
      <c r="B71" s="17" t="s">
        <v>10222</v>
      </c>
      <c r="C71" s="17" t="s">
        <v>211</v>
      </c>
      <c r="D71" s="55" t="s">
        <v>10597</v>
      </c>
      <c r="E71" s="17" t="s">
        <v>240</v>
      </c>
      <c r="F71" s="56" t="s">
        <v>10598</v>
      </c>
      <c r="G71" s="17" t="s">
        <v>10599</v>
      </c>
      <c r="H71" s="17" t="s">
        <v>10600</v>
      </c>
      <c r="I71" s="17" t="s">
        <v>10573</v>
      </c>
      <c r="J71" s="17" t="s">
        <v>10601</v>
      </c>
      <c r="K71" s="17" t="s">
        <v>427</v>
      </c>
      <c r="L71" s="17" t="s">
        <v>10602</v>
      </c>
      <c r="M71" s="17" t="s">
        <v>10576</v>
      </c>
      <c r="N71" s="15" t="s">
        <v>94</v>
      </c>
      <c r="O71" s="17" t="s">
        <v>10264</v>
      </c>
      <c r="P71" s="15" t="n">
        <v>255</v>
      </c>
    </row>
    <row r="72" customFormat="false" ht="32.8" hidden="false" customHeight="false" outlineLevel="0" collapsed="false">
      <c r="A72" s="57" t="s">
        <v>10603</v>
      </c>
      <c r="B72" s="58" t="s">
        <v>10222</v>
      </c>
      <c r="C72" s="58" t="s">
        <v>211</v>
      </c>
      <c r="D72" s="59" t="s">
        <v>10604</v>
      </c>
      <c r="E72" s="58" t="s">
        <v>240</v>
      </c>
      <c r="F72" s="60" t="s">
        <v>10605</v>
      </c>
      <c r="G72" s="58" t="s">
        <v>10606</v>
      </c>
      <c r="H72" s="58" t="s">
        <v>10607</v>
      </c>
      <c r="I72" s="58" t="s">
        <v>10573</v>
      </c>
      <c r="J72" s="58" t="s">
        <v>10601</v>
      </c>
      <c r="K72" s="58" t="s">
        <v>427</v>
      </c>
      <c r="L72" s="58" t="s">
        <v>10608</v>
      </c>
      <c r="M72" s="58" t="s">
        <v>10576</v>
      </c>
      <c r="N72" s="61" t="s">
        <v>94</v>
      </c>
      <c r="O72" s="58" t="s">
        <v>10264</v>
      </c>
      <c r="P72" s="61" t="n">
        <v>256</v>
      </c>
    </row>
    <row r="73" customFormat="false" ht="32.8" hidden="false" customHeight="false" outlineLevel="0" collapsed="false">
      <c r="A73" s="22" t="s">
        <v>10609</v>
      </c>
      <c r="B73" s="17" t="s">
        <v>10222</v>
      </c>
      <c r="C73" s="17" t="s">
        <v>211</v>
      </c>
      <c r="D73" s="55" t="s">
        <v>10610</v>
      </c>
      <c r="E73" s="17" t="s">
        <v>240</v>
      </c>
      <c r="F73" s="56" t="s">
        <v>10611</v>
      </c>
      <c r="G73" s="17" t="s">
        <v>10612</v>
      </c>
      <c r="H73" s="17" t="s">
        <v>10613</v>
      </c>
      <c r="I73" s="17" t="s">
        <v>10573</v>
      </c>
      <c r="J73" s="17" t="s">
        <v>10614</v>
      </c>
      <c r="K73" s="17" t="s">
        <v>485</v>
      </c>
      <c r="L73" s="17" t="s">
        <v>10615</v>
      </c>
      <c r="M73" s="17" t="s">
        <v>10576</v>
      </c>
      <c r="N73" s="15" t="s">
        <v>94</v>
      </c>
      <c r="O73" s="17" t="s">
        <v>10264</v>
      </c>
      <c r="P73" s="15" t="n">
        <v>257</v>
      </c>
    </row>
    <row r="74" customFormat="false" ht="32.8" hidden="false" customHeight="false" outlineLevel="0" collapsed="false">
      <c r="A74" s="57" t="s">
        <v>10616</v>
      </c>
      <c r="B74" s="58" t="s">
        <v>10222</v>
      </c>
      <c r="C74" s="58" t="s">
        <v>211</v>
      </c>
      <c r="D74" s="59" t="s">
        <v>10617</v>
      </c>
      <c r="E74" s="58" t="s">
        <v>240</v>
      </c>
      <c r="F74" s="60" t="s">
        <v>10618</v>
      </c>
      <c r="G74" s="58" t="s">
        <v>10619</v>
      </c>
      <c r="H74" s="58" t="s">
        <v>10620</v>
      </c>
      <c r="I74" s="58" t="s">
        <v>10573</v>
      </c>
      <c r="J74" s="58" t="s">
        <v>10621</v>
      </c>
      <c r="K74" s="58" t="s">
        <v>10312</v>
      </c>
      <c r="L74" s="58" t="s">
        <v>10622</v>
      </c>
      <c r="M74" s="58" t="s">
        <v>10576</v>
      </c>
      <c r="N74" s="61" t="s">
        <v>94</v>
      </c>
      <c r="O74" s="58" t="s">
        <v>10264</v>
      </c>
      <c r="P74" s="61" t="n">
        <v>258</v>
      </c>
    </row>
    <row r="75" customFormat="false" ht="32.8" hidden="false" customHeight="false" outlineLevel="0" collapsed="false">
      <c r="A75" s="22" t="s">
        <v>10623</v>
      </c>
      <c r="B75" s="17" t="s">
        <v>10222</v>
      </c>
      <c r="C75" s="17" t="s">
        <v>211</v>
      </c>
      <c r="D75" s="55" t="s">
        <v>10624</v>
      </c>
      <c r="E75" s="17" t="s">
        <v>240</v>
      </c>
      <c r="F75" s="56" t="s">
        <v>10625</v>
      </c>
      <c r="G75" s="17" t="s">
        <v>10626</v>
      </c>
      <c r="H75" s="17" t="s">
        <v>10627</v>
      </c>
      <c r="I75" s="17" t="s">
        <v>10573</v>
      </c>
      <c r="J75" s="17"/>
      <c r="K75" s="17" t="s">
        <v>512</v>
      </c>
      <c r="L75" s="17" t="s">
        <v>10628</v>
      </c>
      <c r="M75" s="17" t="s">
        <v>10576</v>
      </c>
      <c r="N75" s="15" t="s">
        <v>94</v>
      </c>
      <c r="O75" s="17" t="s">
        <v>10264</v>
      </c>
      <c r="P75" s="15" t="n">
        <v>259</v>
      </c>
    </row>
    <row r="76" customFormat="false" ht="32.8" hidden="false" customHeight="false" outlineLevel="0" collapsed="false">
      <c r="A76" s="57" t="s">
        <v>10629</v>
      </c>
      <c r="B76" s="58" t="s">
        <v>10222</v>
      </c>
      <c r="C76" s="58" t="s">
        <v>211</v>
      </c>
      <c r="D76" s="59" t="s">
        <v>10630</v>
      </c>
      <c r="E76" s="58" t="s">
        <v>240</v>
      </c>
      <c r="F76" s="60" t="s">
        <v>10631</v>
      </c>
      <c r="G76" s="58" t="s">
        <v>10632</v>
      </c>
      <c r="H76" s="58" t="s">
        <v>10633</v>
      </c>
      <c r="I76" s="58" t="s">
        <v>10573</v>
      </c>
      <c r="J76" s="58"/>
      <c r="K76" s="58" t="s">
        <v>459</v>
      </c>
      <c r="L76" s="58" t="s">
        <v>10634</v>
      </c>
      <c r="M76" s="58" t="s">
        <v>10576</v>
      </c>
      <c r="N76" s="61" t="s">
        <v>94</v>
      </c>
      <c r="O76" s="58" t="s">
        <v>10264</v>
      </c>
      <c r="P76" s="61" t="n">
        <v>260</v>
      </c>
    </row>
    <row r="77" customFormat="false" ht="32.8" hidden="false" customHeight="false" outlineLevel="0" collapsed="false">
      <c r="A77" s="22" t="s">
        <v>10635</v>
      </c>
      <c r="B77" s="17" t="s">
        <v>10222</v>
      </c>
      <c r="C77" s="17" t="s">
        <v>211</v>
      </c>
      <c r="D77" s="55" t="s">
        <v>10636</v>
      </c>
      <c r="E77" s="17" t="s">
        <v>240</v>
      </c>
      <c r="F77" s="56" t="s">
        <v>10637</v>
      </c>
      <c r="G77" s="17" t="s">
        <v>10638</v>
      </c>
      <c r="H77" s="17" t="s">
        <v>10639</v>
      </c>
      <c r="I77" s="17" t="s">
        <v>10573</v>
      </c>
      <c r="J77" s="17"/>
      <c r="K77" s="17" t="s">
        <v>459</v>
      </c>
      <c r="L77" s="17" t="s">
        <v>10640</v>
      </c>
      <c r="M77" s="17" t="s">
        <v>10576</v>
      </c>
      <c r="N77" s="15" t="s">
        <v>94</v>
      </c>
      <c r="O77" s="17" t="s">
        <v>10264</v>
      </c>
      <c r="P77" s="15" t="n">
        <v>261</v>
      </c>
    </row>
    <row r="78" customFormat="false" ht="32.8" hidden="false" customHeight="false" outlineLevel="0" collapsed="false">
      <c r="A78" s="57" t="s">
        <v>10641</v>
      </c>
      <c r="B78" s="58" t="s">
        <v>10222</v>
      </c>
      <c r="C78" s="58" t="s">
        <v>211</v>
      </c>
      <c r="D78" s="59" t="s">
        <v>10642</v>
      </c>
      <c r="E78" s="58" t="s">
        <v>240</v>
      </c>
      <c r="F78" s="60" t="s">
        <v>10643</v>
      </c>
      <c r="G78" s="58" t="s">
        <v>10644</v>
      </c>
      <c r="H78" s="58" t="s">
        <v>10645</v>
      </c>
      <c r="I78" s="58" t="s">
        <v>10573</v>
      </c>
      <c r="J78" s="58"/>
      <c r="K78" s="58"/>
      <c r="L78" s="58" t="s">
        <v>10646</v>
      </c>
      <c r="M78" s="58" t="s">
        <v>10576</v>
      </c>
      <c r="N78" s="61" t="s">
        <v>94</v>
      </c>
      <c r="O78" s="58" t="s">
        <v>10264</v>
      </c>
      <c r="P78" s="61" t="n">
        <v>262</v>
      </c>
    </row>
    <row r="79" customFormat="false" ht="32.8" hidden="false" customHeight="false" outlineLevel="0" collapsed="false">
      <c r="A79" s="22" t="s">
        <v>10647</v>
      </c>
      <c r="B79" s="17" t="s">
        <v>10222</v>
      </c>
      <c r="C79" s="17" t="s">
        <v>211</v>
      </c>
      <c r="D79" s="55" t="s">
        <v>10648</v>
      </c>
      <c r="E79" s="17" t="s">
        <v>240</v>
      </c>
      <c r="F79" s="56" t="s">
        <v>10649</v>
      </c>
      <c r="G79" s="17" t="s">
        <v>10650</v>
      </c>
      <c r="H79" s="17" t="s">
        <v>10651</v>
      </c>
      <c r="I79" s="17" t="s">
        <v>10573</v>
      </c>
      <c r="J79" s="17" t="s">
        <v>10652</v>
      </c>
      <c r="K79" s="17" t="s">
        <v>10450</v>
      </c>
      <c r="L79" s="17" t="s">
        <v>10653</v>
      </c>
      <c r="M79" s="17" t="s">
        <v>10576</v>
      </c>
      <c r="N79" s="15" t="s">
        <v>94</v>
      </c>
      <c r="O79" s="17" t="s">
        <v>10264</v>
      </c>
      <c r="P79" s="15" t="n">
        <v>263</v>
      </c>
    </row>
    <row r="80" customFormat="false" ht="32.8" hidden="false" customHeight="false" outlineLevel="0" collapsed="false">
      <c r="A80" s="57" t="s">
        <v>10654</v>
      </c>
      <c r="B80" s="58" t="s">
        <v>10222</v>
      </c>
      <c r="C80" s="58" t="s">
        <v>211</v>
      </c>
      <c r="D80" s="59" t="s">
        <v>10655</v>
      </c>
      <c r="E80" s="58" t="s">
        <v>240</v>
      </c>
      <c r="F80" s="60" t="s">
        <v>10656</v>
      </c>
      <c r="G80" s="58" t="s">
        <v>10657</v>
      </c>
      <c r="H80" s="58" t="s">
        <v>10658</v>
      </c>
      <c r="I80" s="58" t="s">
        <v>10573</v>
      </c>
      <c r="J80" s="58" t="s">
        <v>10659</v>
      </c>
      <c r="K80" s="58" t="s">
        <v>427</v>
      </c>
      <c r="L80" s="58" t="s">
        <v>10660</v>
      </c>
      <c r="M80" s="58" t="s">
        <v>10576</v>
      </c>
      <c r="N80" s="61" t="s">
        <v>94</v>
      </c>
      <c r="O80" s="58" t="s">
        <v>10264</v>
      </c>
      <c r="P80" s="61" t="n">
        <v>264</v>
      </c>
    </row>
    <row r="81" customFormat="false" ht="32.8" hidden="false" customHeight="false" outlineLevel="0" collapsed="false">
      <c r="A81" s="22" t="s">
        <v>10661</v>
      </c>
      <c r="B81" s="17" t="s">
        <v>10222</v>
      </c>
      <c r="C81" s="17" t="s">
        <v>211</v>
      </c>
      <c r="D81" s="55" t="s">
        <v>10662</v>
      </c>
      <c r="E81" s="17" t="s">
        <v>240</v>
      </c>
      <c r="F81" s="56" t="s">
        <v>10663</v>
      </c>
      <c r="G81" s="17" t="s">
        <v>10664</v>
      </c>
      <c r="H81" s="17" t="s">
        <v>10665</v>
      </c>
      <c r="I81" s="17" t="s">
        <v>10573</v>
      </c>
      <c r="J81" s="17" t="s">
        <v>10666</v>
      </c>
      <c r="K81" s="17" t="s">
        <v>427</v>
      </c>
      <c r="L81" s="17" t="s">
        <v>10667</v>
      </c>
      <c r="M81" s="17" t="s">
        <v>10576</v>
      </c>
      <c r="N81" s="15" t="s">
        <v>94</v>
      </c>
      <c r="O81" s="17" t="s">
        <v>10264</v>
      </c>
      <c r="P81" s="15" t="n">
        <v>265</v>
      </c>
    </row>
    <row r="82" customFormat="false" ht="32.8" hidden="false" customHeight="false" outlineLevel="0" collapsed="false">
      <c r="A82" s="57" t="s">
        <v>10668</v>
      </c>
      <c r="B82" s="58" t="s">
        <v>10222</v>
      </c>
      <c r="C82" s="58" t="s">
        <v>211</v>
      </c>
      <c r="D82" s="59" t="s">
        <v>10669</v>
      </c>
      <c r="E82" s="58" t="s">
        <v>240</v>
      </c>
      <c r="F82" s="60" t="s">
        <v>10670</v>
      </c>
      <c r="G82" s="58" t="s">
        <v>10671</v>
      </c>
      <c r="H82" s="58" t="s">
        <v>10672</v>
      </c>
      <c r="I82" s="58" t="s">
        <v>10573</v>
      </c>
      <c r="J82" s="58"/>
      <c r="K82" s="58"/>
      <c r="L82" s="58" t="s">
        <v>10673</v>
      </c>
      <c r="M82" s="58" t="s">
        <v>10576</v>
      </c>
      <c r="N82" s="61" t="s">
        <v>94</v>
      </c>
      <c r="O82" s="58" t="s">
        <v>10264</v>
      </c>
      <c r="P82" s="61" t="n">
        <v>266</v>
      </c>
    </row>
    <row r="83" customFormat="false" ht="32.8" hidden="false" customHeight="false" outlineLevel="0" collapsed="false">
      <c r="A83" s="22" t="s">
        <v>10674</v>
      </c>
      <c r="B83" s="17" t="s">
        <v>10222</v>
      </c>
      <c r="C83" s="17" t="s">
        <v>211</v>
      </c>
      <c r="D83" s="55" t="s">
        <v>10675</v>
      </c>
      <c r="E83" s="17" t="s">
        <v>240</v>
      </c>
      <c r="F83" s="56" t="s">
        <v>10676</v>
      </c>
      <c r="G83" s="17" t="s">
        <v>10677</v>
      </c>
      <c r="H83" s="17" t="s">
        <v>10678</v>
      </c>
      <c r="I83" s="17" t="s">
        <v>10573</v>
      </c>
      <c r="J83" s="17"/>
      <c r="K83" s="17"/>
      <c r="L83" s="17" t="s">
        <v>10679</v>
      </c>
      <c r="M83" s="17" t="s">
        <v>10576</v>
      </c>
      <c r="N83" s="15" t="s">
        <v>94</v>
      </c>
      <c r="O83" s="17" t="s">
        <v>10264</v>
      </c>
      <c r="P83" s="15" t="n">
        <v>267</v>
      </c>
    </row>
    <row r="84" customFormat="false" ht="32.8" hidden="false" customHeight="false" outlineLevel="0" collapsed="false">
      <c r="A84" s="57" t="s">
        <v>10680</v>
      </c>
      <c r="B84" s="58" t="s">
        <v>10222</v>
      </c>
      <c r="C84" s="58" t="s">
        <v>211</v>
      </c>
      <c r="D84" s="59" t="s">
        <v>10681</v>
      </c>
      <c r="E84" s="58" t="s">
        <v>240</v>
      </c>
      <c r="F84" s="60" t="s">
        <v>10682</v>
      </c>
      <c r="G84" s="58" t="s">
        <v>10683</v>
      </c>
      <c r="H84" s="58" t="s">
        <v>10684</v>
      </c>
      <c r="I84" s="58" t="s">
        <v>10573</v>
      </c>
      <c r="J84" s="58"/>
      <c r="K84" s="58"/>
      <c r="L84" s="58" t="s">
        <v>10685</v>
      </c>
      <c r="M84" s="58" t="s">
        <v>10576</v>
      </c>
      <c r="N84" s="61" t="s">
        <v>94</v>
      </c>
      <c r="O84" s="58" t="s">
        <v>10264</v>
      </c>
      <c r="P84" s="61" t="n">
        <v>280</v>
      </c>
    </row>
    <row r="85" customFormat="false" ht="32.8" hidden="false" customHeight="false" outlineLevel="0" collapsed="false">
      <c r="A85" s="22" t="s">
        <v>10686</v>
      </c>
      <c r="B85" s="17" t="s">
        <v>10222</v>
      </c>
      <c r="C85" s="17" t="s">
        <v>211</v>
      </c>
      <c r="D85" s="55" t="s">
        <v>10687</v>
      </c>
      <c r="E85" s="17" t="s">
        <v>240</v>
      </c>
      <c r="F85" s="56" t="s">
        <v>10688</v>
      </c>
      <c r="G85" s="17" t="s">
        <v>10689</v>
      </c>
      <c r="H85" s="17" t="s">
        <v>10690</v>
      </c>
      <c r="I85" s="17" t="s">
        <v>10573</v>
      </c>
      <c r="J85" s="17"/>
      <c r="K85" s="17"/>
      <c r="L85" s="17" t="s">
        <v>10691</v>
      </c>
      <c r="M85" s="17" t="s">
        <v>10576</v>
      </c>
      <c r="N85" s="15" t="s">
        <v>94</v>
      </c>
      <c r="O85" s="17" t="s">
        <v>10264</v>
      </c>
      <c r="P85" s="15" t="n">
        <v>281</v>
      </c>
    </row>
    <row r="86" customFormat="false" ht="32.8" hidden="false" customHeight="false" outlineLevel="0" collapsed="false">
      <c r="A86" s="57" t="s">
        <v>10692</v>
      </c>
      <c r="B86" s="58" t="s">
        <v>10222</v>
      </c>
      <c r="C86" s="58" t="s">
        <v>212</v>
      </c>
      <c r="D86" s="59" t="s">
        <v>10693</v>
      </c>
      <c r="E86" s="58" t="s">
        <v>223</v>
      </c>
      <c r="F86" s="60" t="s">
        <v>10694</v>
      </c>
      <c r="G86" s="58" t="s">
        <v>10695</v>
      </c>
      <c r="H86" s="58"/>
      <c r="I86" s="58"/>
      <c r="J86" s="58"/>
      <c r="K86" s="58" t="s">
        <v>10696</v>
      </c>
      <c r="L86" s="58" t="s">
        <v>10697</v>
      </c>
      <c r="M86" s="58" t="s">
        <v>10698</v>
      </c>
      <c r="N86" s="61" t="s">
        <v>94</v>
      </c>
      <c r="O86" s="58" t="s">
        <v>10264</v>
      </c>
      <c r="P86" s="61" t="n">
        <v>68</v>
      </c>
    </row>
    <row r="87" customFormat="false" ht="32.8" hidden="false" customHeight="false" outlineLevel="0" collapsed="false">
      <c r="A87" s="22" t="s">
        <v>10699</v>
      </c>
      <c r="B87" s="17" t="s">
        <v>10222</v>
      </c>
      <c r="C87" s="17" t="s">
        <v>212</v>
      </c>
      <c r="D87" s="55" t="s">
        <v>10700</v>
      </c>
      <c r="E87" s="17" t="s">
        <v>245</v>
      </c>
      <c r="F87" s="56" t="s">
        <v>10701</v>
      </c>
      <c r="G87" s="17" t="s">
        <v>10702</v>
      </c>
      <c r="H87" s="17"/>
      <c r="I87" s="17"/>
      <c r="J87" s="17"/>
      <c r="K87" s="17" t="s">
        <v>10703</v>
      </c>
      <c r="L87" s="17" t="s">
        <v>10704</v>
      </c>
      <c r="M87" s="17" t="s">
        <v>10705</v>
      </c>
      <c r="N87" s="15" t="s">
        <v>94</v>
      </c>
      <c r="O87" s="17" t="s">
        <v>10264</v>
      </c>
      <c r="P87" s="15" t="n">
        <v>74</v>
      </c>
    </row>
    <row r="88" customFormat="false" ht="22.35" hidden="false" customHeight="false" outlineLevel="0" collapsed="false">
      <c r="A88" s="57" t="s">
        <v>10706</v>
      </c>
      <c r="B88" s="58" t="s">
        <v>10222</v>
      </c>
      <c r="C88" s="58" t="s">
        <v>212</v>
      </c>
      <c r="D88" s="59" t="s">
        <v>10707</v>
      </c>
      <c r="E88" s="58" t="s">
        <v>245</v>
      </c>
      <c r="F88" s="60" t="s">
        <v>10708</v>
      </c>
      <c r="G88" s="58" t="s">
        <v>10709</v>
      </c>
      <c r="H88" s="58"/>
      <c r="I88" s="58"/>
      <c r="J88" s="58"/>
      <c r="K88" s="58" t="s">
        <v>10703</v>
      </c>
      <c r="L88" s="58" t="s">
        <v>10710</v>
      </c>
      <c r="M88" s="58"/>
      <c r="N88" s="61" t="s">
        <v>94</v>
      </c>
      <c r="O88" s="58" t="s">
        <v>10264</v>
      </c>
      <c r="P88" s="61" t="n">
        <v>75</v>
      </c>
    </row>
    <row r="89" customFormat="false" ht="22.35" hidden="false" customHeight="false" outlineLevel="0" collapsed="false">
      <c r="A89" s="22" t="s">
        <v>10711</v>
      </c>
      <c r="B89" s="17" t="s">
        <v>10222</v>
      </c>
      <c r="C89" s="17" t="s">
        <v>212</v>
      </c>
      <c r="D89" s="55" t="s">
        <v>10712</v>
      </c>
      <c r="E89" s="17" t="s">
        <v>245</v>
      </c>
      <c r="F89" s="56" t="s">
        <v>10713</v>
      </c>
      <c r="G89" s="17" t="s">
        <v>10714</v>
      </c>
      <c r="H89" s="17"/>
      <c r="I89" s="17"/>
      <c r="J89" s="17"/>
      <c r="K89" s="17"/>
      <c r="L89" s="17"/>
      <c r="M89" s="17" t="s">
        <v>10715</v>
      </c>
      <c r="N89" s="15" t="s">
        <v>94</v>
      </c>
      <c r="O89" s="17" t="s">
        <v>10264</v>
      </c>
      <c r="P89" s="15" t="n">
        <v>81</v>
      </c>
    </row>
    <row r="90" customFormat="false" ht="43.25" hidden="false" customHeight="false" outlineLevel="0" collapsed="false">
      <c r="A90" s="57" t="s">
        <v>10716</v>
      </c>
      <c r="B90" s="58" t="s">
        <v>10222</v>
      </c>
      <c r="C90" s="58" t="s">
        <v>212</v>
      </c>
      <c r="D90" s="59" t="s">
        <v>10717</v>
      </c>
      <c r="E90" s="58" t="s">
        <v>245</v>
      </c>
      <c r="F90" s="60" t="s">
        <v>10718</v>
      </c>
      <c r="G90" s="58" t="s">
        <v>10719</v>
      </c>
      <c r="H90" s="58"/>
      <c r="I90" s="58"/>
      <c r="J90" s="58"/>
      <c r="K90" s="58"/>
      <c r="L90" s="58"/>
      <c r="M90" s="58" t="s">
        <v>10720</v>
      </c>
      <c r="N90" s="61" t="s">
        <v>94</v>
      </c>
      <c r="O90" s="58" t="s">
        <v>10264</v>
      </c>
      <c r="P90" s="61" t="n">
        <v>84</v>
      </c>
    </row>
    <row r="91" customFormat="false" ht="22.35" hidden="false" customHeight="false" outlineLevel="0" collapsed="false">
      <c r="A91" s="22" t="s">
        <v>10721</v>
      </c>
      <c r="B91" s="17" t="s">
        <v>10222</v>
      </c>
      <c r="C91" s="17" t="s">
        <v>212</v>
      </c>
      <c r="D91" s="55" t="s">
        <v>10722</v>
      </c>
      <c r="E91" s="17" t="s">
        <v>245</v>
      </c>
      <c r="F91" s="56" t="s">
        <v>10723</v>
      </c>
      <c r="G91" s="17" t="s">
        <v>10724</v>
      </c>
      <c r="H91" s="17"/>
      <c r="I91" s="17"/>
      <c r="J91" s="17"/>
      <c r="K91" s="17"/>
      <c r="L91" s="17"/>
      <c r="M91" s="17" t="s">
        <v>10725</v>
      </c>
      <c r="N91" s="15" t="s">
        <v>94</v>
      </c>
      <c r="O91" s="17" t="s">
        <v>10264</v>
      </c>
      <c r="P91" s="15" t="n">
        <v>87</v>
      </c>
    </row>
    <row r="92" customFormat="false" ht="64.15" hidden="false" customHeight="false" outlineLevel="0" collapsed="false">
      <c r="A92" s="57" t="s">
        <v>10726</v>
      </c>
      <c r="B92" s="58" t="s">
        <v>10222</v>
      </c>
      <c r="C92" s="58" t="s">
        <v>212</v>
      </c>
      <c r="D92" s="59" t="s">
        <v>10727</v>
      </c>
      <c r="E92" s="58" t="s">
        <v>245</v>
      </c>
      <c r="F92" s="60" t="s">
        <v>10728</v>
      </c>
      <c r="G92" s="58" t="s">
        <v>10729</v>
      </c>
      <c r="H92" s="58"/>
      <c r="I92" s="58"/>
      <c r="J92" s="58"/>
      <c r="K92" s="58"/>
      <c r="L92" s="58"/>
      <c r="M92" s="58" t="s">
        <v>10730</v>
      </c>
      <c r="N92" s="61" t="s">
        <v>94</v>
      </c>
      <c r="O92" s="58" t="s">
        <v>10264</v>
      </c>
      <c r="P92" s="61" t="n">
        <v>90</v>
      </c>
    </row>
    <row r="93" customFormat="false" ht="53.7" hidden="false" customHeight="false" outlineLevel="0" collapsed="false">
      <c r="A93" s="22" t="s">
        <v>10731</v>
      </c>
      <c r="B93" s="17" t="s">
        <v>10222</v>
      </c>
      <c r="C93" s="17" t="s">
        <v>212</v>
      </c>
      <c r="D93" s="55" t="s">
        <v>10732</v>
      </c>
      <c r="E93" s="17" t="s">
        <v>245</v>
      </c>
      <c r="F93" s="56" t="s">
        <v>10733</v>
      </c>
      <c r="G93" s="17" t="s">
        <v>10734</v>
      </c>
      <c r="H93" s="17"/>
      <c r="I93" s="17"/>
      <c r="J93" s="17"/>
      <c r="K93" s="17"/>
      <c r="L93" s="17"/>
      <c r="M93" s="17" t="s">
        <v>10735</v>
      </c>
      <c r="N93" s="15" t="s">
        <v>94</v>
      </c>
      <c r="O93" s="17" t="s">
        <v>10264</v>
      </c>
      <c r="P93" s="15" t="n">
        <v>97</v>
      </c>
    </row>
    <row r="94" customFormat="false" ht="22.35" hidden="false" customHeight="false" outlineLevel="0" collapsed="false">
      <c r="A94" s="57" t="s">
        <v>10736</v>
      </c>
      <c r="B94" s="58" t="s">
        <v>10222</v>
      </c>
      <c r="C94" s="58" t="s">
        <v>212</v>
      </c>
      <c r="D94" s="59" t="s">
        <v>10737</v>
      </c>
      <c r="E94" s="58" t="s">
        <v>245</v>
      </c>
      <c r="F94" s="60" t="s">
        <v>10738</v>
      </c>
      <c r="G94" s="58" t="s">
        <v>10739</v>
      </c>
      <c r="H94" s="58"/>
      <c r="I94" s="58"/>
      <c r="J94" s="58"/>
      <c r="K94" s="58"/>
      <c r="L94" s="58"/>
      <c r="M94" s="58" t="s">
        <v>10740</v>
      </c>
      <c r="N94" s="61" t="s">
        <v>94</v>
      </c>
      <c r="O94" s="58" t="s">
        <v>10264</v>
      </c>
      <c r="P94" s="61" t="n">
        <v>100</v>
      </c>
    </row>
    <row r="95" customFormat="false" ht="22.35" hidden="false" customHeight="false" outlineLevel="0" collapsed="false">
      <c r="A95" s="22" t="s">
        <v>10741</v>
      </c>
      <c r="B95" s="17" t="s">
        <v>10222</v>
      </c>
      <c r="C95" s="17" t="s">
        <v>212</v>
      </c>
      <c r="D95" s="55" t="s">
        <v>10742</v>
      </c>
      <c r="E95" s="17" t="s">
        <v>245</v>
      </c>
      <c r="F95" s="56" t="s">
        <v>10743</v>
      </c>
      <c r="G95" s="17" t="s">
        <v>10744</v>
      </c>
      <c r="H95" s="17"/>
      <c r="I95" s="17"/>
      <c r="J95" s="17"/>
      <c r="K95" s="17"/>
      <c r="L95" s="17" t="s">
        <v>10745</v>
      </c>
      <c r="M95" s="17"/>
      <c r="N95" s="15" t="s">
        <v>94</v>
      </c>
      <c r="O95" s="17" t="s">
        <v>10264</v>
      </c>
      <c r="P95" s="15" t="n">
        <v>152</v>
      </c>
    </row>
    <row r="96" customFormat="false" ht="22.35" hidden="false" customHeight="false" outlineLevel="0" collapsed="false">
      <c r="A96" s="57" t="s">
        <v>10746</v>
      </c>
      <c r="B96" s="58" t="s">
        <v>10222</v>
      </c>
      <c r="C96" s="58" t="s">
        <v>212</v>
      </c>
      <c r="D96" s="59" t="s">
        <v>10747</v>
      </c>
      <c r="E96" s="58" t="s">
        <v>245</v>
      </c>
      <c r="F96" s="60" t="s">
        <v>10748</v>
      </c>
      <c r="G96" s="58" t="s">
        <v>10749</v>
      </c>
      <c r="H96" s="58"/>
      <c r="I96" s="58"/>
      <c r="J96" s="58"/>
      <c r="K96" s="58"/>
      <c r="L96" s="58" t="s">
        <v>10745</v>
      </c>
      <c r="M96" s="58"/>
      <c r="N96" s="61" t="s">
        <v>94</v>
      </c>
      <c r="O96" s="58" t="s">
        <v>10264</v>
      </c>
      <c r="P96" s="61" t="n">
        <v>153</v>
      </c>
    </row>
    <row r="97" customFormat="false" ht="32.8" hidden="false" customHeight="false" outlineLevel="0" collapsed="false">
      <c r="A97" s="22" t="s">
        <v>10750</v>
      </c>
      <c r="B97" s="17" t="s">
        <v>10222</v>
      </c>
      <c r="C97" s="17" t="s">
        <v>212</v>
      </c>
      <c r="D97" s="55" t="s">
        <v>10751</v>
      </c>
      <c r="E97" s="17" t="s">
        <v>223</v>
      </c>
      <c r="F97" s="56" t="s">
        <v>10752</v>
      </c>
      <c r="G97" s="17" t="s">
        <v>10753</v>
      </c>
      <c r="H97" s="17"/>
      <c r="I97" s="17"/>
      <c r="J97" s="17"/>
      <c r="K97" s="17"/>
      <c r="L97" s="17" t="s">
        <v>10754</v>
      </c>
      <c r="M97" s="17" t="s">
        <v>10755</v>
      </c>
      <c r="N97" s="15" t="s">
        <v>94</v>
      </c>
      <c r="O97" s="17" t="s">
        <v>10264</v>
      </c>
      <c r="P97" s="15" t="n">
        <v>167</v>
      </c>
    </row>
    <row r="98" customFormat="false" ht="64.15" hidden="false" customHeight="false" outlineLevel="0" collapsed="false">
      <c r="A98" s="57" t="s">
        <v>10756</v>
      </c>
      <c r="B98" s="58" t="s">
        <v>10222</v>
      </c>
      <c r="C98" s="58" t="s">
        <v>212</v>
      </c>
      <c r="D98" s="59" t="s">
        <v>10757</v>
      </c>
      <c r="E98" s="58" t="s">
        <v>245</v>
      </c>
      <c r="F98" s="60" t="s">
        <v>10758</v>
      </c>
      <c r="G98" s="58" t="s">
        <v>10759</v>
      </c>
      <c r="H98" s="58"/>
      <c r="I98" s="58"/>
      <c r="J98" s="58"/>
      <c r="K98" s="58"/>
      <c r="L98" s="58"/>
      <c r="M98" s="58" t="s">
        <v>10760</v>
      </c>
      <c r="N98" s="61" t="s">
        <v>94</v>
      </c>
      <c r="O98" s="58" t="s">
        <v>10264</v>
      </c>
      <c r="P98" s="61" t="n">
        <v>331</v>
      </c>
    </row>
    <row r="99" customFormat="false" ht="32.8" hidden="false" customHeight="false" outlineLevel="0" collapsed="false">
      <c r="A99" s="22" t="s">
        <v>10761</v>
      </c>
      <c r="B99" s="17" t="s">
        <v>10222</v>
      </c>
      <c r="C99" s="17" t="s">
        <v>213</v>
      </c>
      <c r="D99" s="55" t="s">
        <v>10762</v>
      </c>
      <c r="E99" s="17" t="s">
        <v>242</v>
      </c>
      <c r="F99" s="56" t="s">
        <v>10763</v>
      </c>
      <c r="G99" s="17" t="s">
        <v>10764</v>
      </c>
      <c r="H99" s="17" t="s">
        <v>10765</v>
      </c>
      <c r="I99" s="17" t="s">
        <v>468</v>
      </c>
      <c r="J99" s="17" t="s">
        <v>10766</v>
      </c>
      <c r="K99" s="17"/>
      <c r="L99" s="17" t="s">
        <v>10767</v>
      </c>
      <c r="M99" s="17"/>
      <c r="N99" s="15" t="s">
        <v>94</v>
      </c>
      <c r="O99" s="17" t="s">
        <v>10264</v>
      </c>
      <c r="P99" s="15" t="n">
        <v>102</v>
      </c>
    </row>
    <row r="100" customFormat="false" ht="32.8" hidden="false" customHeight="false" outlineLevel="0" collapsed="false">
      <c r="A100" s="57" t="s">
        <v>10768</v>
      </c>
      <c r="B100" s="58" t="s">
        <v>10222</v>
      </c>
      <c r="C100" s="58" t="s">
        <v>213</v>
      </c>
      <c r="D100" s="59" t="s">
        <v>10769</v>
      </c>
      <c r="E100" s="58" t="s">
        <v>242</v>
      </c>
      <c r="F100" s="60" t="s">
        <v>10770</v>
      </c>
      <c r="G100" s="58" t="s">
        <v>10771</v>
      </c>
      <c r="H100" s="58" t="s">
        <v>10772</v>
      </c>
      <c r="I100" s="58" t="s">
        <v>468</v>
      </c>
      <c r="J100" s="58" t="s">
        <v>10773</v>
      </c>
      <c r="K100" s="58"/>
      <c r="L100" s="58" t="s">
        <v>10263</v>
      </c>
      <c r="M100" s="58"/>
      <c r="N100" s="61" t="s">
        <v>94</v>
      </c>
      <c r="O100" s="58" t="s">
        <v>10264</v>
      </c>
      <c r="P100" s="61" t="n">
        <v>103</v>
      </c>
    </row>
    <row r="101" customFormat="false" ht="22.35" hidden="false" customHeight="false" outlineLevel="0" collapsed="false">
      <c r="A101" s="22" t="s">
        <v>10774</v>
      </c>
      <c r="B101" s="17" t="s">
        <v>10222</v>
      </c>
      <c r="C101" s="17" t="s">
        <v>213</v>
      </c>
      <c r="D101" s="55" t="s">
        <v>10775</v>
      </c>
      <c r="E101" s="17" t="s">
        <v>242</v>
      </c>
      <c r="F101" s="56" t="s">
        <v>10776</v>
      </c>
      <c r="G101" s="17" t="s">
        <v>10777</v>
      </c>
      <c r="H101" s="17" t="s">
        <v>10778</v>
      </c>
      <c r="I101" s="17" t="s">
        <v>10779</v>
      </c>
      <c r="J101" s="17" t="s">
        <v>10780</v>
      </c>
      <c r="K101" s="17" t="s">
        <v>10781</v>
      </c>
      <c r="L101" s="17" t="s">
        <v>10782</v>
      </c>
      <c r="M101" s="17"/>
      <c r="N101" s="15" t="s">
        <v>94</v>
      </c>
      <c r="O101" s="17" t="s">
        <v>10264</v>
      </c>
      <c r="P101" s="15" t="n">
        <v>156</v>
      </c>
    </row>
    <row r="102" customFormat="false" ht="22.35" hidden="false" customHeight="false" outlineLevel="0" collapsed="false">
      <c r="A102" s="57" t="s">
        <v>10783</v>
      </c>
      <c r="B102" s="58" t="s">
        <v>10222</v>
      </c>
      <c r="C102" s="58" t="s">
        <v>213</v>
      </c>
      <c r="D102" s="59" t="s">
        <v>10784</v>
      </c>
      <c r="E102" s="58" t="s">
        <v>242</v>
      </c>
      <c r="F102" s="60" t="s">
        <v>10785</v>
      </c>
      <c r="G102" s="58" t="s">
        <v>10786</v>
      </c>
      <c r="H102" s="58" t="s">
        <v>10787</v>
      </c>
      <c r="I102" s="58" t="s">
        <v>10779</v>
      </c>
      <c r="J102" s="58" t="s">
        <v>10788</v>
      </c>
      <c r="K102" s="58" t="s">
        <v>10789</v>
      </c>
      <c r="L102" s="58" t="s">
        <v>10790</v>
      </c>
      <c r="M102" s="58"/>
      <c r="N102" s="61" t="s">
        <v>94</v>
      </c>
      <c r="O102" s="58" t="s">
        <v>10264</v>
      </c>
      <c r="P102" s="61" t="n">
        <v>162</v>
      </c>
    </row>
    <row r="103" customFormat="false" ht="22.35" hidden="false" customHeight="false" outlineLevel="0" collapsed="false">
      <c r="A103" s="22" t="s">
        <v>10791</v>
      </c>
      <c r="B103" s="17" t="s">
        <v>10222</v>
      </c>
      <c r="C103" s="17" t="s">
        <v>213</v>
      </c>
      <c r="D103" s="55" t="s">
        <v>10792</v>
      </c>
      <c r="E103" s="17" t="s">
        <v>242</v>
      </c>
      <c r="F103" s="56" t="s">
        <v>10793</v>
      </c>
      <c r="G103" s="17" t="s">
        <v>10794</v>
      </c>
      <c r="H103" s="17" t="s">
        <v>563</v>
      </c>
      <c r="I103" s="17" t="s">
        <v>468</v>
      </c>
      <c r="J103" s="17" t="s">
        <v>10795</v>
      </c>
      <c r="K103" s="17"/>
      <c r="L103" s="17" t="s">
        <v>10263</v>
      </c>
      <c r="M103" s="17"/>
      <c r="N103" s="15" t="s">
        <v>94</v>
      </c>
      <c r="O103" s="17" t="s">
        <v>10264</v>
      </c>
      <c r="P103" s="15" t="n">
        <v>248</v>
      </c>
    </row>
    <row r="104" customFormat="false" ht="22.35" hidden="false" customHeight="false" outlineLevel="0" collapsed="false">
      <c r="A104" s="57" t="s">
        <v>10796</v>
      </c>
      <c r="B104" s="58" t="s">
        <v>10222</v>
      </c>
      <c r="C104" s="58" t="s">
        <v>213</v>
      </c>
      <c r="D104" s="59" t="s">
        <v>10797</v>
      </c>
      <c r="E104" s="58" t="s">
        <v>242</v>
      </c>
      <c r="F104" s="60" t="s">
        <v>10798</v>
      </c>
      <c r="G104" s="58" t="s">
        <v>10799</v>
      </c>
      <c r="H104" s="58" t="s">
        <v>10800</v>
      </c>
      <c r="I104" s="58" t="s">
        <v>3235</v>
      </c>
      <c r="J104" s="58" t="s">
        <v>10801</v>
      </c>
      <c r="K104" s="58"/>
      <c r="L104" s="58" t="s">
        <v>10263</v>
      </c>
      <c r="M104" s="58"/>
      <c r="N104" s="61" t="s">
        <v>94</v>
      </c>
      <c r="O104" s="58" t="s">
        <v>10264</v>
      </c>
      <c r="P104" s="61" t="n">
        <v>249</v>
      </c>
    </row>
    <row r="105" customFormat="false" ht="22.35" hidden="false" customHeight="false" outlineLevel="0" collapsed="false">
      <c r="A105" s="22" t="s">
        <v>10802</v>
      </c>
      <c r="B105" s="17" t="s">
        <v>10222</v>
      </c>
      <c r="C105" s="17" t="s">
        <v>213</v>
      </c>
      <c r="D105" s="55" t="s">
        <v>10803</v>
      </c>
      <c r="E105" s="17" t="s">
        <v>242</v>
      </c>
      <c r="F105" s="56" t="s">
        <v>10804</v>
      </c>
      <c r="G105" s="17" t="s">
        <v>10805</v>
      </c>
      <c r="H105" s="17" t="s">
        <v>10806</v>
      </c>
      <c r="I105" s="17" t="s">
        <v>468</v>
      </c>
      <c r="J105" s="17" t="s">
        <v>10807</v>
      </c>
      <c r="K105" s="17"/>
      <c r="L105" s="17" t="s">
        <v>10808</v>
      </c>
      <c r="M105" s="17"/>
      <c r="N105" s="15" t="s">
        <v>94</v>
      </c>
      <c r="O105" s="17" t="s">
        <v>10264</v>
      </c>
      <c r="P105" s="15" t="n">
        <v>333</v>
      </c>
    </row>
    <row r="106" customFormat="false" ht="22.35" hidden="false" customHeight="false" outlineLevel="0" collapsed="false">
      <c r="A106" s="57" t="s">
        <v>10809</v>
      </c>
      <c r="B106" s="58" t="s">
        <v>10222</v>
      </c>
      <c r="C106" s="58" t="s">
        <v>213</v>
      </c>
      <c r="D106" s="59" t="s">
        <v>10810</v>
      </c>
      <c r="E106" s="58" t="s">
        <v>242</v>
      </c>
      <c r="F106" s="60" t="s">
        <v>10811</v>
      </c>
      <c r="G106" s="58" t="s">
        <v>10812</v>
      </c>
      <c r="H106" s="58" t="s">
        <v>5009</v>
      </c>
      <c r="I106" s="58" t="s">
        <v>3235</v>
      </c>
      <c r="J106" s="58" t="s">
        <v>10813</v>
      </c>
      <c r="K106" s="58"/>
      <c r="L106" s="58" t="s">
        <v>10814</v>
      </c>
      <c r="M106" s="58"/>
      <c r="N106" s="61" t="s">
        <v>94</v>
      </c>
      <c r="O106" s="58" t="s">
        <v>10264</v>
      </c>
      <c r="P106" s="61" t="n">
        <v>338</v>
      </c>
    </row>
    <row r="107" customFormat="false" ht="22.35" hidden="false" customHeight="false" outlineLevel="0" collapsed="false">
      <c r="A107" s="22" t="s">
        <v>10815</v>
      </c>
      <c r="B107" s="17" t="s">
        <v>10222</v>
      </c>
      <c r="C107" s="17" t="s">
        <v>213</v>
      </c>
      <c r="D107" s="55" t="s">
        <v>10816</v>
      </c>
      <c r="E107" s="17" t="s">
        <v>242</v>
      </c>
      <c r="F107" s="56" t="s">
        <v>10817</v>
      </c>
      <c r="G107" s="17" t="s">
        <v>10818</v>
      </c>
      <c r="H107" s="17" t="s">
        <v>5009</v>
      </c>
      <c r="I107" s="17" t="s">
        <v>10537</v>
      </c>
      <c r="J107" s="17" t="s">
        <v>10819</v>
      </c>
      <c r="K107" s="17"/>
      <c r="L107" s="17" t="s">
        <v>10814</v>
      </c>
      <c r="M107" s="17"/>
      <c r="N107" s="15" t="s">
        <v>94</v>
      </c>
      <c r="O107" s="17" t="s">
        <v>10264</v>
      </c>
      <c r="P107" s="15" t="n">
        <v>341</v>
      </c>
    </row>
  </sheetData>
  <autoFilter ref="A4:P107"/>
  <mergeCells count="1">
    <mergeCell ref="A2:J2"/>
  </mergeCells>
  <printOptions headings="false" gridLines="false" gridLinesSet="true" horizontalCentered="true" verticalCentered="false"/>
  <pageMargins left="0.4" right="0.4" top="0.5" bottom="0.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&amp;LiW-ASCEJ-01-API-Reference-R1.0-REL1.0&amp;C&amp;A&amp;RPage &amp;P of &amp;N</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P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8"/>
    <col collapsed="false" customWidth="true" hidden="false" outlineLevel="0" max="4" min="4" style="0" width="30"/>
    <col collapsed="false" customWidth="true" hidden="false" outlineLevel="0" max="5" min="5" style="0" width="12"/>
    <col collapsed="false" customWidth="true" hidden="false" outlineLevel="0" max="6" min="6" style="0" width="46"/>
    <col collapsed="false" customWidth="true" hidden="false" outlineLevel="0" max="7" min="7" style="0" width="52"/>
    <col collapsed="false" customWidth="true" hidden="false" outlineLevel="0" max="9" min="8" style="0" width="34"/>
    <col collapsed="false" customWidth="true" hidden="false" outlineLevel="0" max="10" min="10" style="0" width="46"/>
    <col collapsed="false" customWidth="true" hidden="false" outlineLevel="0" max="11" min="11" style="0" width="10"/>
    <col collapsed="false" customWidth="true" hidden="false" outlineLevel="0" max="12" min="12" style="0" width="34"/>
    <col collapsed="false" customWidth="true" hidden="false" outlineLevel="0" max="13" min="13" style="0" width="40"/>
    <col collapsed="false" customWidth="true" hidden="false" outlineLevel="0" max="14" min="14" style="0" width="6"/>
    <col collapsed="false" customWidth="true" hidden="false" outlineLevel="0" max="15" min="15" style="0" width="46"/>
    <col collapsed="false" customWidth="true" hidden="false" outlineLevel="0" max="16" min="16" style="0" width="7"/>
  </cols>
  <sheetData>
    <row r="1" customFormat="false" ht="25.5" hidden="false" customHeight="true" outlineLevel="0" collapsed="false">
      <c r="A1" s="12" t="s">
        <v>10820</v>
      </c>
    </row>
    <row r="2" customFormat="false" ht="30" hidden="false" customHeight="true" outlineLevel="0" collapsed="false">
      <c r="A2" s="13" t="s">
        <v>74</v>
      </c>
      <c r="B2" s="13"/>
      <c r="C2" s="13"/>
      <c r="D2" s="13"/>
      <c r="E2" s="13"/>
      <c r="F2" s="13"/>
      <c r="G2" s="13"/>
      <c r="H2" s="13"/>
      <c r="I2" s="13"/>
      <c r="J2" s="13"/>
    </row>
    <row r="3" customFormat="false" ht="15" hidden="false" customHeight="false" outlineLevel="0" collapsed="false">
      <c r="A3" s="9" t="s">
        <v>10821</v>
      </c>
    </row>
    <row r="4" customFormat="false" ht="30" hidden="false" customHeight="true" outlineLevel="0" collapsed="false">
      <c r="A4" s="14" t="s">
        <v>398</v>
      </c>
      <c r="B4" s="14" t="s">
        <v>1006</v>
      </c>
      <c r="C4" s="14" t="s">
        <v>98</v>
      </c>
      <c r="D4" s="14" t="s">
        <v>1007</v>
      </c>
      <c r="E4" s="14" t="s">
        <v>220</v>
      </c>
      <c r="F4" s="14" t="s">
        <v>1008</v>
      </c>
      <c r="G4" s="14" t="s">
        <v>1009</v>
      </c>
      <c r="H4" s="14" t="s">
        <v>1010</v>
      </c>
      <c r="I4" s="14" t="s">
        <v>1011</v>
      </c>
      <c r="J4" s="14" t="s">
        <v>1012</v>
      </c>
      <c r="K4" s="14" t="s">
        <v>1013</v>
      </c>
      <c r="L4" s="14" t="s">
        <v>1014</v>
      </c>
      <c r="M4" s="14" t="s">
        <v>1015</v>
      </c>
      <c r="N4" s="14" t="s">
        <v>1016</v>
      </c>
      <c r="O4" s="14" t="s">
        <v>1017</v>
      </c>
      <c r="P4" s="14" t="s">
        <v>1018</v>
      </c>
    </row>
    <row r="5" customFormat="false" ht="22.35" hidden="false" customHeight="false" outlineLevel="0" collapsed="false">
      <c r="A5" s="22" t="s">
        <v>10822</v>
      </c>
      <c r="B5" s="17" t="s">
        <v>10823</v>
      </c>
      <c r="C5" s="17" t="s">
        <v>214</v>
      </c>
      <c r="D5" s="55" t="s">
        <v>10824</v>
      </c>
      <c r="E5" s="17" t="s">
        <v>230</v>
      </c>
      <c r="F5" s="56" t="s">
        <v>10825</v>
      </c>
      <c r="G5" s="17" t="s">
        <v>10826</v>
      </c>
      <c r="H5" s="17"/>
      <c r="I5" s="17"/>
      <c r="J5" s="17"/>
      <c r="K5" s="17"/>
      <c r="L5" s="17" t="s">
        <v>10827</v>
      </c>
      <c r="M5" s="17" t="s">
        <v>10828</v>
      </c>
      <c r="N5" s="15" t="s">
        <v>94</v>
      </c>
      <c r="O5" s="17" t="s">
        <v>9681</v>
      </c>
      <c r="P5" s="15" t="n">
        <v>632</v>
      </c>
    </row>
    <row r="6" customFormat="false" ht="22.35" hidden="false" customHeight="false" outlineLevel="0" collapsed="false">
      <c r="A6" s="57" t="s">
        <v>10829</v>
      </c>
      <c r="B6" s="58" t="s">
        <v>10823</v>
      </c>
      <c r="C6" s="58" t="s">
        <v>214</v>
      </c>
      <c r="D6" s="59" t="s">
        <v>10830</v>
      </c>
      <c r="E6" s="58" t="s">
        <v>230</v>
      </c>
      <c r="F6" s="60" t="s">
        <v>10831</v>
      </c>
      <c r="G6" s="58" t="s">
        <v>10832</v>
      </c>
      <c r="H6" s="58"/>
      <c r="I6" s="58"/>
      <c r="J6" s="58"/>
      <c r="K6" s="58"/>
      <c r="L6" s="58" t="s">
        <v>10827</v>
      </c>
      <c r="M6" s="58" t="s">
        <v>10833</v>
      </c>
      <c r="N6" s="61" t="s">
        <v>94</v>
      </c>
      <c r="O6" s="58" t="s">
        <v>9681</v>
      </c>
      <c r="P6" s="61" t="n">
        <v>633</v>
      </c>
    </row>
    <row r="7" customFormat="false" ht="22.35" hidden="false" customHeight="false" outlineLevel="0" collapsed="false">
      <c r="A7" s="22" t="s">
        <v>10834</v>
      </c>
      <c r="B7" s="17" t="s">
        <v>10823</v>
      </c>
      <c r="C7" s="17" t="s">
        <v>214</v>
      </c>
      <c r="D7" s="55" t="s">
        <v>10835</v>
      </c>
      <c r="E7" s="17" t="s">
        <v>230</v>
      </c>
      <c r="F7" s="56" t="s">
        <v>10836</v>
      </c>
      <c r="G7" s="17" t="s">
        <v>10837</v>
      </c>
      <c r="H7" s="17"/>
      <c r="I7" s="17"/>
      <c r="J7" s="17"/>
      <c r="K7" s="17"/>
      <c r="L7" s="17" t="s">
        <v>9785</v>
      </c>
      <c r="M7" s="17" t="s">
        <v>10838</v>
      </c>
      <c r="N7" s="15" t="s">
        <v>94</v>
      </c>
      <c r="O7" s="17" t="s">
        <v>9681</v>
      </c>
      <c r="P7" s="15" t="n">
        <v>660</v>
      </c>
    </row>
    <row r="8" customFormat="false" ht="32.8" hidden="false" customHeight="false" outlineLevel="0" collapsed="false">
      <c r="A8" s="57" t="s">
        <v>10839</v>
      </c>
      <c r="B8" s="58" t="s">
        <v>10823</v>
      </c>
      <c r="C8" s="58" t="s">
        <v>214</v>
      </c>
      <c r="D8" s="59" t="s">
        <v>10840</v>
      </c>
      <c r="E8" s="58" t="s">
        <v>230</v>
      </c>
      <c r="F8" s="60" t="s">
        <v>10841</v>
      </c>
      <c r="G8" s="58" t="s">
        <v>10842</v>
      </c>
      <c r="H8" s="58"/>
      <c r="I8" s="58"/>
      <c r="J8" s="58"/>
      <c r="K8" s="58"/>
      <c r="L8" s="58" t="s">
        <v>10843</v>
      </c>
      <c r="M8" s="58" t="s">
        <v>10844</v>
      </c>
      <c r="N8" s="61" t="s">
        <v>94</v>
      </c>
      <c r="O8" s="58" t="s">
        <v>9681</v>
      </c>
      <c r="P8" s="61" t="n">
        <v>776</v>
      </c>
    </row>
    <row r="9" customFormat="false" ht="32.8" hidden="false" customHeight="false" outlineLevel="0" collapsed="false">
      <c r="A9" s="22" t="s">
        <v>10845</v>
      </c>
      <c r="B9" s="17" t="s">
        <v>10823</v>
      </c>
      <c r="C9" s="17" t="s">
        <v>193</v>
      </c>
      <c r="D9" s="55" t="s">
        <v>10846</v>
      </c>
      <c r="E9" s="17" t="s">
        <v>230</v>
      </c>
      <c r="F9" s="56" t="s">
        <v>10847</v>
      </c>
      <c r="G9" s="17" t="s">
        <v>10848</v>
      </c>
      <c r="H9" s="17"/>
      <c r="I9" s="17"/>
      <c r="J9" s="17"/>
      <c r="K9" s="17"/>
      <c r="L9" s="17" t="s">
        <v>10849</v>
      </c>
      <c r="M9" s="17" t="s">
        <v>10850</v>
      </c>
      <c r="N9" s="15" t="s">
        <v>94</v>
      </c>
      <c r="O9" s="17" t="s">
        <v>9681</v>
      </c>
      <c r="P9" s="15" t="n">
        <v>353</v>
      </c>
    </row>
    <row r="10" customFormat="false" ht="22.35" hidden="false" customHeight="false" outlineLevel="0" collapsed="false">
      <c r="A10" s="57" t="s">
        <v>10851</v>
      </c>
      <c r="B10" s="58" t="s">
        <v>10823</v>
      </c>
      <c r="C10" s="58" t="s">
        <v>193</v>
      </c>
      <c r="D10" s="59" t="s">
        <v>10852</v>
      </c>
      <c r="E10" s="58" t="s">
        <v>230</v>
      </c>
      <c r="F10" s="60" t="s">
        <v>10853</v>
      </c>
      <c r="G10" s="58" t="s">
        <v>10854</v>
      </c>
      <c r="H10" s="58"/>
      <c r="I10" s="58"/>
      <c r="J10" s="58"/>
      <c r="K10" s="58"/>
      <c r="L10" s="58" t="s">
        <v>10849</v>
      </c>
      <c r="M10" s="58" t="s">
        <v>10850</v>
      </c>
      <c r="N10" s="61" t="s">
        <v>94</v>
      </c>
      <c r="O10" s="58" t="s">
        <v>9681</v>
      </c>
      <c r="P10" s="61" t="n">
        <v>356</v>
      </c>
    </row>
    <row r="11" customFormat="false" ht="32.8" hidden="false" customHeight="false" outlineLevel="0" collapsed="false">
      <c r="A11" s="22" t="s">
        <v>10855</v>
      </c>
      <c r="B11" s="17" t="s">
        <v>10823</v>
      </c>
      <c r="C11" s="17" t="s">
        <v>193</v>
      </c>
      <c r="D11" s="55" t="s">
        <v>10856</v>
      </c>
      <c r="E11" s="17" t="s">
        <v>230</v>
      </c>
      <c r="F11" s="56" t="s">
        <v>10857</v>
      </c>
      <c r="G11" s="17" t="s">
        <v>10858</v>
      </c>
      <c r="H11" s="17"/>
      <c r="I11" s="17"/>
      <c r="J11" s="17"/>
      <c r="K11" s="17"/>
      <c r="L11" s="17" t="s">
        <v>10859</v>
      </c>
      <c r="M11" s="17" t="s">
        <v>10860</v>
      </c>
      <c r="N11" s="15" t="s">
        <v>94</v>
      </c>
      <c r="O11" s="17" t="s">
        <v>9681</v>
      </c>
      <c r="P11" s="15" t="n">
        <v>372</v>
      </c>
    </row>
    <row r="12" customFormat="false" ht="22.35" hidden="false" customHeight="false" outlineLevel="0" collapsed="false">
      <c r="A12" s="57" t="s">
        <v>10861</v>
      </c>
      <c r="B12" s="58" t="s">
        <v>10823</v>
      </c>
      <c r="C12" s="58" t="s">
        <v>193</v>
      </c>
      <c r="D12" s="59" t="s">
        <v>10862</v>
      </c>
      <c r="E12" s="58" t="s">
        <v>230</v>
      </c>
      <c r="F12" s="60" t="s">
        <v>10863</v>
      </c>
      <c r="G12" s="58" t="s">
        <v>10864</v>
      </c>
      <c r="H12" s="58"/>
      <c r="I12" s="58"/>
      <c r="J12" s="58"/>
      <c r="K12" s="58"/>
      <c r="L12" s="58" t="s">
        <v>10865</v>
      </c>
      <c r="M12" s="58" t="s">
        <v>10860</v>
      </c>
      <c r="N12" s="61" t="s">
        <v>94</v>
      </c>
      <c r="O12" s="58" t="s">
        <v>9681</v>
      </c>
      <c r="P12" s="61" t="n">
        <v>373</v>
      </c>
    </row>
    <row r="13" customFormat="false" ht="22.35" hidden="false" customHeight="false" outlineLevel="0" collapsed="false">
      <c r="A13" s="22" t="s">
        <v>10866</v>
      </c>
      <c r="B13" s="17" t="s">
        <v>10823</v>
      </c>
      <c r="C13" s="17" t="s">
        <v>193</v>
      </c>
      <c r="D13" s="55" t="s">
        <v>10867</v>
      </c>
      <c r="E13" s="17" t="s">
        <v>230</v>
      </c>
      <c r="F13" s="56" t="s">
        <v>10868</v>
      </c>
      <c r="G13" s="17" t="s">
        <v>10869</v>
      </c>
      <c r="H13" s="17"/>
      <c r="I13" s="17"/>
      <c r="J13" s="17"/>
      <c r="K13" s="17"/>
      <c r="L13" s="17" t="s">
        <v>10870</v>
      </c>
      <c r="M13" s="17" t="s">
        <v>10828</v>
      </c>
      <c r="N13" s="15" t="s">
        <v>94</v>
      </c>
      <c r="O13" s="17" t="s">
        <v>9681</v>
      </c>
      <c r="P13" s="15" t="n">
        <v>374</v>
      </c>
    </row>
    <row r="14" customFormat="false" ht="22.35" hidden="false" customHeight="false" outlineLevel="0" collapsed="false">
      <c r="A14" s="57" t="s">
        <v>10871</v>
      </c>
      <c r="B14" s="58" t="s">
        <v>10823</v>
      </c>
      <c r="C14" s="58" t="s">
        <v>193</v>
      </c>
      <c r="D14" s="59" t="s">
        <v>10872</v>
      </c>
      <c r="E14" s="58" t="s">
        <v>230</v>
      </c>
      <c r="F14" s="60" t="s">
        <v>10873</v>
      </c>
      <c r="G14" s="58" t="s">
        <v>10874</v>
      </c>
      <c r="H14" s="58"/>
      <c r="I14" s="58"/>
      <c r="J14" s="58"/>
      <c r="K14" s="58"/>
      <c r="L14" s="58" t="s">
        <v>10870</v>
      </c>
      <c r="M14" s="58" t="s">
        <v>10860</v>
      </c>
      <c r="N14" s="61" t="s">
        <v>94</v>
      </c>
      <c r="O14" s="58" t="s">
        <v>9681</v>
      </c>
      <c r="P14" s="61" t="n">
        <v>375</v>
      </c>
    </row>
    <row r="15" customFormat="false" ht="32.8" hidden="false" customHeight="false" outlineLevel="0" collapsed="false">
      <c r="A15" s="22" t="s">
        <v>10875</v>
      </c>
      <c r="B15" s="17" t="s">
        <v>10823</v>
      </c>
      <c r="C15" s="17" t="s">
        <v>193</v>
      </c>
      <c r="D15" s="55" t="s">
        <v>10876</v>
      </c>
      <c r="E15" s="17" t="s">
        <v>230</v>
      </c>
      <c r="F15" s="56" t="s">
        <v>10877</v>
      </c>
      <c r="G15" s="17" t="s">
        <v>10878</v>
      </c>
      <c r="H15" s="17"/>
      <c r="I15" s="17"/>
      <c r="J15" s="17"/>
      <c r="K15" s="17"/>
      <c r="L15" s="17" t="s">
        <v>9852</v>
      </c>
      <c r="M15" s="17" t="s">
        <v>10850</v>
      </c>
      <c r="N15" s="15" t="s">
        <v>94</v>
      </c>
      <c r="O15" s="17" t="s">
        <v>9681</v>
      </c>
      <c r="P15" s="15" t="n">
        <v>385</v>
      </c>
    </row>
    <row r="16" customFormat="false" ht="32.8" hidden="false" customHeight="false" outlineLevel="0" collapsed="false">
      <c r="A16" s="57" t="s">
        <v>10879</v>
      </c>
      <c r="B16" s="58" t="s">
        <v>10823</v>
      </c>
      <c r="C16" s="58" t="s">
        <v>194</v>
      </c>
      <c r="D16" s="59" t="s">
        <v>10880</v>
      </c>
      <c r="E16" s="58" t="s">
        <v>230</v>
      </c>
      <c r="F16" s="60" t="s">
        <v>10881</v>
      </c>
      <c r="G16" s="58" t="s">
        <v>10882</v>
      </c>
      <c r="H16" s="58"/>
      <c r="I16" s="58"/>
      <c r="J16" s="58"/>
      <c r="K16" s="58"/>
      <c r="L16" s="58" t="s">
        <v>9702</v>
      </c>
      <c r="M16" s="58" t="s">
        <v>10860</v>
      </c>
      <c r="N16" s="61" t="s">
        <v>94</v>
      </c>
      <c r="O16" s="58" t="s">
        <v>9709</v>
      </c>
      <c r="P16" s="61" t="n">
        <v>90</v>
      </c>
    </row>
    <row r="17" customFormat="false" ht="32.8" hidden="false" customHeight="false" outlineLevel="0" collapsed="false">
      <c r="A17" s="22" t="s">
        <v>10883</v>
      </c>
      <c r="B17" s="17" t="s">
        <v>10823</v>
      </c>
      <c r="C17" s="17" t="s">
        <v>194</v>
      </c>
      <c r="D17" s="55" t="s">
        <v>10884</v>
      </c>
      <c r="E17" s="17" t="s">
        <v>230</v>
      </c>
      <c r="F17" s="56" t="s">
        <v>10885</v>
      </c>
      <c r="G17" s="17" t="s">
        <v>10886</v>
      </c>
      <c r="H17" s="17"/>
      <c r="I17" s="17"/>
      <c r="J17" s="17"/>
      <c r="K17" s="17"/>
      <c r="L17" s="17" t="s">
        <v>10887</v>
      </c>
      <c r="M17" s="17" t="s">
        <v>10888</v>
      </c>
      <c r="N17" s="15" t="s">
        <v>94</v>
      </c>
      <c r="O17" s="17" t="s">
        <v>9715</v>
      </c>
      <c r="P17" s="15" t="n">
        <v>88</v>
      </c>
    </row>
    <row r="18" customFormat="false" ht="32.8" hidden="false" customHeight="false" outlineLevel="0" collapsed="false">
      <c r="A18" s="57" t="s">
        <v>10889</v>
      </c>
      <c r="B18" s="58" t="s">
        <v>10823</v>
      </c>
      <c r="C18" s="58" t="s">
        <v>194</v>
      </c>
      <c r="D18" s="59" t="s">
        <v>10890</v>
      </c>
      <c r="E18" s="58" t="s">
        <v>230</v>
      </c>
      <c r="F18" s="60" t="s">
        <v>10891</v>
      </c>
      <c r="G18" s="58" t="s">
        <v>10892</v>
      </c>
      <c r="H18" s="58"/>
      <c r="I18" s="58"/>
      <c r="J18" s="58"/>
      <c r="K18" s="58"/>
      <c r="L18" s="58" t="s">
        <v>10893</v>
      </c>
      <c r="M18" s="58" t="s">
        <v>10860</v>
      </c>
      <c r="N18" s="61" t="s">
        <v>94</v>
      </c>
      <c r="O18" s="58" t="s">
        <v>9721</v>
      </c>
      <c r="P18" s="61" t="n">
        <v>96</v>
      </c>
    </row>
    <row r="19" customFormat="false" ht="22.35" hidden="false" customHeight="false" outlineLevel="0" collapsed="false">
      <c r="A19" s="22" t="s">
        <v>10894</v>
      </c>
      <c r="B19" s="17" t="s">
        <v>10823</v>
      </c>
      <c r="C19" s="17" t="s">
        <v>194</v>
      </c>
      <c r="D19" s="55" t="s">
        <v>10895</v>
      </c>
      <c r="E19" s="17" t="s">
        <v>230</v>
      </c>
      <c r="F19" s="56" t="s">
        <v>10896</v>
      </c>
      <c r="G19" s="17" t="s">
        <v>10897</v>
      </c>
      <c r="H19" s="17"/>
      <c r="I19" s="17"/>
      <c r="J19" s="17"/>
      <c r="K19" s="17"/>
      <c r="L19" s="17" t="s">
        <v>10898</v>
      </c>
      <c r="M19" s="17" t="s">
        <v>10899</v>
      </c>
      <c r="N19" s="15" t="s">
        <v>94</v>
      </c>
      <c r="O19" s="17" t="s">
        <v>9733</v>
      </c>
      <c r="P19" s="15" t="n">
        <v>89</v>
      </c>
    </row>
    <row r="20" customFormat="false" ht="22.35" hidden="false" customHeight="false" outlineLevel="0" collapsed="false">
      <c r="A20" s="57" t="s">
        <v>10900</v>
      </c>
      <c r="B20" s="58" t="s">
        <v>10823</v>
      </c>
      <c r="C20" s="58" t="s">
        <v>194</v>
      </c>
      <c r="D20" s="59" t="s">
        <v>10901</v>
      </c>
      <c r="E20" s="58" t="s">
        <v>230</v>
      </c>
      <c r="F20" s="60" t="s">
        <v>10902</v>
      </c>
      <c r="G20" s="58" t="s">
        <v>10903</v>
      </c>
      <c r="H20" s="58"/>
      <c r="I20" s="58"/>
      <c r="J20" s="58"/>
      <c r="K20" s="58"/>
      <c r="L20" s="58" t="s">
        <v>10904</v>
      </c>
      <c r="M20" s="58" t="s">
        <v>10905</v>
      </c>
      <c r="N20" s="61" t="s">
        <v>94</v>
      </c>
      <c r="O20" s="58" t="s">
        <v>9681</v>
      </c>
      <c r="P20" s="61" t="n">
        <v>731</v>
      </c>
    </row>
    <row r="21" customFormat="false" ht="22.35" hidden="false" customHeight="false" outlineLevel="0" collapsed="false">
      <c r="A21" s="22" t="s">
        <v>10906</v>
      </c>
      <c r="B21" s="17" t="s">
        <v>10823</v>
      </c>
      <c r="C21" s="17" t="s">
        <v>194</v>
      </c>
      <c r="D21" s="55" t="s">
        <v>10907</v>
      </c>
      <c r="E21" s="17" t="s">
        <v>230</v>
      </c>
      <c r="F21" s="56" t="s">
        <v>10908</v>
      </c>
      <c r="G21" s="17" t="s">
        <v>10909</v>
      </c>
      <c r="H21" s="17"/>
      <c r="I21" s="17"/>
      <c r="J21" s="17"/>
      <c r="K21" s="17"/>
      <c r="L21" s="17" t="s">
        <v>10910</v>
      </c>
      <c r="M21" s="17" t="s">
        <v>10911</v>
      </c>
      <c r="N21" s="15" t="s">
        <v>94</v>
      </c>
      <c r="O21" s="17" t="s">
        <v>9681</v>
      </c>
      <c r="P21" s="15" t="n">
        <v>1001</v>
      </c>
    </row>
    <row r="22" customFormat="false" ht="22.35" hidden="false" customHeight="false" outlineLevel="0" collapsed="false">
      <c r="A22" s="57" t="s">
        <v>10912</v>
      </c>
      <c r="B22" s="58" t="s">
        <v>10823</v>
      </c>
      <c r="C22" s="58" t="s">
        <v>194</v>
      </c>
      <c r="D22" s="59" t="s">
        <v>10913</v>
      </c>
      <c r="E22" s="58" t="s">
        <v>230</v>
      </c>
      <c r="F22" s="60" t="s">
        <v>10914</v>
      </c>
      <c r="G22" s="58" t="s">
        <v>10915</v>
      </c>
      <c r="H22" s="58"/>
      <c r="I22" s="58"/>
      <c r="J22" s="58"/>
      <c r="K22" s="58"/>
      <c r="L22" s="58" t="s">
        <v>10916</v>
      </c>
      <c r="M22" s="58" t="s">
        <v>10917</v>
      </c>
      <c r="N22" s="61" t="s">
        <v>94</v>
      </c>
      <c r="O22" s="58" t="s">
        <v>9681</v>
      </c>
      <c r="P22" s="61" t="n">
        <v>1033</v>
      </c>
    </row>
    <row r="23" customFormat="false" ht="32.8" hidden="false" customHeight="false" outlineLevel="0" collapsed="false">
      <c r="A23" s="22" t="s">
        <v>10918</v>
      </c>
      <c r="B23" s="17" t="s">
        <v>10823</v>
      </c>
      <c r="C23" s="17" t="s">
        <v>195</v>
      </c>
      <c r="D23" s="55" t="s">
        <v>10919</v>
      </c>
      <c r="E23" s="17" t="s">
        <v>230</v>
      </c>
      <c r="F23" s="56" t="s">
        <v>10920</v>
      </c>
      <c r="G23" s="17" t="s">
        <v>10921</v>
      </c>
      <c r="H23" s="17"/>
      <c r="I23" s="17"/>
      <c r="J23" s="17"/>
      <c r="K23" s="17" t="s">
        <v>439</v>
      </c>
      <c r="L23" s="17" t="s">
        <v>10922</v>
      </c>
      <c r="M23" s="17" t="s">
        <v>10850</v>
      </c>
      <c r="N23" s="15" t="s">
        <v>94</v>
      </c>
      <c r="O23" s="17" t="s">
        <v>9681</v>
      </c>
      <c r="P23" s="15" t="n">
        <v>480</v>
      </c>
    </row>
    <row r="24" customFormat="false" ht="22.35" hidden="false" customHeight="false" outlineLevel="0" collapsed="false">
      <c r="A24" s="57" t="s">
        <v>10923</v>
      </c>
      <c r="B24" s="58" t="s">
        <v>10823</v>
      </c>
      <c r="C24" s="58" t="s">
        <v>195</v>
      </c>
      <c r="D24" s="59" t="s">
        <v>10924</v>
      </c>
      <c r="E24" s="58" t="s">
        <v>230</v>
      </c>
      <c r="F24" s="60" t="s">
        <v>10925</v>
      </c>
      <c r="G24" s="58" t="s">
        <v>10926</v>
      </c>
      <c r="H24" s="58"/>
      <c r="I24" s="58"/>
      <c r="J24" s="58"/>
      <c r="K24" s="58" t="s">
        <v>439</v>
      </c>
      <c r="L24" s="58" t="s">
        <v>10927</v>
      </c>
      <c r="M24" s="58" t="s">
        <v>10850</v>
      </c>
      <c r="N24" s="61" t="s">
        <v>94</v>
      </c>
      <c r="O24" s="58" t="s">
        <v>9681</v>
      </c>
      <c r="P24" s="61" t="n">
        <v>523</v>
      </c>
    </row>
    <row r="25" customFormat="false" ht="22.35" hidden="false" customHeight="false" outlineLevel="0" collapsed="false">
      <c r="A25" s="22" t="s">
        <v>10928</v>
      </c>
      <c r="B25" s="17" t="s">
        <v>10823</v>
      </c>
      <c r="C25" s="17" t="s">
        <v>198</v>
      </c>
      <c r="D25" s="55" t="s">
        <v>10929</v>
      </c>
      <c r="E25" s="17" t="s">
        <v>230</v>
      </c>
      <c r="F25" s="56" t="s">
        <v>10930</v>
      </c>
      <c r="G25" s="17" t="s">
        <v>10931</v>
      </c>
      <c r="H25" s="17"/>
      <c r="I25" s="17"/>
      <c r="J25" s="17"/>
      <c r="K25" s="17" t="s">
        <v>492</v>
      </c>
      <c r="L25" s="17" t="s">
        <v>10932</v>
      </c>
      <c r="M25" s="17" t="s">
        <v>10933</v>
      </c>
      <c r="N25" s="15" t="s">
        <v>94</v>
      </c>
      <c r="O25" s="17" t="s">
        <v>9681</v>
      </c>
      <c r="P25" s="15" t="n">
        <v>1314</v>
      </c>
    </row>
    <row r="26" customFormat="false" ht="22.35" hidden="false" customHeight="false" outlineLevel="0" collapsed="false">
      <c r="A26" s="57" t="s">
        <v>10934</v>
      </c>
      <c r="B26" s="58" t="s">
        <v>10823</v>
      </c>
      <c r="C26" s="58" t="s">
        <v>198</v>
      </c>
      <c r="D26" s="59" t="s">
        <v>10935</v>
      </c>
      <c r="E26" s="58" t="s">
        <v>230</v>
      </c>
      <c r="F26" s="60" t="s">
        <v>10936</v>
      </c>
      <c r="G26" s="58" t="s">
        <v>10937</v>
      </c>
      <c r="H26" s="58"/>
      <c r="I26" s="58"/>
      <c r="J26" s="58"/>
      <c r="K26" s="58" t="s">
        <v>492</v>
      </c>
      <c r="L26" s="58" t="s">
        <v>10938</v>
      </c>
      <c r="M26" s="58" t="s">
        <v>10939</v>
      </c>
      <c r="N26" s="61" t="s">
        <v>94</v>
      </c>
      <c r="O26" s="58" t="s">
        <v>9681</v>
      </c>
      <c r="P26" s="61" t="n">
        <v>1316</v>
      </c>
    </row>
    <row r="27" customFormat="false" ht="22.35" hidden="false" customHeight="false" outlineLevel="0" collapsed="false">
      <c r="A27" s="22" t="s">
        <v>10940</v>
      </c>
      <c r="B27" s="17" t="s">
        <v>10823</v>
      </c>
      <c r="C27" s="17" t="s">
        <v>198</v>
      </c>
      <c r="D27" s="55" t="s">
        <v>10941</v>
      </c>
      <c r="E27" s="17" t="s">
        <v>230</v>
      </c>
      <c r="F27" s="56" t="s">
        <v>10942</v>
      </c>
      <c r="G27" s="17" t="s">
        <v>10943</v>
      </c>
      <c r="H27" s="17"/>
      <c r="I27" s="17"/>
      <c r="J27" s="17"/>
      <c r="K27" s="17" t="s">
        <v>512</v>
      </c>
      <c r="L27" s="17" t="s">
        <v>10944</v>
      </c>
      <c r="M27" s="17" t="s">
        <v>10945</v>
      </c>
      <c r="N27" s="15" t="s">
        <v>94</v>
      </c>
      <c r="O27" s="17" t="s">
        <v>9681</v>
      </c>
      <c r="P27" s="15" t="n">
        <v>1320</v>
      </c>
    </row>
    <row r="28" customFormat="false" ht="22.35" hidden="false" customHeight="false" outlineLevel="0" collapsed="false">
      <c r="A28" s="57" t="s">
        <v>10946</v>
      </c>
      <c r="B28" s="58" t="s">
        <v>10823</v>
      </c>
      <c r="C28" s="58" t="s">
        <v>198</v>
      </c>
      <c r="D28" s="59" t="s">
        <v>10947</v>
      </c>
      <c r="E28" s="58" t="s">
        <v>230</v>
      </c>
      <c r="F28" s="60" t="s">
        <v>10948</v>
      </c>
      <c r="G28" s="58" t="s">
        <v>10949</v>
      </c>
      <c r="H28" s="58"/>
      <c r="I28" s="58"/>
      <c r="J28" s="58"/>
      <c r="K28" s="58" t="s">
        <v>512</v>
      </c>
      <c r="L28" s="58" t="s">
        <v>10950</v>
      </c>
      <c r="M28" s="58" t="s">
        <v>10951</v>
      </c>
      <c r="N28" s="61" t="s">
        <v>94</v>
      </c>
      <c r="O28" s="58" t="s">
        <v>9926</v>
      </c>
      <c r="P28" s="61" t="n">
        <v>796</v>
      </c>
    </row>
    <row r="29" customFormat="false" ht="22.35" hidden="false" customHeight="false" outlineLevel="0" collapsed="false">
      <c r="A29" s="22" t="s">
        <v>10952</v>
      </c>
      <c r="B29" s="17" t="s">
        <v>10823</v>
      </c>
      <c r="C29" s="17" t="s">
        <v>198</v>
      </c>
      <c r="D29" s="55" t="s">
        <v>10953</v>
      </c>
      <c r="E29" s="17" t="s">
        <v>230</v>
      </c>
      <c r="F29" s="56" t="s">
        <v>10954</v>
      </c>
      <c r="G29" s="17" t="s">
        <v>10955</v>
      </c>
      <c r="H29" s="17"/>
      <c r="I29" s="17"/>
      <c r="J29" s="17"/>
      <c r="K29" s="17"/>
      <c r="L29" s="17" t="s">
        <v>10956</v>
      </c>
      <c r="M29" s="17" t="s">
        <v>10957</v>
      </c>
      <c r="N29" s="15" t="s">
        <v>94</v>
      </c>
      <c r="O29" s="17" t="s">
        <v>9926</v>
      </c>
      <c r="P29" s="15" t="n">
        <v>815</v>
      </c>
    </row>
    <row r="30" customFormat="false" ht="22.35" hidden="false" customHeight="false" outlineLevel="0" collapsed="false">
      <c r="A30" s="57" t="s">
        <v>10958</v>
      </c>
      <c r="B30" s="58" t="s">
        <v>10823</v>
      </c>
      <c r="C30" s="58" t="s">
        <v>200</v>
      </c>
      <c r="D30" s="59" t="s">
        <v>10959</v>
      </c>
      <c r="E30" s="58" t="s">
        <v>230</v>
      </c>
      <c r="F30" s="60" t="s">
        <v>10960</v>
      </c>
      <c r="G30" s="58" t="s">
        <v>10961</v>
      </c>
      <c r="H30" s="58"/>
      <c r="I30" s="58"/>
      <c r="J30" s="58"/>
      <c r="K30" s="58"/>
      <c r="L30" s="58" t="s">
        <v>10962</v>
      </c>
      <c r="M30" s="58" t="s">
        <v>10963</v>
      </c>
      <c r="N30" s="61" t="s">
        <v>94</v>
      </c>
      <c r="O30" s="58" t="s">
        <v>9681</v>
      </c>
      <c r="P30" s="61" t="n">
        <v>913</v>
      </c>
    </row>
    <row r="31" customFormat="false" ht="32.8" hidden="false" customHeight="false" outlineLevel="0" collapsed="false">
      <c r="A31" s="22" t="s">
        <v>10964</v>
      </c>
      <c r="B31" s="17" t="s">
        <v>10823</v>
      </c>
      <c r="C31" s="17" t="s">
        <v>200</v>
      </c>
      <c r="D31" s="55" t="s">
        <v>10965</v>
      </c>
      <c r="E31" s="17" t="s">
        <v>230</v>
      </c>
      <c r="F31" s="56" t="s">
        <v>10966</v>
      </c>
      <c r="G31" s="17" t="s">
        <v>10967</v>
      </c>
      <c r="H31" s="17"/>
      <c r="I31" s="17"/>
      <c r="J31" s="17"/>
      <c r="K31" s="17"/>
      <c r="L31" s="17" t="s">
        <v>10962</v>
      </c>
      <c r="M31" s="17" t="s">
        <v>10968</v>
      </c>
      <c r="N31" s="15" t="s">
        <v>94</v>
      </c>
      <c r="O31" s="17" t="s">
        <v>9681</v>
      </c>
      <c r="P31" s="15" t="n">
        <v>915</v>
      </c>
    </row>
    <row r="32" customFormat="false" ht="32.8" hidden="false" customHeight="false" outlineLevel="0" collapsed="false">
      <c r="A32" s="57" t="s">
        <v>10969</v>
      </c>
      <c r="B32" s="58" t="s">
        <v>10823</v>
      </c>
      <c r="C32" s="58" t="s">
        <v>200</v>
      </c>
      <c r="D32" s="59" t="s">
        <v>10970</v>
      </c>
      <c r="E32" s="58" t="s">
        <v>230</v>
      </c>
      <c r="F32" s="60" t="s">
        <v>10971</v>
      </c>
      <c r="G32" s="58" t="s">
        <v>10972</v>
      </c>
      <c r="H32" s="58"/>
      <c r="I32" s="58"/>
      <c r="J32" s="58"/>
      <c r="K32" s="58"/>
      <c r="L32" s="58" t="s">
        <v>10973</v>
      </c>
      <c r="M32" s="58" t="s">
        <v>10850</v>
      </c>
      <c r="N32" s="61" t="s">
        <v>94</v>
      </c>
      <c r="O32" s="58" t="s">
        <v>9926</v>
      </c>
      <c r="P32" s="61" t="n">
        <v>860</v>
      </c>
    </row>
    <row r="33" customFormat="false" ht="22.35" hidden="false" customHeight="false" outlineLevel="0" collapsed="false">
      <c r="A33" s="22" t="s">
        <v>10974</v>
      </c>
      <c r="B33" s="17" t="s">
        <v>10823</v>
      </c>
      <c r="C33" s="17" t="s">
        <v>201</v>
      </c>
      <c r="D33" s="55" t="s">
        <v>10975</v>
      </c>
      <c r="E33" s="17" t="s">
        <v>230</v>
      </c>
      <c r="F33" s="56" t="s">
        <v>10976</v>
      </c>
      <c r="G33" s="17" t="s">
        <v>10977</v>
      </c>
      <c r="H33" s="17"/>
      <c r="I33" s="17"/>
      <c r="J33" s="17"/>
      <c r="K33" s="17" t="s">
        <v>439</v>
      </c>
      <c r="L33" s="17" t="s">
        <v>10978</v>
      </c>
      <c r="M33" s="17" t="s">
        <v>10979</v>
      </c>
      <c r="N33" s="15" t="s">
        <v>94</v>
      </c>
      <c r="O33" s="17" t="s">
        <v>9681</v>
      </c>
      <c r="P33" s="15" t="n">
        <v>743</v>
      </c>
    </row>
    <row r="34" customFormat="false" ht="32.8" hidden="false" customHeight="false" outlineLevel="0" collapsed="false">
      <c r="A34" s="57" t="s">
        <v>10980</v>
      </c>
      <c r="B34" s="58" t="s">
        <v>10823</v>
      </c>
      <c r="C34" s="58" t="s">
        <v>201</v>
      </c>
      <c r="D34" s="59" t="s">
        <v>10981</v>
      </c>
      <c r="E34" s="58" t="s">
        <v>230</v>
      </c>
      <c r="F34" s="60" t="s">
        <v>10982</v>
      </c>
      <c r="G34" s="58" t="s">
        <v>10983</v>
      </c>
      <c r="H34" s="58"/>
      <c r="I34" s="58"/>
      <c r="J34" s="58"/>
      <c r="K34" s="58" t="s">
        <v>439</v>
      </c>
      <c r="L34" s="58" t="s">
        <v>10984</v>
      </c>
      <c r="M34" s="58" t="s">
        <v>10985</v>
      </c>
      <c r="N34" s="61" t="s">
        <v>94</v>
      </c>
      <c r="O34" s="58" t="s">
        <v>9681</v>
      </c>
      <c r="P34" s="61" t="n">
        <v>746</v>
      </c>
    </row>
    <row r="35" customFormat="false" ht="15" hidden="false" customHeight="false" outlineLevel="0" collapsed="false">
      <c r="A35" s="22" t="s">
        <v>10986</v>
      </c>
      <c r="B35" s="17" t="s">
        <v>10823</v>
      </c>
      <c r="C35" s="17" t="s">
        <v>201</v>
      </c>
      <c r="D35" s="55" t="s">
        <v>10987</v>
      </c>
      <c r="E35" s="17" t="s">
        <v>230</v>
      </c>
      <c r="F35" s="56" t="s">
        <v>10988</v>
      </c>
      <c r="G35" s="17" t="s">
        <v>10989</v>
      </c>
      <c r="H35" s="17"/>
      <c r="I35" s="17"/>
      <c r="J35" s="17"/>
      <c r="K35" s="17"/>
      <c r="L35" s="17" t="s">
        <v>9956</v>
      </c>
      <c r="M35" s="17" t="s">
        <v>10957</v>
      </c>
      <c r="N35" s="15" t="s">
        <v>94</v>
      </c>
      <c r="O35" s="17" t="s">
        <v>9681</v>
      </c>
      <c r="P35" s="15" t="n">
        <v>747</v>
      </c>
    </row>
    <row r="36" customFormat="false" ht="32.8" hidden="false" customHeight="false" outlineLevel="0" collapsed="false">
      <c r="A36" s="57" t="s">
        <v>10990</v>
      </c>
      <c r="B36" s="58" t="s">
        <v>10823</v>
      </c>
      <c r="C36" s="58" t="s">
        <v>202</v>
      </c>
      <c r="D36" s="59" t="s">
        <v>10991</v>
      </c>
      <c r="E36" s="58" t="s">
        <v>230</v>
      </c>
      <c r="F36" s="60" t="s">
        <v>10992</v>
      </c>
      <c r="G36" s="58" t="s">
        <v>10993</v>
      </c>
      <c r="H36" s="58"/>
      <c r="I36" s="58"/>
      <c r="J36" s="58"/>
      <c r="K36" s="58"/>
      <c r="L36" s="58" t="s">
        <v>10994</v>
      </c>
      <c r="M36" s="58" t="s">
        <v>10995</v>
      </c>
      <c r="N36" s="61" t="s">
        <v>94</v>
      </c>
      <c r="O36" s="58" t="s">
        <v>9681</v>
      </c>
      <c r="P36" s="61" t="n">
        <v>446</v>
      </c>
    </row>
    <row r="37" customFormat="false" ht="32.8" hidden="false" customHeight="false" outlineLevel="0" collapsed="false">
      <c r="A37" s="22" t="s">
        <v>10996</v>
      </c>
      <c r="B37" s="17" t="s">
        <v>10823</v>
      </c>
      <c r="C37" s="17" t="s">
        <v>202</v>
      </c>
      <c r="D37" s="55" t="s">
        <v>10997</v>
      </c>
      <c r="E37" s="17" t="s">
        <v>230</v>
      </c>
      <c r="F37" s="56" t="s">
        <v>10998</v>
      </c>
      <c r="G37" s="17" t="s">
        <v>10999</v>
      </c>
      <c r="H37" s="17"/>
      <c r="I37" s="17"/>
      <c r="J37" s="17"/>
      <c r="K37" s="17"/>
      <c r="L37" s="17" t="s">
        <v>11000</v>
      </c>
      <c r="M37" s="17" t="s">
        <v>11001</v>
      </c>
      <c r="N37" s="15" t="s">
        <v>94</v>
      </c>
      <c r="O37" s="17" t="s">
        <v>9926</v>
      </c>
      <c r="P37" s="15" t="n">
        <v>171</v>
      </c>
    </row>
    <row r="38" customFormat="false" ht="22.35" hidden="false" customHeight="false" outlineLevel="0" collapsed="false">
      <c r="A38" s="57" t="s">
        <v>11002</v>
      </c>
      <c r="B38" s="58" t="s">
        <v>10823</v>
      </c>
      <c r="C38" s="58" t="s">
        <v>204</v>
      </c>
      <c r="D38" s="59" t="s">
        <v>11003</v>
      </c>
      <c r="E38" s="58" t="s">
        <v>230</v>
      </c>
      <c r="F38" s="60" t="s">
        <v>11004</v>
      </c>
      <c r="G38" s="58" t="s">
        <v>11005</v>
      </c>
      <c r="H38" s="58"/>
      <c r="I38" s="58"/>
      <c r="J38" s="58"/>
      <c r="K38" s="58"/>
      <c r="L38" s="58" t="s">
        <v>10050</v>
      </c>
      <c r="M38" s="58" t="s">
        <v>10957</v>
      </c>
      <c r="N38" s="61" t="s">
        <v>94</v>
      </c>
      <c r="O38" s="58" t="s">
        <v>10054</v>
      </c>
      <c r="P38" s="61" t="n">
        <v>88</v>
      </c>
    </row>
    <row r="39" customFormat="false" ht="64.15" hidden="false" customHeight="false" outlineLevel="0" collapsed="false">
      <c r="A39" s="22" t="s">
        <v>11006</v>
      </c>
      <c r="B39" s="17" t="s">
        <v>10823</v>
      </c>
      <c r="C39" s="17" t="s">
        <v>204</v>
      </c>
      <c r="D39" s="55" t="s">
        <v>11007</v>
      </c>
      <c r="E39" s="17" t="s">
        <v>230</v>
      </c>
      <c r="F39" s="56" t="s">
        <v>11008</v>
      </c>
      <c r="G39" s="17" t="s">
        <v>11009</v>
      </c>
      <c r="H39" s="17"/>
      <c r="I39" s="17"/>
      <c r="J39" s="17"/>
      <c r="K39" s="17"/>
      <c r="L39" s="17" t="s">
        <v>11010</v>
      </c>
      <c r="M39" s="17" t="s">
        <v>11011</v>
      </c>
      <c r="N39" s="15" t="s">
        <v>94</v>
      </c>
      <c r="O39" s="17" t="s">
        <v>9681</v>
      </c>
      <c r="P39" s="15" t="n">
        <v>400</v>
      </c>
    </row>
    <row r="40" customFormat="false" ht="43.25" hidden="false" customHeight="false" outlineLevel="0" collapsed="false">
      <c r="A40" s="57" t="s">
        <v>11012</v>
      </c>
      <c r="B40" s="58" t="s">
        <v>10823</v>
      </c>
      <c r="C40" s="58" t="s">
        <v>204</v>
      </c>
      <c r="D40" s="59" t="s">
        <v>11013</v>
      </c>
      <c r="E40" s="58" t="s">
        <v>230</v>
      </c>
      <c r="F40" s="60" t="s">
        <v>11008</v>
      </c>
      <c r="G40" s="58" t="s">
        <v>11014</v>
      </c>
      <c r="H40" s="58"/>
      <c r="I40" s="58"/>
      <c r="J40" s="58"/>
      <c r="K40" s="58"/>
      <c r="L40" s="58" t="s">
        <v>11010</v>
      </c>
      <c r="M40" s="58" t="s">
        <v>11015</v>
      </c>
      <c r="N40" s="61" t="s">
        <v>94</v>
      </c>
      <c r="O40" s="58" t="s">
        <v>9681</v>
      </c>
      <c r="P40" s="61" t="n">
        <v>400</v>
      </c>
    </row>
    <row r="41" customFormat="false" ht="32.8" hidden="false" customHeight="false" outlineLevel="0" collapsed="false">
      <c r="A41" s="22" t="s">
        <v>11016</v>
      </c>
      <c r="B41" s="17" t="s">
        <v>10823</v>
      </c>
      <c r="C41" s="17" t="s">
        <v>204</v>
      </c>
      <c r="D41" s="55" t="s">
        <v>11017</v>
      </c>
      <c r="E41" s="17" t="s">
        <v>230</v>
      </c>
      <c r="F41" s="56" t="s">
        <v>11018</v>
      </c>
      <c r="G41" s="17" t="s">
        <v>11019</v>
      </c>
      <c r="H41" s="17"/>
      <c r="I41" s="17"/>
      <c r="J41" s="17"/>
      <c r="K41" s="17"/>
      <c r="L41" s="17" t="s">
        <v>11020</v>
      </c>
      <c r="M41" s="17" t="s">
        <v>11021</v>
      </c>
      <c r="N41" s="15" t="s">
        <v>94</v>
      </c>
      <c r="O41" s="17" t="s">
        <v>9681</v>
      </c>
      <c r="P41" s="15" t="n">
        <v>401</v>
      </c>
    </row>
    <row r="42" customFormat="false" ht="32.8" hidden="false" customHeight="false" outlineLevel="0" collapsed="false">
      <c r="A42" s="57" t="s">
        <v>11022</v>
      </c>
      <c r="B42" s="58" t="s">
        <v>10823</v>
      </c>
      <c r="C42" s="58" t="s">
        <v>204</v>
      </c>
      <c r="D42" s="59" t="s">
        <v>11023</v>
      </c>
      <c r="E42" s="58" t="s">
        <v>230</v>
      </c>
      <c r="F42" s="60" t="s">
        <v>11024</v>
      </c>
      <c r="G42" s="58" t="s">
        <v>11025</v>
      </c>
      <c r="H42" s="58"/>
      <c r="I42" s="58"/>
      <c r="J42" s="58"/>
      <c r="K42" s="58"/>
      <c r="L42" s="58" t="s">
        <v>11020</v>
      </c>
      <c r="M42" s="58" t="s">
        <v>11026</v>
      </c>
      <c r="N42" s="61" t="s">
        <v>94</v>
      </c>
      <c r="O42" s="58" t="s">
        <v>9681</v>
      </c>
      <c r="P42" s="61" t="n">
        <v>402</v>
      </c>
    </row>
    <row r="43" customFormat="false" ht="32.8" hidden="false" customHeight="false" outlineLevel="0" collapsed="false">
      <c r="A43" s="22" t="s">
        <v>11027</v>
      </c>
      <c r="B43" s="17" t="s">
        <v>10823</v>
      </c>
      <c r="C43" s="17" t="s">
        <v>204</v>
      </c>
      <c r="D43" s="55" t="s">
        <v>11028</v>
      </c>
      <c r="E43" s="17" t="s">
        <v>230</v>
      </c>
      <c r="F43" s="56" t="s">
        <v>11029</v>
      </c>
      <c r="G43" s="17" t="s">
        <v>11030</v>
      </c>
      <c r="H43" s="17"/>
      <c r="I43" s="17"/>
      <c r="J43" s="17"/>
      <c r="K43" s="17"/>
      <c r="L43" s="17" t="s">
        <v>11031</v>
      </c>
      <c r="M43" s="17" t="s">
        <v>11032</v>
      </c>
      <c r="N43" s="15" t="s">
        <v>94</v>
      </c>
      <c r="O43" s="17" t="s">
        <v>9681</v>
      </c>
      <c r="P43" s="15" t="n">
        <v>469</v>
      </c>
    </row>
    <row r="44" customFormat="false" ht="22.35" hidden="false" customHeight="false" outlineLevel="0" collapsed="false">
      <c r="A44" s="57" t="s">
        <v>11033</v>
      </c>
      <c r="B44" s="58" t="s">
        <v>10823</v>
      </c>
      <c r="C44" s="58" t="s">
        <v>204</v>
      </c>
      <c r="D44" s="59" t="s">
        <v>11034</v>
      </c>
      <c r="E44" s="58" t="s">
        <v>230</v>
      </c>
      <c r="F44" s="60" t="s">
        <v>11035</v>
      </c>
      <c r="G44" s="58" t="s">
        <v>11036</v>
      </c>
      <c r="H44" s="58"/>
      <c r="I44" s="58"/>
      <c r="J44" s="58"/>
      <c r="K44" s="58"/>
      <c r="L44" s="58" t="s">
        <v>11037</v>
      </c>
      <c r="M44" s="58" t="s">
        <v>11038</v>
      </c>
      <c r="N44" s="61" t="s">
        <v>94</v>
      </c>
      <c r="O44" s="58" t="s">
        <v>9681</v>
      </c>
      <c r="P44" s="61" t="n">
        <v>560</v>
      </c>
    </row>
    <row r="45" customFormat="false" ht="64.15" hidden="false" customHeight="false" outlineLevel="0" collapsed="false">
      <c r="A45" s="22" t="s">
        <v>11039</v>
      </c>
      <c r="B45" s="17" t="s">
        <v>10823</v>
      </c>
      <c r="C45" s="17" t="s">
        <v>204</v>
      </c>
      <c r="D45" s="55" t="s">
        <v>11040</v>
      </c>
      <c r="E45" s="17" t="s">
        <v>230</v>
      </c>
      <c r="F45" s="56" t="s">
        <v>11041</v>
      </c>
      <c r="G45" s="17" t="s">
        <v>11042</v>
      </c>
      <c r="H45" s="17"/>
      <c r="I45" s="17"/>
      <c r="J45" s="17"/>
      <c r="K45" s="17"/>
      <c r="L45" s="17" t="s">
        <v>11043</v>
      </c>
      <c r="M45" s="17" t="s">
        <v>11044</v>
      </c>
      <c r="N45" s="15" t="s">
        <v>94</v>
      </c>
      <c r="O45" s="17" t="s">
        <v>9681</v>
      </c>
      <c r="P45" s="15" t="n">
        <v>587</v>
      </c>
    </row>
    <row r="46" customFormat="false" ht="32.8" hidden="false" customHeight="false" outlineLevel="0" collapsed="false">
      <c r="A46" s="57" t="s">
        <v>11045</v>
      </c>
      <c r="B46" s="58" t="s">
        <v>10823</v>
      </c>
      <c r="C46" s="58" t="s">
        <v>204</v>
      </c>
      <c r="D46" s="59" t="s">
        <v>11046</v>
      </c>
      <c r="E46" s="58" t="s">
        <v>230</v>
      </c>
      <c r="F46" s="60" t="s">
        <v>11047</v>
      </c>
      <c r="G46" s="58" t="s">
        <v>11048</v>
      </c>
      <c r="H46" s="58"/>
      <c r="I46" s="58"/>
      <c r="J46" s="58"/>
      <c r="K46" s="58"/>
      <c r="L46" s="58" t="s">
        <v>10072</v>
      </c>
      <c r="M46" s="58" t="s">
        <v>10957</v>
      </c>
      <c r="N46" s="61" t="s">
        <v>94</v>
      </c>
      <c r="O46" s="58" t="s">
        <v>9681</v>
      </c>
      <c r="P46" s="61" t="n">
        <v>606</v>
      </c>
    </row>
    <row r="47" customFormat="false" ht="32.8" hidden="false" customHeight="false" outlineLevel="0" collapsed="false">
      <c r="A47" s="22" t="s">
        <v>11049</v>
      </c>
      <c r="B47" s="17" t="s">
        <v>10823</v>
      </c>
      <c r="C47" s="17" t="s">
        <v>204</v>
      </c>
      <c r="D47" s="55" t="s">
        <v>11050</v>
      </c>
      <c r="E47" s="17" t="s">
        <v>230</v>
      </c>
      <c r="F47" s="56" t="s">
        <v>11051</v>
      </c>
      <c r="G47" s="17" t="s">
        <v>11052</v>
      </c>
      <c r="H47" s="17"/>
      <c r="I47" s="17"/>
      <c r="J47" s="17"/>
      <c r="K47" s="17"/>
      <c r="L47" s="17" t="s">
        <v>10072</v>
      </c>
      <c r="M47" s="17" t="s">
        <v>10957</v>
      </c>
      <c r="N47" s="15" t="s">
        <v>94</v>
      </c>
      <c r="O47" s="17" t="s">
        <v>9681</v>
      </c>
      <c r="P47" s="15" t="n">
        <v>607</v>
      </c>
    </row>
    <row r="48" customFormat="false" ht="22.35" hidden="false" customHeight="false" outlineLevel="0" collapsed="false">
      <c r="A48" s="57" t="s">
        <v>11053</v>
      </c>
      <c r="B48" s="58" t="s">
        <v>10823</v>
      </c>
      <c r="C48" s="58" t="s">
        <v>204</v>
      </c>
      <c r="D48" s="59" t="s">
        <v>11054</v>
      </c>
      <c r="E48" s="58" t="s">
        <v>230</v>
      </c>
      <c r="F48" s="60" t="s">
        <v>11055</v>
      </c>
      <c r="G48" s="58" t="s">
        <v>11056</v>
      </c>
      <c r="H48" s="58"/>
      <c r="I48" s="58"/>
      <c r="J48" s="58"/>
      <c r="K48" s="58"/>
      <c r="L48" s="58" t="s">
        <v>11057</v>
      </c>
      <c r="M48" s="58" t="s">
        <v>10957</v>
      </c>
      <c r="N48" s="61" t="s">
        <v>94</v>
      </c>
      <c r="O48" s="58" t="s">
        <v>9681</v>
      </c>
      <c r="P48" s="61" t="n">
        <v>1272</v>
      </c>
    </row>
    <row r="49" customFormat="false" ht="22.35" hidden="false" customHeight="false" outlineLevel="0" collapsed="false">
      <c r="A49" s="22" t="s">
        <v>11058</v>
      </c>
      <c r="B49" s="17" t="s">
        <v>10823</v>
      </c>
      <c r="C49" s="17" t="s">
        <v>204</v>
      </c>
      <c r="D49" s="55" t="s">
        <v>11059</v>
      </c>
      <c r="E49" s="17" t="s">
        <v>230</v>
      </c>
      <c r="F49" s="56" t="s">
        <v>11060</v>
      </c>
      <c r="G49" s="17" t="s">
        <v>11061</v>
      </c>
      <c r="H49" s="17"/>
      <c r="I49" s="17"/>
      <c r="J49" s="17"/>
      <c r="K49" s="17"/>
      <c r="L49" s="17" t="s">
        <v>11057</v>
      </c>
      <c r="M49" s="17" t="s">
        <v>10957</v>
      </c>
      <c r="N49" s="15" t="s">
        <v>94</v>
      </c>
      <c r="O49" s="17" t="s">
        <v>9681</v>
      </c>
      <c r="P49" s="15" t="n">
        <v>1277</v>
      </c>
    </row>
    <row r="50" customFormat="false" ht="32.8" hidden="false" customHeight="false" outlineLevel="0" collapsed="false">
      <c r="A50" s="57" t="s">
        <v>11062</v>
      </c>
      <c r="B50" s="58" t="s">
        <v>10823</v>
      </c>
      <c r="C50" s="58" t="s">
        <v>204</v>
      </c>
      <c r="D50" s="59" t="s">
        <v>11063</v>
      </c>
      <c r="E50" s="58" t="s">
        <v>230</v>
      </c>
      <c r="F50" s="60" t="s">
        <v>11064</v>
      </c>
      <c r="G50" s="58" t="s">
        <v>11065</v>
      </c>
      <c r="H50" s="58"/>
      <c r="I50" s="58"/>
      <c r="J50" s="58"/>
      <c r="K50" s="58"/>
      <c r="L50" s="58" t="s">
        <v>11066</v>
      </c>
      <c r="M50" s="58" t="s">
        <v>10850</v>
      </c>
      <c r="N50" s="61" t="s">
        <v>94</v>
      </c>
      <c r="O50" s="58" t="s">
        <v>9926</v>
      </c>
      <c r="P50" s="61" t="n">
        <v>152</v>
      </c>
    </row>
    <row r="51" customFormat="false" ht="22.35" hidden="false" customHeight="false" outlineLevel="0" collapsed="false">
      <c r="A51" s="22" t="s">
        <v>11067</v>
      </c>
      <c r="B51" s="17" t="s">
        <v>10823</v>
      </c>
      <c r="C51" s="17" t="s">
        <v>204</v>
      </c>
      <c r="D51" s="55" t="s">
        <v>11068</v>
      </c>
      <c r="E51" s="17" t="s">
        <v>230</v>
      </c>
      <c r="F51" s="56" t="s">
        <v>11069</v>
      </c>
      <c r="G51" s="17" t="s">
        <v>11070</v>
      </c>
      <c r="H51" s="17"/>
      <c r="I51" s="17"/>
      <c r="J51" s="17"/>
      <c r="K51" s="17"/>
      <c r="L51" s="17" t="s">
        <v>11071</v>
      </c>
      <c r="M51" s="17" t="s">
        <v>10957</v>
      </c>
      <c r="N51" s="15" t="s">
        <v>94</v>
      </c>
      <c r="O51" s="17" t="s">
        <v>9926</v>
      </c>
      <c r="P51" s="15" t="n">
        <v>161</v>
      </c>
    </row>
    <row r="52" customFormat="false" ht="43.25" hidden="false" customHeight="false" outlineLevel="0" collapsed="false">
      <c r="A52" s="57" t="s">
        <v>11072</v>
      </c>
      <c r="B52" s="58" t="s">
        <v>10823</v>
      </c>
      <c r="C52" s="58" t="s">
        <v>204</v>
      </c>
      <c r="D52" s="59" t="s">
        <v>11073</v>
      </c>
      <c r="E52" s="58" t="s">
        <v>230</v>
      </c>
      <c r="F52" s="60" t="s">
        <v>11074</v>
      </c>
      <c r="G52" s="58" t="s">
        <v>11075</v>
      </c>
      <c r="H52" s="58"/>
      <c r="I52" s="58"/>
      <c r="J52" s="58"/>
      <c r="K52" s="58"/>
      <c r="L52" s="58" t="s">
        <v>11076</v>
      </c>
      <c r="M52" s="58" t="s">
        <v>10850</v>
      </c>
      <c r="N52" s="61" t="s">
        <v>94</v>
      </c>
      <c r="O52" s="58" t="s">
        <v>9926</v>
      </c>
      <c r="P52" s="61" t="n">
        <v>227</v>
      </c>
    </row>
    <row r="53" customFormat="false" ht="22.35" hidden="false" customHeight="false" outlineLevel="0" collapsed="false">
      <c r="A53" s="22" t="s">
        <v>11077</v>
      </c>
      <c r="B53" s="17" t="s">
        <v>10823</v>
      </c>
      <c r="C53" s="17" t="s">
        <v>204</v>
      </c>
      <c r="D53" s="55" t="s">
        <v>11078</v>
      </c>
      <c r="E53" s="17" t="s">
        <v>230</v>
      </c>
      <c r="F53" s="56" t="s">
        <v>11079</v>
      </c>
      <c r="G53" s="17" t="s">
        <v>11080</v>
      </c>
      <c r="H53" s="17"/>
      <c r="I53" s="17"/>
      <c r="J53" s="17"/>
      <c r="K53" s="17"/>
      <c r="L53" s="17" t="s">
        <v>11081</v>
      </c>
      <c r="M53" s="17" t="s">
        <v>10850</v>
      </c>
      <c r="N53" s="15" t="s">
        <v>94</v>
      </c>
      <c r="O53" s="17" t="s">
        <v>9926</v>
      </c>
      <c r="P53" s="15" t="n">
        <v>277</v>
      </c>
    </row>
    <row r="54" customFormat="false" ht="22.35" hidden="false" customHeight="false" outlineLevel="0" collapsed="false">
      <c r="A54" s="57" t="s">
        <v>11082</v>
      </c>
      <c r="B54" s="58" t="s">
        <v>10823</v>
      </c>
      <c r="C54" s="58" t="s">
        <v>204</v>
      </c>
      <c r="D54" s="59" t="s">
        <v>11083</v>
      </c>
      <c r="E54" s="58" t="s">
        <v>230</v>
      </c>
      <c r="F54" s="60" t="s">
        <v>11084</v>
      </c>
      <c r="G54" s="58" t="s">
        <v>11085</v>
      </c>
      <c r="H54" s="58"/>
      <c r="I54" s="58"/>
      <c r="J54" s="58"/>
      <c r="K54" s="58"/>
      <c r="L54" s="58" t="s">
        <v>11086</v>
      </c>
      <c r="M54" s="58" t="s">
        <v>10957</v>
      </c>
      <c r="N54" s="61" t="s">
        <v>94</v>
      </c>
      <c r="O54" s="58" t="s">
        <v>9926</v>
      </c>
      <c r="P54" s="61" t="n">
        <v>451</v>
      </c>
    </row>
    <row r="55" customFormat="false" ht="22.35" hidden="false" customHeight="false" outlineLevel="0" collapsed="false">
      <c r="A55" s="22" t="s">
        <v>11087</v>
      </c>
      <c r="B55" s="17" t="s">
        <v>10823</v>
      </c>
      <c r="C55" s="17" t="s">
        <v>204</v>
      </c>
      <c r="D55" s="55" t="s">
        <v>11088</v>
      </c>
      <c r="E55" s="17" t="s">
        <v>230</v>
      </c>
      <c r="F55" s="56" t="s">
        <v>11089</v>
      </c>
      <c r="G55" s="17" t="s">
        <v>11090</v>
      </c>
      <c r="H55" s="17"/>
      <c r="I55" s="17"/>
      <c r="J55" s="17"/>
      <c r="K55" s="17"/>
      <c r="L55" s="17" t="s">
        <v>11091</v>
      </c>
      <c r="M55" s="17" t="s">
        <v>10860</v>
      </c>
      <c r="N55" s="15" t="s">
        <v>94</v>
      </c>
      <c r="O55" s="17" t="s">
        <v>9926</v>
      </c>
      <c r="P55" s="15" t="n">
        <v>640</v>
      </c>
    </row>
    <row r="56" customFormat="false" ht="32.8" hidden="false" customHeight="false" outlineLevel="0" collapsed="false">
      <c r="A56" s="57" t="s">
        <v>11092</v>
      </c>
      <c r="B56" s="58" t="s">
        <v>10823</v>
      </c>
      <c r="C56" s="58" t="s">
        <v>204</v>
      </c>
      <c r="D56" s="59" t="s">
        <v>11093</v>
      </c>
      <c r="E56" s="58" t="s">
        <v>230</v>
      </c>
      <c r="F56" s="60" t="s">
        <v>11094</v>
      </c>
      <c r="G56" s="58" t="s">
        <v>11095</v>
      </c>
      <c r="H56" s="58"/>
      <c r="I56" s="58"/>
      <c r="J56" s="58"/>
      <c r="K56" s="58"/>
      <c r="L56" s="58" t="s">
        <v>11096</v>
      </c>
      <c r="M56" s="58" t="s">
        <v>11097</v>
      </c>
      <c r="N56" s="61" t="s">
        <v>94</v>
      </c>
      <c r="O56" s="58" t="s">
        <v>9926</v>
      </c>
      <c r="P56" s="61" t="n">
        <v>980</v>
      </c>
    </row>
    <row r="57" customFormat="false" ht="15" hidden="false" customHeight="false" outlineLevel="0" collapsed="false">
      <c r="A57" s="22" t="s">
        <v>11098</v>
      </c>
      <c r="B57" s="17" t="s">
        <v>10823</v>
      </c>
      <c r="C57" s="17" t="s">
        <v>204</v>
      </c>
      <c r="D57" s="55" t="s">
        <v>11099</v>
      </c>
      <c r="E57" s="17" t="s">
        <v>230</v>
      </c>
      <c r="F57" s="56" t="s">
        <v>11100</v>
      </c>
      <c r="G57" s="17" t="s">
        <v>11101</v>
      </c>
      <c r="H57" s="17"/>
      <c r="I57" s="17"/>
      <c r="J57" s="17"/>
      <c r="K57" s="17"/>
      <c r="L57" s="17" t="s">
        <v>11102</v>
      </c>
      <c r="M57" s="17" t="s">
        <v>10850</v>
      </c>
      <c r="N57" s="15" t="s">
        <v>94</v>
      </c>
      <c r="O57" s="17" t="s">
        <v>9926</v>
      </c>
      <c r="P57" s="15" t="n">
        <v>1036</v>
      </c>
    </row>
    <row r="58" customFormat="false" ht="15" hidden="false" customHeight="false" outlineLevel="0" collapsed="false">
      <c r="A58" s="57" t="s">
        <v>11103</v>
      </c>
      <c r="B58" s="58" t="s">
        <v>10823</v>
      </c>
      <c r="C58" s="58" t="s">
        <v>204</v>
      </c>
      <c r="D58" s="59" t="s">
        <v>11104</v>
      </c>
      <c r="E58" s="58" t="s">
        <v>230</v>
      </c>
      <c r="F58" s="60" t="s">
        <v>11105</v>
      </c>
      <c r="G58" s="58" t="s">
        <v>11106</v>
      </c>
      <c r="H58" s="58"/>
      <c r="I58" s="58"/>
      <c r="J58" s="58"/>
      <c r="K58" s="58"/>
      <c r="L58" s="58" t="s">
        <v>11107</v>
      </c>
      <c r="M58" s="58" t="s">
        <v>10850</v>
      </c>
      <c r="N58" s="61" t="s">
        <v>94</v>
      </c>
      <c r="O58" s="58" t="s">
        <v>9926</v>
      </c>
      <c r="P58" s="61" t="n">
        <v>1130</v>
      </c>
    </row>
    <row r="59" customFormat="false" ht="32.8" hidden="false" customHeight="false" outlineLevel="0" collapsed="false">
      <c r="A59" s="22" t="s">
        <v>11108</v>
      </c>
      <c r="B59" s="17" t="s">
        <v>10823</v>
      </c>
      <c r="C59" s="17" t="s">
        <v>204</v>
      </c>
      <c r="D59" s="55" t="s">
        <v>11109</v>
      </c>
      <c r="E59" s="17" t="s">
        <v>230</v>
      </c>
      <c r="F59" s="56" t="s">
        <v>11110</v>
      </c>
      <c r="G59" s="17" t="s">
        <v>11111</v>
      </c>
      <c r="H59" s="17"/>
      <c r="I59" s="17"/>
      <c r="J59" s="17"/>
      <c r="K59" s="17" t="s">
        <v>11112</v>
      </c>
      <c r="L59" s="17" t="s">
        <v>11113</v>
      </c>
      <c r="M59" s="17" t="s">
        <v>11114</v>
      </c>
      <c r="N59" s="15" t="s">
        <v>94</v>
      </c>
      <c r="O59" s="17" t="s">
        <v>10000</v>
      </c>
      <c r="P59" s="15" t="n">
        <v>92</v>
      </c>
    </row>
    <row r="60" customFormat="false" ht="32.8" hidden="false" customHeight="false" outlineLevel="0" collapsed="false">
      <c r="A60" s="57" t="s">
        <v>11115</v>
      </c>
      <c r="B60" s="58" t="s">
        <v>10823</v>
      </c>
      <c r="C60" s="58" t="s">
        <v>215</v>
      </c>
      <c r="D60" s="59" t="s">
        <v>11116</v>
      </c>
      <c r="E60" s="58" t="s">
        <v>230</v>
      </c>
      <c r="F60" s="60" t="s">
        <v>11117</v>
      </c>
      <c r="G60" s="58" t="s">
        <v>11118</v>
      </c>
      <c r="H60" s="58"/>
      <c r="I60" s="58"/>
      <c r="J60" s="58"/>
      <c r="K60" s="58"/>
      <c r="L60" s="58" t="s">
        <v>11119</v>
      </c>
      <c r="M60" s="58" t="s">
        <v>11120</v>
      </c>
      <c r="N60" s="61" t="s">
        <v>94</v>
      </c>
      <c r="O60" s="58" t="s">
        <v>10539</v>
      </c>
      <c r="P60" s="61" t="n">
        <v>82</v>
      </c>
    </row>
    <row r="61" customFormat="false" ht="32.8" hidden="false" customHeight="false" outlineLevel="0" collapsed="false">
      <c r="A61" s="22" t="s">
        <v>11121</v>
      </c>
      <c r="B61" s="17" t="s">
        <v>10823</v>
      </c>
      <c r="C61" s="17" t="s">
        <v>215</v>
      </c>
      <c r="D61" s="55" t="s">
        <v>11122</v>
      </c>
      <c r="E61" s="17" t="s">
        <v>230</v>
      </c>
      <c r="F61" s="56" t="s">
        <v>11123</v>
      </c>
      <c r="G61" s="17" t="s">
        <v>11124</v>
      </c>
      <c r="H61" s="17"/>
      <c r="I61" s="17"/>
      <c r="J61" s="17"/>
      <c r="K61" s="17"/>
      <c r="L61" s="17" t="s">
        <v>11125</v>
      </c>
      <c r="M61" s="17" t="s">
        <v>11126</v>
      </c>
      <c r="N61" s="15" t="s">
        <v>94</v>
      </c>
      <c r="O61" s="17" t="s">
        <v>10539</v>
      </c>
      <c r="P61" s="15" t="n">
        <v>87</v>
      </c>
    </row>
    <row r="62" customFormat="false" ht="43.25" hidden="false" customHeight="false" outlineLevel="0" collapsed="false">
      <c r="A62" s="57" t="s">
        <v>11127</v>
      </c>
      <c r="B62" s="58" t="s">
        <v>10823</v>
      </c>
      <c r="C62" s="58" t="s">
        <v>216</v>
      </c>
      <c r="D62" s="59" t="s">
        <v>11128</v>
      </c>
      <c r="E62" s="58" t="s">
        <v>230</v>
      </c>
      <c r="F62" s="60" t="s">
        <v>11129</v>
      </c>
      <c r="G62" s="58" t="s">
        <v>11130</v>
      </c>
      <c r="H62" s="58"/>
      <c r="I62" s="58"/>
      <c r="J62" s="58"/>
      <c r="K62" s="58" t="s">
        <v>665</v>
      </c>
      <c r="L62" s="58" t="s">
        <v>11131</v>
      </c>
      <c r="M62" s="58" t="s">
        <v>11132</v>
      </c>
      <c r="N62" s="61" t="s">
        <v>94</v>
      </c>
      <c r="O62" s="58" t="s">
        <v>9681</v>
      </c>
      <c r="P62" s="61" t="n">
        <v>570</v>
      </c>
    </row>
    <row r="63" customFormat="false" ht="32.8" hidden="false" customHeight="false" outlineLevel="0" collapsed="false">
      <c r="A63" s="22" t="s">
        <v>11133</v>
      </c>
      <c r="B63" s="17" t="s">
        <v>10823</v>
      </c>
      <c r="C63" s="17" t="s">
        <v>216</v>
      </c>
      <c r="D63" s="55" t="s">
        <v>11134</v>
      </c>
      <c r="E63" s="17" t="s">
        <v>230</v>
      </c>
      <c r="F63" s="56" t="s">
        <v>11135</v>
      </c>
      <c r="G63" s="17" t="s">
        <v>11136</v>
      </c>
      <c r="H63" s="17"/>
      <c r="I63" s="17"/>
      <c r="J63" s="17"/>
      <c r="K63" s="17" t="s">
        <v>918</v>
      </c>
      <c r="L63" s="17" t="s">
        <v>11137</v>
      </c>
      <c r="M63" s="17" t="s">
        <v>11138</v>
      </c>
      <c r="N63" s="15" t="s">
        <v>94</v>
      </c>
      <c r="O63" s="17" t="s">
        <v>9681</v>
      </c>
      <c r="P63" s="15" t="n">
        <v>1332</v>
      </c>
    </row>
  </sheetData>
  <autoFilter ref="A4:P63"/>
  <mergeCells count="1">
    <mergeCell ref="A2:J2"/>
  </mergeCells>
  <printOptions headings="false" gridLines="false" gridLinesSet="true" horizontalCentered="true" verticalCentered="false"/>
  <pageMargins left="0.4" right="0.4" top="0.5" bottom="0.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&amp;LiW-ASCEJ-01-API-Reference-R1.0-REL1.0&amp;C&amp;A&amp;RPage &amp;P of &amp;N</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P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8"/>
    <col collapsed="false" customWidth="true" hidden="false" outlineLevel="0" max="4" min="4" style="0" width="30"/>
    <col collapsed="false" customWidth="true" hidden="false" outlineLevel="0" max="5" min="5" style="0" width="12"/>
    <col collapsed="false" customWidth="true" hidden="false" outlineLevel="0" max="6" min="6" style="0" width="46"/>
    <col collapsed="false" customWidth="true" hidden="false" outlineLevel="0" max="7" min="7" style="0" width="52"/>
    <col collapsed="false" customWidth="true" hidden="false" outlineLevel="0" max="9" min="8" style="0" width="34"/>
    <col collapsed="false" customWidth="true" hidden="false" outlineLevel="0" max="10" min="10" style="0" width="46"/>
    <col collapsed="false" customWidth="true" hidden="false" outlineLevel="0" max="11" min="11" style="0" width="10"/>
    <col collapsed="false" customWidth="true" hidden="false" outlineLevel="0" max="12" min="12" style="0" width="34"/>
    <col collapsed="false" customWidth="true" hidden="false" outlineLevel="0" max="13" min="13" style="0" width="40"/>
    <col collapsed="false" customWidth="true" hidden="false" outlineLevel="0" max="14" min="14" style="0" width="6"/>
    <col collapsed="false" customWidth="true" hidden="false" outlineLevel="0" max="15" min="15" style="0" width="46"/>
    <col collapsed="false" customWidth="true" hidden="false" outlineLevel="0" max="16" min="16" style="0" width="7"/>
  </cols>
  <sheetData>
    <row r="1" customFormat="false" ht="25.5" hidden="false" customHeight="true" outlineLevel="0" collapsed="false">
      <c r="A1" s="12" t="s">
        <v>11139</v>
      </c>
    </row>
    <row r="2" customFormat="false" ht="30" hidden="false" customHeight="true" outlineLevel="0" collapsed="false">
      <c r="A2" s="13" t="s">
        <v>76</v>
      </c>
      <c r="B2" s="13"/>
      <c r="C2" s="13"/>
      <c r="D2" s="13"/>
      <c r="E2" s="13"/>
      <c r="F2" s="13"/>
      <c r="G2" s="13"/>
      <c r="H2" s="13"/>
      <c r="I2" s="13"/>
      <c r="J2" s="13"/>
    </row>
    <row r="3" customFormat="false" ht="15" hidden="false" customHeight="false" outlineLevel="0" collapsed="false">
      <c r="A3" s="9" t="s">
        <v>11140</v>
      </c>
    </row>
    <row r="4" customFormat="false" ht="30" hidden="false" customHeight="true" outlineLevel="0" collapsed="false">
      <c r="A4" s="14" t="s">
        <v>398</v>
      </c>
      <c r="B4" s="14" t="s">
        <v>1006</v>
      </c>
      <c r="C4" s="14" t="s">
        <v>98</v>
      </c>
      <c r="D4" s="14" t="s">
        <v>1007</v>
      </c>
      <c r="E4" s="14" t="s">
        <v>220</v>
      </c>
      <c r="F4" s="14" t="s">
        <v>1008</v>
      </c>
      <c r="G4" s="14" t="s">
        <v>1009</v>
      </c>
      <c r="H4" s="14" t="s">
        <v>1010</v>
      </c>
      <c r="I4" s="14" t="s">
        <v>1011</v>
      </c>
      <c r="J4" s="14" t="s">
        <v>1012</v>
      </c>
      <c r="K4" s="14" t="s">
        <v>1013</v>
      </c>
      <c r="L4" s="14" t="s">
        <v>1014</v>
      </c>
      <c r="M4" s="14" t="s">
        <v>1015</v>
      </c>
      <c r="N4" s="14" t="s">
        <v>1016</v>
      </c>
      <c r="O4" s="14" t="s">
        <v>1017</v>
      </c>
      <c r="P4" s="14" t="s">
        <v>1018</v>
      </c>
    </row>
    <row r="5" customFormat="false" ht="22.35" hidden="false" customHeight="false" outlineLevel="0" collapsed="false">
      <c r="A5" s="22" t="s">
        <v>11141</v>
      </c>
      <c r="B5" s="17" t="s">
        <v>11142</v>
      </c>
      <c r="C5" s="17" t="s">
        <v>217</v>
      </c>
      <c r="D5" s="55" t="s">
        <v>11143</v>
      </c>
      <c r="E5" s="17" t="s">
        <v>222</v>
      </c>
      <c r="F5" s="56" t="s">
        <v>11144</v>
      </c>
      <c r="G5" s="17" t="s">
        <v>11145</v>
      </c>
      <c r="H5" s="17" t="s">
        <v>11146</v>
      </c>
      <c r="I5" s="17" t="s">
        <v>11147</v>
      </c>
      <c r="J5" s="17"/>
      <c r="K5" s="17"/>
      <c r="L5" s="17" t="s">
        <v>11148</v>
      </c>
      <c r="M5" s="17"/>
      <c r="N5" s="15" t="s">
        <v>91</v>
      </c>
      <c r="O5" s="17" t="s">
        <v>11149</v>
      </c>
      <c r="P5" s="15" t="n">
        <v>30</v>
      </c>
    </row>
    <row r="6" customFormat="false" ht="22.35" hidden="false" customHeight="false" outlineLevel="0" collapsed="false">
      <c r="A6" s="57" t="s">
        <v>11150</v>
      </c>
      <c r="B6" s="58" t="s">
        <v>11142</v>
      </c>
      <c r="C6" s="58" t="s">
        <v>217</v>
      </c>
      <c r="D6" s="59" t="s">
        <v>11151</v>
      </c>
      <c r="E6" s="58" t="s">
        <v>222</v>
      </c>
      <c r="F6" s="60" t="s">
        <v>11152</v>
      </c>
      <c r="G6" s="58" t="s">
        <v>11153</v>
      </c>
      <c r="H6" s="58" t="s">
        <v>11154</v>
      </c>
      <c r="I6" s="58" t="s">
        <v>11155</v>
      </c>
      <c r="J6" s="58"/>
      <c r="K6" s="58"/>
      <c r="L6" s="58" t="s">
        <v>11156</v>
      </c>
      <c r="M6" s="58" t="s">
        <v>11157</v>
      </c>
      <c r="N6" s="61" t="s">
        <v>91</v>
      </c>
      <c r="O6" s="58" t="s">
        <v>11149</v>
      </c>
      <c r="P6" s="61" t="n">
        <v>59</v>
      </c>
    </row>
    <row r="7" customFormat="false" ht="22.35" hidden="false" customHeight="false" outlineLevel="0" collapsed="false">
      <c r="A7" s="22" t="s">
        <v>11158</v>
      </c>
      <c r="B7" s="17" t="s">
        <v>11142</v>
      </c>
      <c r="C7" s="17" t="s">
        <v>217</v>
      </c>
      <c r="D7" s="55" t="s">
        <v>11159</v>
      </c>
      <c r="E7" s="17" t="s">
        <v>222</v>
      </c>
      <c r="F7" s="56" t="s">
        <v>11160</v>
      </c>
      <c r="G7" s="17" t="s">
        <v>11161</v>
      </c>
      <c r="H7" s="17" t="s">
        <v>11162</v>
      </c>
      <c r="I7" s="17" t="s">
        <v>11163</v>
      </c>
      <c r="J7" s="17"/>
      <c r="K7" s="17"/>
      <c r="L7" s="17" t="s">
        <v>11164</v>
      </c>
      <c r="M7" s="17" t="s">
        <v>11165</v>
      </c>
      <c r="N7" s="15" t="s">
        <v>91</v>
      </c>
      <c r="O7" s="17" t="s">
        <v>11149</v>
      </c>
      <c r="P7" s="15" t="n">
        <v>103</v>
      </c>
    </row>
    <row r="8" customFormat="false" ht="15" hidden="false" customHeight="false" outlineLevel="0" collapsed="false">
      <c r="A8" s="57" t="s">
        <v>11166</v>
      </c>
      <c r="B8" s="58" t="s">
        <v>11142</v>
      </c>
      <c r="C8" s="58" t="s">
        <v>217</v>
      </c>
      <c r="D8" s="59" t="s">
        <v>11167</v>
      </c>
      <c r="E8" s="58" t="s">
        <v>222</v>
      </c>
      <c r="F8" s="60" t="s">
        <v>11168</v>
      </c>
      <c r="G8" s="58" t="s">
        <v>11169</v>
      </c>
      <c r="H8" s="58" t="s">
        <v>11170</v>
      </c>
      <c r="I8" s="58" t="s">
        <v>9678</v>
      </c>
      <c r="J8" s="58"/>
      <c r="K8" s="58"/>
      <c r="L8" s="58" t="s">
        <v>11171</v>
      </c>
      <c r="M8" s="58"/>
      <c r="N8" s="61" t="s">
        <v>91</v>
      </c>
      <c r="O8" s="58" t="s">
        <v>11149</v>
      </c>
      <c r="P8" s="61" t="n">
        <v>118</v>
      </c>
    </row>
    <row r="9" customFormat="false" ht="22.35" hidden="false" customHeight="false" outlineLevel="0" collapsed="false">
      <c r="A9" s="22" t="s">
        <v>11172</v>
      </c>
      <c r="B9" s="17" t="s">
        <v>11142</v>
      </c>
      <c r="C9" s="17" t="s">
        <v>217</v>
      </c>
      <c r="D9" s="55" t="s">
        <v>11173</v>
      </c>
      <c r="E9" s="17" t="s">
        <v>222</v>
      </c>
      <c r="F9" s="56" t="s">
        <v>11174</v>
      </c>
      <c r="G9" s="17" t="s">
        <v>11175</v>
      </c>
      <c r="H9" s="17" t="s">
        <v>11176</v>
      </c>
      <c r="I9" s="17" t="s">
        <v>11177</v>
      </c>
      <c r="J9" s="17" t="s">
        <v>11178</v>
      </c>
      <c r="K9" s="17"/>
      <c r="L9" s="17" t="s">
        <v>11179</v>
      </c>
      <c r="M9" s="17"/>
      <c r="N9" s="15" t="s">
        <v>91</v>
      </c>
      <c r="O9" s="17" t="s">
        <v>11149</v>
      </c>
      <c r="P9" s="15" t="n">
        <v>137</v>
      </c>
    </row>
    <row r="10" customFormat="false" ht="22.35" hidden="false" customHeight="false" outlineLevel="0" collapsed="false">
      <c r="A10" s="57" t="s">
        <v>11180</v>
      </c>
      <c r="B10" s="58" t="s">
        <v>11142</v>
      </c>
      <c r="C10" s="58" t="s">
        <v>217</v>
      </c>
      <c r="D10" s="59" t="s">
        <v>11181</v>
      </c>
      <c r="E10" s="58" t="s">
        <v>222</v>
      </c>
      <c r="F10" s="60" t="s">
        <v>11182</v>
      </c>
      <c r="G10" s="58" t="s">
        <v>11183</v>
      </c>
      <c r="H10" s="58" t="s">
        <v>11184</v>
      </c>
      <c r="I10" s="58" t="s">
        <v>11177</v>
      </c>
      <c r="J10" s="58" t="s">
        <v>11178</v>
      </c>
      <c r="K10" s="58"/>
      <c r="L10" s="58" t="s">
        <v>11185</v>
      </c>
      <c r="M10" s="58"/>
      <c r="N10" s="61" t="s">
        <v>91</v>
      </c>
      <c r="O10" s="58" t="s">
        <v>11149</v>
      </c>
      <c r="P10" s="61" t="n">
        <v>163</v>
      </c>
    </row>
    <row r="11" customFormat="false" ht="32.8" hidden="false" customHeight="false" outlineLevel="0" collapsed="false">
      <c r="A11" s="22" t="s">
        <v>11186</v>
      </c>
      <c r="B11" s="17" t="s">
        <v>11142</v>
      </c>
      <c r="C11" s="17" t="s">
        <v>218</v>
      </c>
      <c r="D11" s="55" t="s">
        <v>11187</v>
      </c>
      <c r="E11" s="17" t="s">
        <v>226</v>
      </c>
      <c r="F11" s="56" t="s">
        <v>11188</v>
      </c>
      <c r="G11" s="17" t="s">
        <v>11189</v>
      </c>
      <c r="H11" s="17" t="s">
        <v>11190</v>
      </c>
      <c r="I11" s="17" t="s">
        <v>11191</v>
      </c>
      <c r="J11" s="17" t="s">
        <v>11192</v>
      </c>
      <c r="K11" s="17"/>
      <c r="L11" s="17" t="s">
        <v>11193</v>
      </c>
      <c r="M11" s="17"/>
      <c r="N11" s="15" t="s">
        <v>91</v>
      </c>
      <c r="O11" s="17" t="s">
        <v>11194</v>
      </c>
      <c r="P11" s="15" t="n">
        <v>79</v>
      </c>
    </row>
    <row r="12" customFormat="false" ht="43.25" hidden="false" customHeight="false" outlineLevel="0" collapsed="false">
      <c r="A12" s="57" t="s">
        <v>11195</v>
      </c>
      <c r="B12" s="58" t="s">
        <v>11142</v>
      </c>
      <c r="C12" s="58" t="s">
        <v>218</v>
      </c>
      <c r="D12" s="59" t="s">
        <v>11196</v>
      </c>
      <c r="E12" s="58" t="s">
        <v>226</v>
      </c>
      <c r="F12" s="60" t="s">
        <v>11197</v>
      </c>
      <c r="G12" s="58" t="s">
        <v>11198</v>
      </c>
      <c r="H12" s="58" t="s">
        <v>11199</v>
      </c>
      <c r="I12" s="58" t="s">
        <v>11200</v>
      </c>
      <c r="J12" s="58"/>
      <c r="K12" s="58" t="s">
        <v>11201</v>
      </c>
      <c r="L12" s="58" t="s">
        <v>11193</v>
      </c>
      <c r="M12" s="58" t="s">
        <v>11202</v>
      </c>
      <c r="N12" s="61" t="s">
        <v>91</v>
      </c>
      <c r="O12" s="58" t="s">
        <v>11194</v>
      </c>
      <c r="P12" s="61" t="n">
        <v>92</v>
      </c>
    </row>
    <row r="13" customFormat="false" ht="53.7" hidden="false" customHeight="false" outlineLevel="0" collapsed="false">
      <c r="A13" s="22" t="s">
        <v>11203</v>
      </c>
      <c r="B13" s="17" t="s">
        <v>11142</v>
      </c>
      <c r="C13" s="17" t="s">
        <v>218</v>
      </c>
      <c r="D13" s="55" t="s">
        <v>11204</v>
      </c>
      <c r="E13" s="17" t="s">
        <v>237</v>
      </c>
      <c r="F13" s="56" t="s">
        <v>11205</v>
      </c>
      <c r="G13" s="17" t="s">
        <v>11206</v>
      </c>
      <c r="H13" s="17" t="s">
        <v>4296</v>
      </c>
      <c r="I13" s="17" t="s">
        <v>11207</v>
      </c>
      <c r="J13" s="17"/>
      <c r="K13" s="17" t="s">
        <v>11208</v>
      </c>
      <c r="L13" s="17" t="s">
        <v>11209</v>
      </c>
      <c r="M13" s="17" t="s">
        <v>11210</v>
      </c>
      <c r="N13" s="15" t="s">
        <v>91</v>
      </c>
      <c r="O13" s="17" t="s">
        <v>11194</v>
      </c>
      <c r="P13" s="15" t="n">
        <v>312</v>
      </c>
    </row>
    <row r="14" customFormat="false" ht="22.35" hidden="false" customHeight="false" outlineLevel="0" collapsed="false">
      <c r="A14" s="57" t="s">
        <v>11211</v>
      </c>
      <c r="B14" s="58" t="s">
        <v>11142</v>
      </c>
      <c r="C14" s="58" t="s">
        <v>218</v>
      </c>
      <c r="D14" s="59" t="s">
        <v>11212</v>
      </c>
      <c r="E14" s="58" t="s">
        <v>237</v>
      </c>
      <c r="F14" s="60" t="s">
        <v>11213</v>
      </c>
      <c r="G14" s="58" t="s">
        <v>11214</v>
      </c>
      <c r="H14" s="58" t="s">
        <v>9678</v>
      </c>
      <c r="I14" s="58" t="s">
        <v>5599</v>
      </c>
      <c r="J14" s="58"/>
      <c r="K14" s="58"/>
      <c r="L14" s="58" t="s">
        <v>11215</v>
      </c>
      <c r="M14" s="58" t="s">
        <v>11216</v>
      </c>
      <c r="N14" s="61" t="s">
        <v>91</v>
      </c>
      <c r="O14" s="58" t="s">
        <v>11194</v>
      </c>
      <c r="P14" s="61" t="n">
        <v>331</v>
      </c>
    </row>
    <row r="15" customFormat="false" ht="22.35" hidden="false" customHeight="false" outlineLevel="0" collapsed="false">
      <c r="A15" s="22" t="s">
        <v>11217</v>
      </c>
      <c r="B15" s="17" t="s">
        <v>11142</v>
      </c>
      <c r="C15" s="17" t="s">
        <v>218</v>
      </c>
      <c r="D15" s="55" t="s">
        <v>11218</v>
      </c>
      <c r="E15" s="17" t="s">
        <v>237</v>
      </c>
      <c r="F15" s="56" t="s">
        <v>11219</v>
      </c>
      <c r="G15" s="17" t="s">
        <v>11220</v>
      </c>
      <c r="H15" s="17" t="s">
        <v>9678</v>
      </c>
      <c r="I15" s="17" t="s">
        <v>11221</v>
      </c>
      <c r="J15" s="17"/>
      <c r="K15" s="17"/>
      <c r="L15" s="17" t="s">
        <v>11215</v>
      </c>
      <c r="M15" s="17" t="s">
        <v>11222</v>
      </c>
      <c r="N15" s="15" t="s">
        <v>91</v>
      </c>
      <c r="O15" s="17" t="s">
        <v>11194</v>
      </c>
      <c r="P15" s="15" t="n">
        <v>355</v>
      </c>
    </row>
    <row r="16" customFormat="false" ht="22.35" hidden="false" customHeight="false" outlineLevel="0" collapsed="false">
      <c r="A16" s="57" t="s">
        <v>11223</v>
      </c>
      <c r="B16" s="58" t="s">
        <v>11142</v>
      </c>
      <c r="C16" s="58" t="s">
        <v>218</v>
      </c>
      <c r="D16" s="59" t="s">
        <v>11224</v>
      </c>
      <c r="E16" s="58" t="s">
        <v>237</v>
      </c>
      <c r="F16" s="60" t="s">
        <v>11225</v>
      </c>
      <c r="G16" s="58" t="s">
        <v>11226</v>
      </c>
      <c r="H16" s="58" t="s">
        <v>11227</v>
      </c>
      <c r="I16" s="58" t="s">
        <v>11228</v>
      </c>
      <c r="J16" s="58"/>
      <c r="K16" s="58"/>
      <c r="L16" s="58" t="s">
        <v>11215</v>
      </c>
      <c r="M16" s="58" t="s">
        <v>11229</v>
      </c>
      <c r="N16" s="61" t="s">
        <v>91</v>
      </c>
      <c r="O16" s="58" t="s">
        <v>11194</v>
      </c>
      <c r="P16" s="61" t="n">
        <v>368</v>
      </c>
    </row>
    <row r="17" customFormat="false" ht="22.35" hidden="false" customHeight="false" outlineLevel="0" collapsed="false">
      <c r="A17" s="22" t="s">
        <v>11230</v>
      </c>
      <c r="B17" s="17" t="s">
        <v>11142</v>
      </c>
      <c r="C17" s="17" t="s">
        <v>218</v>
      </c>
      <c r="D17" s="55" t="s">
        <v>11231</v>
      </c>
      <c r="E17" s="17" t="s">
        <v>237</v>
      </c>
      <c r="F17" s="56" t="s">
        <v>11232</v>
      </c>
      <c r="G17" s="17" t="s">
        <v>11233</v>
      </c>
      <c r="H17" s="17" t="s">
        <v>11234</v>
      </c>
      <c r="I17" s="17" t="s">
        <v>9678</v>
      </c>
      <c r="J17" s="17"/>
      <c r="K17" s="17"/>
      <c r="L17" s="17" t="s">
        <v>11215</v>
      </c>
      <c r="M17" s="17" t="s">
        <v>11235</v>
      </c>
      <c r="N17" s="15" t="s">
        <v>91</v>
      </c>
      <c r="O17" s="17" t="s">
        <v>11194</v>
      </c>
      <c r="P17" s="15" t="n">
        <v>373</v>
      </c>
    </row>
    <row r="18" customFormat="false" ht="22.35" hidden="false" customHeight="false" outlineLevel="0" collapsed="false">
      <c r="A18" s="57" t="s">
        <v>11236</v>
      </c>
      <c r="B18" s="58" t="s">
        <v>11142</v>
      </c>
      <c r="C18" s="58" t="s">
        <v>218</v>
      </c>
      <c r="D18" s="59" t="s">
        <v>11237</v>
      </c>
      <c r="E18" s="58" t="s">
        <v>237</v>
      </c>
      <c r="F18" s="60" t="s">
        <v>11238</v>
      </c>
      <c r="G18" s="58" t="s">
        <v>11239</v>
      </c>
      <c r="H18" s="58" t="s">
        <v>11240</v>
      </c>
      <c r="I18" s="58" t="s">
        <v>11241</v>
      </c>
      <c r="J18" s="58" t="s">
        <v>11242</v>
      </c>
      <c r="K18" s="58" t="s">
        <v>11243</v>
      </c>
      <c r="L18" s="58" t="s">
        <v>11215</v>
      </c>
      <c r="M18" s="58" t="s">
        <v>11244</v>
      </c>
      <c r="N18" s="61" t="s">
        <v>91</v>
      </c>
      <c r="O18" s="58" t="s">
        <v>11194</v>
      </c>
      <c r="P18" s="61" t="n">
        <v>379</v>
      </c>
    </row>
    <row r="19" customFormat="false" ht="32.8" hidden="false" customHeight="false" outlineLevel="0" collapsed="false">
      <c r="A19" s="22" t="s">
        <v>11245</v>
      </c>
      <c r="B19" s="17" t="s">
        <v>11142</v>
      </c>
      <c r="C19" s="17" t="s">
        <v>218</v>
      </c>
      <c r="D19" s="55" t="s">
        <v>11246</v>
      </c>
      <c r="E19" s="17" t="s">
        <v>237</v>
      </c>
      <c r="F19" s="56" t="s">
        <v>11247</v>
      </c>
      <c r="G19" s="17" t="s">
        <v>11248</v>
      </c>
      <c r="H19" s="17" t="s">
        <v>11249</v>
      </c>
      <c r="I19" s="17" t="s">
        <v>11241</v>
      </c>
      <c r="J19" s="17" t="s">
        <v>11250</v>
      </c>
      <c r="K19" s="17" t="s">
        <v>5636</v>
      </c>
      <c r="L19" s="17" t="s">
        <v>11215</v>
      </c>
      <c r="M19" s="17" t="s">
        <v>11251</v>
      </c>
      <c r="N19" s="15" t="s">
        <v>91</v>
      </c>
      <c r="O19" s="17" t="s">
        <v>11194</v>
      </c>
      <c r="P19" s="15" t="n">
        <v>392</v>
      </c>
    </row>
    <row r="20" customFormat="false" ht="22.35" hidden="false" customHeight="false" outlineLevel="0" collapsed="false">
      <c r="A20" s="57" t="s">
        <v>11252</v>
      </c>
      <c r="B20" s="58" t="s">
        <v>11142</v>
      </c>
      <c r="C20" s="58" t="s">
        <v>218</v>
      </c>
      <c r="D20" s="59" t="s">
        <v>11253</v>
      </c>
      <c r="E20" s="58" t="s">
        <v>237</v>
      </c>
      <c r="F20" s="60" t="s">
        <v>11254</v>
      </c>
      <c r="G20" s="58" t="s">
        <v>11255</v>
      </c>
      <c r="H20" s="58" t="s">
        <v>11256</v>
      </c>
      <c r="I20" s="58" t="s">
        <v>11241</v>
      </c>
      <c r="J20" s="58" t="s">
        <v>11257</v>
      </c>
      <c r="K20" s="58" t="s">
        <v>413</v>
      </c>
      <c r="L20" s="58" t="s">
        <v>11215</v>
      </c>
      <c r="M20" s="58" t="s">
        <v>11258</v>
      </c>
      <c r="N20" s="61" t="s">
        <v>91</v>
      </c>
      <c r="O20" s="58" t="s">
        <v>11194</v>
      </c>
      <c r="P20" s="61" t="n">
        <v>405</v>
      </c>
    </row>
    <row r="21" customFormat="false" ht="32.8" hidden="false" customHeight="false" outlineLevel="0" collapsed="false">
      <c r="A21" s="22" t="s">
        <v>11259</v>
      </c>
      <c r="B21" s="17" t="s">
        <v>11142</v>
      </c>
      <c r="C21" s="17" t="s">
        <v>218</v>
      </c>
      <c r="D21" s="55" t="s">
        <v>11260</v>
      </c>
      <c r="E21" s="17" t="s">
        <v>237</v>
      </c>
      <c r="F21" s="56" t="s">
        <v>11261</v>
      </c>
      <c r="G21" s="17" t="s">
        <v>11262</v>
      </c>
      <c r="H21" s="17" t="s">
        <v>11263</v>
      </c>
      <c r="I21" s="17" t="s">
        <v>11241</v>
      </c>
      <c r="J21" s="17" t="s">
        <v>11257</v>
      </c>
      <c r="K21" s="17" t="s">
        <v>413</v>
      </c>
      <c r="L21" s="17" t="s">
        <v>11215</v>
      </c>
      <c r="M21" s="17" t="s">
        <v>11264</v>
      </c>
      <c r="N21" s="15" t="s">
        <v>91</v>
      </c>
      <c r="O21" s="17" t="s">
        <v>11194</v>
      </c>
      <c r="P21" s="15" t="n">
        <v>414</v>
      </c>
    </row>
    <row r="22" customFormat="false" ht="32.8" hidden="false" customHeight="false" outlineLevel="0" collapsed="false">
      <c r="A22" s="57" t="s">
        <v>11265</v>
      </c>
      <c r="B22" s="58" t="s">
        <v>11142</v>
      </c>
      <c r="C22" s="58" t="s">
        <v>218</v>
      </c>
      <c r="D22" s="59" t="s">
        <v>11266</v>
      </c>
      <c r="E22" s="58" t="s">
        <v>237</v>
      </c>
      <c r="F22" s="60" t="s">
        <v>11267</v>
      </c>
      <c r="G22" s="58" t="s">
        <v>11268</v>
      </c>
      <c r="H22" s="58" t="s">
        <v>439</v>
      </c>
      <c r="I22" s="58" t="s">
        <v>11241</v>
      </c>
      <c r="J22" s="58" t="s">
        <v>11269</v>
      </c>
      <c r="K22" s="58" t="s">
        <v>11270</v>
      </c>
      <c r="L22" s="58" t="s">
        <v>11215</v>
      </c>
      <c r="M22" s="58" t="s">
        <v>11271</v>
      </c>
      <c r="N22" s="61" t="s">
        <v>91</v>
      </c>
      <c r="O22" s="58" t="s">
        <v>11194</v>
      </c>
      <c r="P22" s="61" t="n">
        <v>423</v>
      </c>
    </row>
    <row r="23" customFormat="false" ht="22.35" hidden="false" customHeight="false" outlineLevel="0" collapsed="false">
      <c r="A23" s="22" t="s">
        <v>11272</v>
      </c>
      <c r="B23" s="17" t="s">
        <v>11142</v>
      </c>
      <c r="C23" s="17" t="s">
        <v>218</v>
      </c>
      <c r="D23" s="55" t="s">
        <v>11273</v>
      </c>
      <c r="E23" s="17" t="s">
        <v>237</v>
      </c>
      <c r="F23" s="56" t="s">
        <v>11274</v>
      </c>
      <c r="G23" s="17" t="s">
        <v>11275</v>
      </c>
      <c r="H23" s="17" t="s">
        <v>11276</v>
      </c>
      <c r="I23" s="17" t="s">
        <v>11241</v>
      </c>
      <c r="J23" s="17" t="s">
        <v>11277</v>
      </c>
      <c r="K23" s="17" t="s">
        <v>439</v>
      </c>
      <c r="L23" s="17" t="s">
        <v>11215</v>
      </c>
      <c r="M23" s="17" t="s">
        <v>11278</v>
      </c>
      <c r="N23" s="15" t="s">
        <v>91</v>
      </c>
      <c r="O23" s="17" t="s">
        <v>11194</v>
      </c>
      <c r="P23" s="15" t="n">
        <v>434</v>
      </c>
    </row>
    <row r="24" customFormat="false" ht="22.35" hidden="false" customHeight="false" outlineLevel="0" collapsed="false">
      <c r="A24" s="57" t="s">
        <v>11279</v>
      </c>
      <c r="B24" s="58" t="s">
        <v>11142</v>
      </c>
      <c r="C24" s="58" t="s">
        <v>218</v>
      </c>
      <c r="D24" s="59" t="s">
        <v>11280</v>
      </c>
      <c r="E24" s="58" t="s">
        <v>237</v>
      </c>
      <c r="F24" s="60" t="s">
        <v>11281</v>
      </c>
      <c r="G24" s="58" t="s">
        <v>11282</v>
      </c>
      <c r="H24" s="58" t="s">
        <v>5671</v>
      </c>
      <c r="I24" s="58" t="s">
        <v>11241</v>
      </c>
      <c r="J24" s="58" t="s">
        <v>11283</v>
      </c>
      <c r="K24" s="58"/>
      <c r="L24" s="58" t="s">
        <v>11215</v>
      </c>
      <c r="M24" s="58" t="s">
        <v>11284</v>
      </c>
      <c r="N24" s="61" t="s">
        <v>91</v>
      </c>
      <c r="O24" s="58" t="s">
        <v>11194</v>
      </c>
      <c r="P24" s="61" t="n">
        <v>449</v>
      </c>
    </row>
    <row r="25" customFormat="false" ht="22.35" hidden="false" customHeight="false" outlineLevel="0" collapsed="false">
      <c r="A25" s="22" t="s">
        <v>11285</v>
      </c>
      <c r="B25" s="17" t="s">
        <v>11142</v>
      </c>
      <c r="C25" s="17" t="s">
        <v>218</v>
      </c>
      <c r="D25" s="55" t="s">
        <v>11286</v>
      </c>
      <c r="E25" s="17" t="s">
        <v>237</v>
      </c>
      <c r="F25" s="56" t="s">
        <v>11287</v>
      </c>
      <c r="G25" s="17" t="s">
        <v>11288</v>
      </c>
      <c r="H25" s="17" t="s">
        <v>11289</v>
      </c>
      <c r="I25" s="17" t="s">
        <v>11241</v>
      </c>
      <c r="J25" s="17" t="s">
        <v>11290</v>
      </c>
      <c r="K25" s="17" t="s">
        <v>11291</v>
      </c>
      <c r="L25" s="17" t="s">
        <v>11215</v>
      </c>
      <c r="M25" s="17" t="s">
        <v>11292</v>
      </c>
      <c r="N25" s="15" t="s">
        <v>91</v>
      </c>
      <c r="O25" s="17" t="s">
        <v>11194</v>
      </c>
      <c r="P25" s="15" t="n">
        <v>457</v>
      </c>
    </row>
    <row r="26" customFormat="false" ht="22.35" hidden="false" customHeight="false" outlineLevel="0" collapsed="false">
      <c r="A26" s="57" t="s">
        <v>11293</v>
      </c>
      <c r="B26" s="58" t="s">
        <v>11142</v>
      </c>
      <c r="C26" s="58" t="s">
        <v>218</v>
      </c>
      <c r="D26" s="59" t="s">
        <v>11294</v>
      </c>
      <c r="E26" s="58" t="s">
        <v>237</v>
      </c>
      <c r="F26" s="60" t="s">
        <v>11295</v>
      </c>
      <c r="G26" s="58" t="s">
        <v>11296</v>
      </c>
      <c r="H26" s="58" t="s">
        <v>11297</v>
      </c>
      <c r="I26" s="58" t="s">
        <v>11241</v>
      </c>
      <c r="J26" s="58" t="s">
        <v>11298</v>
      </c>
      <c r="K26" s="58" t="s">
        <v>10450</v>
      </c>
      <c r="L26" s="58" t="s">
        <v>11215</v>
      </c>
      <c r="M26" s="58" t="s">
        <v>11299</v>
      </c>
      <c r="N26" s="61" t="s">
        <v>91</v>
      </c>
      <c r="O26" s="58" t="s">
        <v>11194</v>
      </c>
      <c r="P26" s="61" t="n">
        <v>466</v>
      </c>
    </row>
    <row r="27" customFormat="false" ht="22.35" hidden="false" customHeight="false" outlineLevel="0" collapsed="false">
      <c r="A27" s="22" t="s">
        <v>11300</v>
      </c>
      <c r="B27" s="17" t="s">
        <v>11142</v>
      </c>
      <c r="C27" s="17" t="s">
        <v>218</v>
      </c>
      <c r="D27" s="55" t="s">
        <v>11301</v>
      </c>
      <c r="E27" s="17" t="s">
        <v>237</v>
      </c>
      <c r="F27" s="56" t="s">
        <v>11302</v>
      </c>
      <c r="G27" s="17" t="s">
        <v>11303</v>
      </c>
      <c r="H27" s="17" t="s">
        <v>11304</v>
      </c>
      <c r="I27" s="17" t="s">
        <v>11241</v>
      </c>
      <c r="J27" s="17" t="s">
        <v>11305</v>
      </c>
      <c r="K27" s="17" t="s">
        <v>11306</v>
      </c>
      <c r="L27" s="17" t="s">
        <v>11215</v>
      </c>
      <c r="M27" s="17" t="s">
        <v>11307</v>
      </c>
      <c r="N27" s="15" t="s">
        <v>91</v>
      </c>
      <c r="O27" s="17" t="s">
        <v>11194</v>
      </c>
      <c r="P27" s="15" t="n">
        <v>476</v>
      </c>
    </row>
    <row r="28" customFormat="false" ht="22.35" hidden="false" customHeight="false" outlineLevel="0" collapsed="false">
      <c r="A28" s="57" t="s">
        <v>11308</v>
      </c>
      <c r="B28" s="58" t="s">
        <v>11142</v>
      </c>
      <c r="C28" s="58" t="s">
        <v>218</v>
      </c>
      <c r="D28" s="59" t="s">
        <v>11309</v>
      </c>
      <c r="E28" s="58" t="s">
        <v>237</v>
      </c>
      <c r="F28" s="60" t="s">
        <v>11310</v>
      </c>
      <c r="G28" s="58" t="s">
        <v>11311</v>
      </c>
      <c r="H28" s="58" t="s">
        <v>11312</v>
      </c>
      <c r="I28" s="58" t="s">
        <v>11241</v>
      </c>
      <c r="J28" s="58" t="s">
        <v>5703</v>
      </c>
      <c r="K28" s="58"/>
      <c r="L28" s="58" t="s">
        <v>11215</v>
      </c>
      <c r="M28" s="58" t="s">
        <v>11313</v>
      </c>
      <c r="N28" s="61" t="s">
        <v>91</v>
      </c>
      <c r="O28" s="58" t="s">
        <v>11194</v>
      </c>
      <c r="P28" s="61" t="n">
        <v>487</v>
      </c>
    </row>
    <row r="29" customFormat="false" ht="22.35" hidden="false" customHeight="false" outlineLevel="0" collapsed="false">
      <c r="A29" s="22" t="s">
        <v>11314</v>
      </c>
      <c r="B29" s="17" t="s">
        <v>11142</v>
      </c>
      <c r="C29" s="17" t="s">
        <v>218</v>
      </c>
      <c r="D29" s="55" t="s">
        <v>11315</v>
      </c>
      <c r="E29" s="17" t="s">
        <v>237</v>
      </c>
      <c r="F29" s="56" t="s">
        <v>11316</v>
      </c>
      <c r="G29" s="17" t="s">
        <v>11317</v>
      </c>
      <c r="H29" s="17" t="s">
        <v>631</v>
      </c>
      <c r="I29" s="17" t="s">
        <v>11241</v>
      </c>
      <c r="J29" s="17" t="s">
        <v>11318</v>
      </c>
      <c r="K29" s="17"/>
      <c r="L29" s="17" t="s">
        <v>11215</v>
      </c>
      <c r="M29" s="17" t="s">
        <v>11319</v>
      </c>
      <c r="N29" s="15" t="s">
        <v>91</v>
      </c>
      <c r="O29" s="17" t="s">
        <v>11194</v>
      </c>
      <c r="P29" s="15" t="n">
        <v>501</v>
      </c>
    </row>
    <row r="30" customFormat="false" ht="32.8" hidden="false" customHeight="false" outlineLevel="0" collapsed="false">
      <c r="A30" s="57" t="s">
        <v>11320</v>
      </c>
      <c r="B30" s="58" t="s">
        <v>11142</v>
      </c>
      <c r="C30" s="58" t="s">
        <v>218</v>
      </c>
      <c r="D30" s="59" t="s">
        <v>11321</v>
      </c>
      <c r="E30" s="58" t="s">
        <v>237</v>
      </c>
      <c r="F30" s="60" t="s">
        <v>11322</v>
      </c>
      <c r="G30" s="58" t="s">
        <v>11323</v>
      </c>
      <c r="H30" s="58" t="s">
        <v>11324</v>
      </c>
      <c r="I30" s="58" t="s">
        <v>11241</v>
      </c>
      <c r="J30" s="58" t="s">
        <v>11325</v>
      </c>
      <c r="K30" s="58"/>
      <c r="L30" s="58" t="s">
        <v>11215</v>
      </c>
      <c r="M30" s="58" t="s">
        <v>11326</v>
      </c>
      <c r="N30" s="61" t="s">
        <v>91</v>
      </c>
      <c r="O30" s="58" t="s">
        <v>11194</v>
      </c>
      <c r="P30" s="61" t="n">
        <v>509</v>
      </c>
    </row>
    <row r="31" customFormat="false" ht="22.35" hidden="false" customHeight="false" outlineLevel="0" collapsed="false">
      <c r="A31" s="22" t="s">
        <v>11327</v>
      </c>
      <c r="B31" s="17" t="s">
        <v>11142</v>
      </c>
      <c r="C31" s="17" t="s">
        <v>218</v>
      </c>
      <c r="D31" s="55" t="s">
        <v>11328</v>
      </c>
      <c r="E31" s="17" t="s">
        <v>237</v>
      </c>
      <c r="F31" s="56" t="s">
        <v>11329</v>
      </c>
      <c r="G31" s="17" t="s">
        <v>11330</v>
      </c>
      <c r="H31" s="17" t="s">
        <v>9678</v>
      </c>
      <c r="I31" s="17" t="s">
        <v>11241</v>
      </c>
      <c r="J31" s="17" t="s">
        <v>11331</v>
      </c>
      <c r="K31" s="17"/>
      <c r="L31" s="17" t="s">
        <v>11215</v>
      </c>
      <c r="M31" s="17" t="s">
        <v>11332</v>
      </c>
      <c r="N31" s="15" t="s">
        <v>91</v>
      </c>
      <c r="O31" s="17" t="s">
        <v>11194</v>
      </c>
      <c r="P31" s="15" t="n">
        <v>523</v>
      </c>
    </row>
    <row r="32" customFormat="false" ht="22.35" hidden="false" customHeight="false" outlineLevel="0" collapsed="false">
      <c r="A32" s="57" t="s">
        <v>11333</v>
      </c>
      <c r="B32" s="58" t="s">
        <v>11142</v>
      </c>
      <c r="C32" s="58" t="s">
        <v>218</v>
      </c>
      <c r="D32" s="59" t="s">
        <v>11334</v>
      </c>
      <c r="E32" s="58" t="s">
        <v>237</v>
      </c>
      <c r="F32" s="60" t="s">
        <v>11335</v>
      </c>
      <c r="G32" s="58" t="s">
        <v>11336</v>
      </c>
      <c r="H32" s="58" t="s">
        <v>9678</v>
      </c>
      <c r="I32" s="58" t="s">
        <v>11241</v>
      </c>
      <c r="J32" s="58" t="s">
        <v>11331</v>
      </c>
      <c r="K32" s="58"/>
      <c r="L32" s="58" t="s">
        <v>11215</v>
      </c>
      <c r="M32" s="58" t="s">
        <v>11337</v>
      </c>
      <c r="N32" s="61" t="s">
        <v>91</v>
      </c>
      <c r="O32" s="58" t="s">
        <v>11194</v>
      </c>
      <c r="P32" s="61" t="n">
        <v>529</v>
      </c>
    </row>
    <row r="33" customFormat="false" ht="22.35" hidden="false" customHeight="false" outlineLevel="0" collapsed="false">
      <c r="A33" s="22" t="s">
        <v>11338</v>
      </c>
      <c r="B33" s="17" t="s">
        <v>11142</v>
      </c>
      <c r="C33" s="17" t="s">
        <v>218</v>
      </c>
      <c r="D33" s="55" t="s">
        <v>11339</v>
      </c>
      <c r="E33" s="17" t="s">
        <v>237</v>
      </c>
      <c r="F33" s="56" t="s">
        <v>11340</v>
      </c>
      <c r="G33" s="17" t="s">
        <v>11341</v>
      </c>
      <c r="H33" s="17" t="s">
        <v>9678</v>
      </c>
      <c r="I33" s="17" t="s">
        <v>11241</v>
      </c>
      <c r="J33" s="17" t="s">
        <v>11331</v>
      </c>
      <c r="K33" s="17"/>
      <c r="L33" s="17" t="s">
        <v>11215</v>
      </c>
      <c r="M33" s="17" t="s">
        <v>11342</v>
      </c>
      <c r="N33" s="15" t="s">
        <v>91</v>
      </c>
      <c r="O33" s="17" t="s">
        <v>11194</v>
      </c>
      <c r="P33" s="15" t="n">
        <v>535</v>
      </c>
    </row>
    <row r="34" customFormat="false" ht="22.35" hidden="false" customHeight="false" outlineLevel="0" collapsed="false">
      <c r="A34" s="57" t="s">
        <v>11343</v>
      </c>
      <c r="B34" s="58" t="s">
        <v>11142</v>
      </c>
      <c r="C34" s="58" t="s">
        <v>218</v>
      </c>
      <c r="D34" s="59" t="s">
        <v>11344</v>
      </c>
      <c r="E34" s="58" t="s">
        <v>237</v>
      </c>
      <c r="F34" s="60" t="s">
        <v>11345</v>
      </c>
      <c r="G34" s="58" t="s">
        <v>11346</v>
      </c>
      <c r="H34" s="58" t="s">
        <v>9678</v>
      </c>
      <c r="I34" s="58" t="s">
        <v>11241</v>
      </c>
      <c r="J34" s="58" t="s">
        <v>11331</v>
      </c>
      <c r="K34" s="58"/>
      <c r="L34" s="58" t="s">
        <v>11215</v>
      </c>
      <c r="M34" s="58" t="s">
        <v>11347</v>
      </c>
      <c r="N34" s="61" t="s">
        <v>91</v>
      </c>
      <c r="O34" s="58" t="s">
        <v>11194</v>
      </c>
      <c r="P34" s="61" t="n">
        <v>541</v>
      </c>
    </row>
    <row r="35" customFormat="false" ht="22.35" hidden="false" customHeight="false" outlineLevel="0" collapsed="false">
      <c r="A35" s="22" t="s">
        <v>11348</v>
      </c>
      <c r="B35" s="17" t="s">
        <v>11142</v>
      </c>
      <c r="C35" s="17" t="s">
        <v>218</v>
      </c>
      <c r="D35" s="55" t="s">
        <v>11349</v>
      </c>
      <c r="E35" s="17" t="s">
        <v>237</v>
      </c>
      <c r="F35" s="56" t="s">
        <v>11350</v>
      </c>
      <c r="G35" s="17" t="s">
        <v>11351</v>
      </c>
      <c r="H35" s="17" t="s">
        <v>9678</v>
      </c>
      <c r="I35" s="17" t="s">
        <v>11241</v>
      </c>
      <c r="J35" s="17" t="s">
        <v>11331</v>
      </c>
      <c r="K35" s="17"/>
      <c r="L35" s="17" t="s">
        <v>11215</v>
      </c>
      <c r="M35" s="17" t="s">
        <v>11352</v>
      </c>
      <c r="N35" s="15" t="s">
        <v>91</v>
      </c>
      <c r="O35" s="17" t="s">
        <v>11194</v>
      </c>
      <c r="P35" s="15" t="n">
        <v>547</v>
      </c>
    </row>
    <row r="36" customFormat="false" ht="22.35" hidden="false" customHeight="false" outlineLevel="0" collapsed="false">
      <c r="A36" s="57" t="s">
        <v>11353</v>
      </c>
      <c r="B36" s="58" t="s">
        <v>11354</v>
      </c>
      <c r="C36" s="58" t="s">
        <v>154</v>
      </c>
      <c r="D36" s="59" t="s">
        <v>5595</v>
      </c>
      <c r="E36" s="58" t="s">
        <v>221</v>
      </c>
      <c r="F36" s="60" t="s">
        <v>11355</v>
      </c>
      <c r="G36" s="58" t="s">
        <v>11356</v>
      </c>
      <c r="H36" s="58" t="s">
        <v>11357</v>
      </c>
      <c r="I36" s="58" t="s">
        <v>11358</v>
      </c>
      <c r="J36" s="58"/>
      <c r="K36" s="58"/>
      <c r="L36" s="58"/>
      <c r="M36" s="58"/>
      <c r="N36" s="61" t="s">
        <v>91</v>
      </c>
      <c r="O36" s="58" t="s">
        <v>6131</v>
      </c>
      <c r="P36" s="61" t="n">
        <v>30</v>
      </c>
    </row>
    <row r="37" customFormat="false" ht="32.8" hidden="false" customHeight="false" outlineLevel="0" collapsed="false">
      <c r="A37" s="22" t="s">
        <v>11359</v>
      </c>
      <c r="B37" s="17" t="s">
        <v>11354</v>
      </c>
      <c r="C37" s="17" t="s">
        <v>154</v>
      </c>
      <c r="D37" s="55" t="s">
        <v>5539</v>
      </c>
      <c r="E37" s="17" t="s">
        <v>221</v>
      </c>
      <c r="F37" s="56" t="s">
        <v>11360</v>
      </c>
      <c r="G37" s="17" t="s">
        <v>11361</v>
      </c>
      <c r="H37" s="17" t="s">
        <v>11362</v>
      </c>
      <c r="I37" s="17" t="s">
        <v>11363</v>
      </c>
      <c r="J37" s="17"/>
      <c r="K37" s="17"/>
      <c r="L37" s="17"/>
      <c r="M37" s="17" t="s">
        <v>11364</v>
      </c>
      <c r="N37" s="15" t="s">
        <v>91</v>
      </c>
      <c r="O37" s="17" t="s">
        <v>6131</v>
      </c>
      <c r="P37" s="15" t="n">
        <v>56</v>
      </c>
    </row>
    <row r="38" customFormat="false" ht="22.35" hidden="false" customHeight="false" outlineLevel="0" collapsed="false">
      <c r="A38" s="57" t="s">
        <v>11365</v>
      </c>
      <c r="B38" s="58" t="s">
        <v>11354</v>
      </c>
      <c r="C38" s="58" t="s">
        <v>154</v>
      </c>
      <c r="D38" s="59" t="s">
        <v>11366</v>
      </c>
      <c r="E38" s="58" t="s">
        <v>221</v>
      </c>
      <c r="F38" s="60" t="s">
        <v>11367</v>
      </c>
      <c r="G38" s="58" t="s">
        <v>11368</v>
      </c>
      <c r="H38" s="58" t="s">
        <v>11369</v>
      </c>
      <c r="I38" s="58" t="s">
        <v>3235</v>
      </c>
      <c r="J38" s="58"/>
      <c r="K38" s="58"/>
      <c r="L38" s="58"/>
      <c r="M38" s="58"/>
      <c r="N38" s="61" t="s">
        <v>91</v>
      </c>
      <c r="O38" s="58" t="s">
        <v>6131</v>
      </c>
      <c r="P38" s="61" t="n">
        <v>102</v>
      </c>
    </row>
    <row r="39" customFormat="false" ht="15" hidden="false" customHeight="false" outlineLevel="0" collapsed="false">
      <c r="A39" s="22" t="s">
        <v>11370</v>
      </c>
      <c r="B39" s="17" t="s">
        <v>11354</v>
      </c>
      <c r="C39" s="17" t="s">
        <v>154</v>
      </c>
      <c r="D39" s="55" t="s">
        <v>11371</v>
      </c>
      <c r="E39" s="17" t="s">
        <v>221</v>
      </c>
      <c r="F39" s="56" t="s">
        <v>11372</v>
      </c>
      <c r="G39" s="17" t="s">
        <v>11373</v>
      </c>
      <c r="H39" s="17" t="s">
        <v>9678</v>
      </c>
      <c r="I39" s="17" t="s">
        <v>6383</v>
      </c>
      <c r="J39" s="17"/>
      <c r="K39" s="17"/>
      <c r="L39" s="17"/>
      <c r="M39" s="17"/>
      <c r="N39" s="15" t="s">
        <v>91</v>
      </c>
      <c r="O39" s="17" t="s">
        <v>6131</v>
      </c>
      <c r="P39" s="15" t="n">
        <v>120</v>
      </c>
    </row>
    <row r="40" customFormat="false" ht="22.35" hidden="false" customHeight="false" outlineLevel="0" collapsed="false">
      <c r="A40" s="57" t="s">
        <v>11374</v>
      </c>
      <c r="B40" s="58" t="s">
        <v>11354</v>
      </c>
      <c r="C40" s="58" t="s">
        <v>154</v>
      </c>
      <c r="D40" s="59" t="s">
        <v>5603</v>
      </c>
      <c r="E40" s="58" t="s">
        <v>221</v>
      </c>
      <c r="F40" s="60" t="s">
        <v>11375</v>
      </c>
      <c r="G40" s="58" t="s">
        <v>11376</v>
      </c>
      <c r="H40" s="58" t="s">
        <v>11377</v>
      </c>
      <c r="I40" s="58" t="s">
        <v>3235</v>
      </c>
      <c r="J40" s="58" t="s">
        <v>11378</v>
      </c>
      <c r="K40" s="58"/>
      <c r="L40" s="58"/>
      <c r="M40" s="58"/>
      <c r="N40" s="61" t="s">
        <v>91</v>
      </c>
      <c r="O40" s="58" t="s">
        <v>6131</v>
      </c>
      <c r="P40" s="61" t="n">
        <v>136</v>
      </c>
    </row>
    <row r="41" customFormat="false" ht="22.35" hidden="false" customHeight="false" outlineLevel="0" collapsed="false">
      <c r="A41" s="22" t="s">
        <v>11379</v>
      </c>
      <c r="B41" s="17" t="s">
        <v>11354</v>
      </c>
      <c r="C41" s="17" t="s">
        <v>154</v>
      </c>
      <c r="D41" s="55" t="s">
        <v>5611</v>
      </c>
      <c r="E41" s="17" t="s">
        <v>221</v>
      </c>
      <c r="F41" s="56" t="s">
        <v>11380</v>
      </c>
      <c r="G41" s="17" t="s">
        <v>11381</v>
      </c>
      <c r="H41" s="17" t="s">
        <v>5614</v>
      </c>
      <c r="I41" s="17" t="s">
        <v>3235</v>
      </c>
      <c r="J41" s="17" t="s">
        <v>11378</v>
      </c>
      <c r="K41" s="17"/>
      <c r="L41" s="17"/>
      <c r="M41" s="17"/>
      <c r="N41" s="15" t="s">
        <v>91</v>
      </c>
      <c r="O41" s="17" t="s">
        <v>6131</v>
      </c>
      <c r="P41" s="15" t="n">
        <v>154</v>
      </c>
    </row>
    <row r="42" customFormat="false" ht="53.7" hidden="false" customHeight="false" outlineLevel="0" collapsed="false">
      <c r="A42" s="57" t="s">
        <v>11382</v>
      </c>
      <c r="B42" s="58" t="s">
        <v>11354</v>
      </c>
      <c r="C42" s="58" t="s">
        <v>154</v>
      </c>
      <c r="D42" s="59" t="s">
        <v>5821</v>
      </c>
      <c r="E42" s="58" t="s">
        <v>221</v>
      </c>
      <c r="F42" s="60" t="s">
        <v>11383</v>
      </c>
      <c r="G42" s="58" t="s">
        <v>11384</v>
      </c>
      <c r="H42" s="58" t="s">
        <v>5824</v>
      </c>
      <c r="I42" s="58" t="s">
        <v>11385</v>
      </c>
      <c r="J42" s="58" t="s">
        <v>11386</v>
      </c>
      <c r="K42" s="58" t="s">
        <v>656</v>
      </c>
      <c r="L42" s="58"/>
      <c r="M42" s="58" t="s">
        <v>11387</v>
      </c>
      <c r="N42" s="61" t="s">
        <v>91</v>
      </c>
      <c r="O42" s="58" t="s">
        <v>6131</v>
      </c>
      <c r="P42" s="61" t="n">
        <v>202</v>
      </c>
    </row>
    <row r="43" customFormat="false" ht="22.35" hidden="false" customHeight="false" outlineLevel="0" collapsed="false">
      <c r="A43" s="22" t="s">
        <v>11388</v>
      </c>
      <c r="B43" s="17" t="s">
        <v>11354</v>
      </c>
      <c r="C43" s="17" t="s">
        <v>154</v>
      </c>
      <c r="D43" s="55" t="s">
        <v>5623</v>
      </c>
      <c r="E43" s="17" t="s">
        <v>221</v>
      </c>
      <c r="F43" s="56" t="s">
        <v>11389</v>
      </c>
      <c r="G43" s="17" t="s">
        <v>11390</v>
      </c>
      <c r="H43" s="17" t="s">
        <v>5626</v>
      </c>
      <c r="I43" s="17" t="s">
        <v>11391</v>
      </c>
      <c r="J43" s="17" t="s">
        <v>11392</v>
      </c>
      <c r="K43" s="17" t="s">
        <v>11243</v>
      </c>
      <c r="L43" s="17" t="s">
        <v>11393</v>
      </c>
      <c r="M43" s="17"/>
      <c r="N43" s="15" t="s">
        <v>91</v>
      </c>
      <c r="O43" s="17" t="s">
        <v>6131</v>
      </c>
      <c r="P43" s="15" t="n">
        <v>316</v>
      </c>
    </row>
    <row r="44" customFormat="false" ht="22.35" hidden="false" customHeight="false" outlineLevel="0" collapsed="false">
      <c r="A44" s="57" t="s">
        <v>11394</v>
      </c>
      <c r="B44" s="58" t="s">
        <v>11354</v>
      </c>
      <c r="C44" s="58" t="s">
        <v>154</v>
      </c>
      <c r="D44" s="59" t="s">
        <v>5632</v>
      </c>
      <c r="E44" s="58" t="s">
        <v>221</v>
      </c>
      <c r="F44" s="60" t="s">
        <v>11395</v>
      </c>
      <c r="G44" s="58" t="s">
        <v>11396</v>
      </c>
      <c r="H44" s="58" t="s">
        <v>5635</v>
      </c>
      <c r="I44" s="58" t="s">
        <v>11391</v>
      </c>
      <c r="J44" s="58" t="s">
        <v>11397</v>
      </c>
      <c r="K44" s="58" t="s">
        <v>5636</v>
      </c>
      <c r="L44" s="58" t="s">
        <v>11398</v>
      </c>
      <c r="M44" s="58"/>
      <c r="N44" s="61" t="s">
        <v>91</v>
      </c>
      <c r="O44" s="58" t="s">
        <v>6131</v>
      </c>
      <c r="P44" s="61" t="n">
        <v>324</v>
      </c>
    </row>
    <row r="45" customFormat="false" ht="22.35" hidden="false" customHeight="false" outlineLevel="0" collapsed="false">
      <c r="A45" s="22" t="s">
        <v>11399</v>
      </c>
      <c r="B45" s="17" t="s">
        <v>11354</v>
      </c>
      <c r="C45" s="17" t="s">
        <v>154</v>
      </c>
      <c r="D45" s="55" t="s">
        <v>5640</v>
      </c>
      <c r="E45" s="17" t="s">
        <v>221</v>
      </c>
      <c r="F45" s="56" t="s">
        <v>11400</v>
      </c>
      <c r="G45" s="17" t="s">
        <v>11401</v>
      </c>
      <c r="H45" s="17" t="s">
        <v>5643</v>
      </c>
      <c r="I45" s="17" t="s">
        <v>11391</v>
      </c>
      <c r="J45" s="17" t="s">
        <v>11257</v>
      </c>
      <c r="K45" s="17"/>
      <c r="L45" s="17" t="s">
        <v>11402</v>
      </c>
      <c r="M45" s="17"/>
      <c r="N45" s="15" t="s">
        <v>91</v>
      </c>
      <c r="O45" s="17" t="s">
        <v>6131</v>
      </c>
      <c r="P45" s="15" t="n">
        <v>337</v>
      </c>
    </row>
    <row r="46" customFormat="false" ht="22.35" hidden="false" customHeight="false" outlineLevel="0" collapsed="false">
      <c r="A46" s="57" t="s">
        <v>11403</v>
      </c>
      <c r="B46" s="58" t="s">
        <v>11354</v>
      </c>
      <c r="C46" s="58" t="s">
        <v>154</v>
      </c>
      <c r="D46" s="59" t="s">
        <v>5647</v>
      </c>
      <c r="E46" s="58" t="s">
        <v>221</v>
      </c>
      <c r="F46" s="60" t="s">
        <v>11404</v>
      </c>
      <c r="G46" s="58" t="s">
        <v>11405</v>
      </c>
      <c r="H46" s="58" t="s">
        <v>5643</v>
      </c>
      <c r="I46" s="58" t="s">
        <v>11391</v>
      </c>
      <c r="J46" s="58" t="s">
        <v>11257</v>
      </c>
      <c r="K46" s="58"/>
      <c r="L46" s="58" t="s">
        <v>11406</v>
      </c>
      <c r="M46" s="58"/>
      <c r="N46" s="61" t="s">
        <v>91</v>
      </c>
      <c r="O46" s="58" t="s">
        <v>6131</v>
      </c>
      <c r="P46" s="61" t="n">
        <v>342</v>
      </c>
    </row>
    <row r="47" customFormat="false" ht="22.35" hidden="false" customHeight="false" outlineLevel="0" collapsed="false">
      <c r="A47" s="22" t="s">
        <v>11407</v>
      </c>
      <c r="B47" s="17" t="s">
        <v>11354</v>
      </c>
      <c r="C47" s="17" t="s">
        <v>154</v>
      </c>
      <c r="D47" s="55" t="s">
        <v>5653</v>
      </c>
      <c r="E47" s="17" t="s">
        <v>221</v>
      </c>
      <c r="F47" s="56" t="s">
        <v>11408</v>
      </c>
      <c r="G47" s="17" t="s">
        <v>11409</v>
      </c>
      <c r="H47" s="17" t="s">
        <v>5656</v>
      </c>
      <c r="I47" s="17" t="s">
        <v>11391</v>
      </c>
      <c r="J47" s="17" t="s">
        <v>11410</v>
      </c>
      <c r="K47" s="17" t="s">
        <v>11270</v>
      </c>
      <c r="L47" s="17" t="s">
        <v>11411</v>
      </c>
      <c r="M47" s="17"/>
      <c r="N47" s="15" t="s">
        <v>91</v>
      </c>
      <c r="O47" s="17" t="s">
        <v>6131</v>
      </c>
      <c r="P47" s="15" t="n">
        <v>347</v>
      </c>
    </row>
    <row r="48" customFormat="false" ht="22.35" hidden="false" customHeight="false" outlineLevel="0" collapsed="false">
      <c r="A48" s="57" t="s">
        <v>11412</v>
      </c>
      <c r="B48" s="58" t="s">
        <v>11354</v>
      </c>
      <c r="C48" s="58" t="s">
        <v>154</v>
      </c>
      <c r="D48" s="59" t="s">
        <v>5661</v>
      </c>
      <c r="E48" s="58" t="s">
        <v>221</v>
      </c>
      <c r="F48" s="60" t="s">
        <v>11413</v>
      </c>
      <c r="G48" s="58" t="s">
        <v>11414</v>
      </c>
      <c r="H48" s="58" t="s">
        <v>5664</v>
      </c>
      <c r="I48" s="58" t="s">
        <v>11391</v>
      </c>
      <c r="J48" s="58" t="s">
        <v>11415</v>
      </c>
      <c r="K48" s="58" t="s">
        <v>439</v>
      </c>
      <c r="L48" s="58" t="s">
        <v>11416</v>
      </c>
      <c r="M48" s="58"/>
      <c r="N48" s="61" t="s">
        <v>91</v>
      </c>
      <c r="O48" s="58" t="s">
        <v>6131</v>
      </c>
      <c r="P48" s="61" t="n">
        <v>356</v>
      </c>
    </row>
    <row r="49" customFormat="false" ht="22.35" hidden="false" customHeight="false" outlineLevel="0" collapsed="false">
      <c r="A49" s="22" t="s">
        <v>11417</v>
      </c>
      <c r="B49" s="17" t="s">
        <v>11354</v>
      </c>
      <c r="C49" s="17" t="s">
        <v>154</v>
      </c>
      <c r="D49" s="55" t="s">
        <v>5668</v>
      </c>
      <c r="E49" s="17" t="s">
        <v>221</v>
      </c>
      <c r="F49" s="56" t="s">
        <v>11418</v>
      </c>
      <c r="G49" s="17" t="s">
        <v>11419</v>
      </c>
      <c r="H49" s="17" t="s">
        <v>5671</v>
      </c>
      <c r="I49" s="17" t="s">
        <v>11391</v>
      </c>
      <c r="J49" s="17" t="s">
        <v>11283</v>
      </c>
      <c r="K49" s="17"/>
      <c r="L49" s="17" t="s">
        <v>11420</v>
      </c>
      <c r="M49" s="17"/>
      <c r="N49" s="15" t="s">
        <v>91</v>
      </c>
      <c r="O49" s="17" t="s">
        <v>6131</v>
      </c>
      <c r="P49" s="15" t="n">
        <v>367</v>
      </c>
    </row>
    <row r="50" customFormat="false" ht="22.35" hidden="false" customHeight="false" outlineLevel="0" collapsed="false">
      <c r="A50" s="57" t="s">
        <v>11421</v>
      </c>
      <c r="B50" s="58" t="s">
        <v>11354</v>
      </c>
      <c r="C50" s="58" t="s">
        <v>154</v>
      </c>
      <c r="D50" s="59" t="s">
        <v>5675</v>
      </c>
      <c r="E50" s="58" t="s">
        <v>221</v>
      </c>
      <c r="F50" s="60" t="s">
        <v>11422</v>
      </c>
      <c r="G50" s="58" t="s">
        <v>11423</v>
      </c>
      <c r="H50" s="58" t="s">
        <v>5678</v>
      </c>
      <c r="I50" s="58" t="s">
        <v>11391</v>
      </c>
      <c r="J50" s="58" t="s">
        <v>11290</v>
      </c>
      <c r="K50" s="58" t="s">
        <v>11291</v>
      </c>
      <c r="L50" s="58" t="s">
        <v>11424</v>
      </c>
      <c r="M50" s="58"/>
      <c r="N50" s="61" t="s">
        <v>91</v>
      </c>
      <c r="O50" s="58" t="s">
        <v>6131</v>
      </c>
      <c r="P50" s="61" t="n">
        <v>373</v>
      </c>
    </row>
    <row r="51" customFormat="false" ht="22.35" hidden="false" customHeight="false" outlineLevel="0" collapsed="false">
      <c r="A51" s="22" t="s">
        <v>11425</v>
      </c>
      <c r="B51" s="17" t="s">
        <v>11354</v>
      </c>
      <c r="C51" s="17" t="s">
        <v>154</v>
      </c>
      <c r="D51" s="55" t="s">
        <v>5683</v>
      </c>
      <c r="E51" s="17" t="s">
        <v>221</v>
      </c>
      <c r="F51" s="56" t="s">
        <v>11426</v>
      </c>
      <c r="G51" s="17" t="s">
        <v>11427</v>
      </c>
      <c r="H51" s="17" t="s">
        <v>5686</v>
      </c>
      <c r="I51" s="17" t="s">
        <v>11391</v>
      </c>
      <c r="J51" s="17" t="s">
        <v>11298</v>
      </c>
      <c r="K51" s="17" t="s">
        <v>10450</v>
      </c>
      <c r="L51" s="17" t="s">
        <v>11428</v>
      </c>
      <c r="M51" s="17"/>
      <c r="N51" s="15" t="s">
        <v>91</v>
      </c>
      <c r="O51" s="17" t="s">
        <v>6131</v>
      </c>
      <c r="P51" s="15" t="n">
        <v>379</v>
      </c>
    </row>
    <row r="52" customFormat="false" ht="22.35" hidden="false" customHeight="false" outlineLevel="0" collapsed="false">
      <c r="A52" s="57" t="s">
        <v>11429</v>
      </c>
      <c r="B52" s="58" t="s">
        <v>11354</v>
      </c>
      <c r="C52" s="58" t="s">
        <v>154</v>
      </c>
      <c r="D52" s="59" t="s">
        <v>5691</v>
      </c>
      <c r="E52" s="58" t="s">
        <v>221</v>
      </c>
      <c r="F52" s="60" t="s">
        <v>11430</v>
      </c>
      <c r="G52" s="58" t="s">
        <v>11431</v>
      </c>
      <c r="H52" s="58" t="s">
        <v>5694</v>
      </c>
      <c r="I52" s="58" t="s">
        <v>11391</v>
      </c>
      <c r="J52" s="58" t="s">
        <v>11432</v>
      </c>
      <c r="K52" s="58" t="s">
        <v>11306</v>
      </c>
      <c r="L52" s="58" t="s">
        <v>11433</v>
      </c>
      <c r="M52" s="58"/>
      <c r="N52" s="61" t="s">
        <v>91</v>
      </c>
      <c r="O52" s="58" t="s">
        <v>6131</v>
      </c>
      <c r="P52" s="61" t="n">
        <v>385</v>
      </c>
    </row>
    <row r="53" customFormat="false" ht="22.35" hidden="false" customHeight="false" outlineLevel="0" collapsed="false">
      <c r="A53" s="22" t="s">
        <v>11434</v>
      </c>
      <c r="B53" s="17" t="s">
        <v>11354</v>
      </c>
      <c r="C53" s="17" t="s">
        <v>154</v>
      </c>
      <c r="D53" s="55" t="s">
        <v>5699</v>
      </c>
      <c r="E53" s="17" t="s">
        <v>221</v>
      </c>
      <c r="F53" s="56" t="s">
        <v>11435</v>
      </c>
      <c r="G53" s="17" t="s">
        <v>11436</v>
      </c>
      <c r="H53" s="17" t="s">
        <v>11312</v>
      </c>
      <c r="I53" s="17" t="s">
        <v>11391</v>
      </c>
      <c r="J53" s="17" t="s">
        <v>11437</v>
      </c>
      <c r="K53" s="17"/>
      <c r="L53" s="17" t="s">
        <v>11438</v>
      </c>
      <c r="M53" s="17"/>
      <c r="N53" s="15" t="s">
        <v>91</v>
      </c>
      <c r="O53" s="17" t="s">
        <v>6131</v>
      </c>
      <c r="P53" s="15" t="n">
        <v>391</v>
      </c>
    </row>
    <row r="54" customFormat="false" ht="22.35" hidden="false" customHeight="false" outlineLevel="0" collapsed="false">
      <c r="A54" s="57" t="s">
        <v>11439</v>
      </c>
      <c r="B54" s="58" t="s">
        <v>11354</v>
      </c>
      <c r="C54" s="58" t="s">
        <v>154</v>
      </c>
      <c r="D54" s="59" t="s">
        <v>5707</v>
      </c>
      <c r="E54" s="58" t="s">
        <v>221</v>
      </c>
      <c r="F54" s="60" t="s">
        <v>11440</v>
      </c>
      <c r="G54" s="58" t="s">
        <v>11441</v>
      </c>
      <c r="H54" s="58" t="s">
        <v>631</v>
      </c>
      <c r="I54" s="58" t="s">
        <v>11391</v>
      </c>
      <c r="J54" s="58" t="s">
        <v>11318</v>
      </c>
      <c r="K54" s="58"/>
      <c r="L54" s="58" t="s">
        <v>11442</v>
      </c>
      <c r="M54" s="58"/>
      <c r="N54" s="61" t="s">
        <v>91</v>
      </c>
      <c r="O54" s="58" t="s">
        <v>6131</v>
      </c>
      <c r="P54" s="61" t="n">
        <v>399</v>
      </c>
    </row>
    <row r="55" customFormat="false" ht="32.8" hidden="false" customHeight="false" outlineLevel="0" collapsed="false">
      <c r="A55" s="22" t="s">
        <v>11443</v>
      </c>
      <c r="B55" s="17" t="s">
        <v>11354</v>
      </c>
      <c r="C55" s="17" t="s">
        <v>154</v>
      </c>
      <c r="D55" s="55" t="s">
        <v>5713</v>
      </c>
      <c r="E55" s="17" t="s">
        <v>221</v>
      </c>
      <c r="F55" s="56" t="s">
        <v>11444</v>
      </c>
      <c r="G55" s="17" t="s">
        <v>11445</v>
      </c>
      <c r="H55" s="17" t="s">
        <v>11446</v>
      </c>
      <c r="I55" s="17" t="s">
        <v>11447</v>
      </c>
      <c r="J55" s="17"/>
      <c r="K55" s="17"/>
      <c r="L55" s="17" t="s">
        <v>11448</v>
      </c>
      <c r="M55" s="17" t="s">
        <v>11449</v>
      </c>
      <c r="N55" s="15" t="s">
        <v>91</v>
      </c>
      <c r="O55" s="17" t="s">
        <v>6131</v>
      </c>
      <c r="P55" s="15" t="n">
        <v>405</v>
      </c>
    </row>
    <row r="56" customFormat="false" ht="22.35" hidden="false" customHeight="false" outlineLevel="0" collapsed="false">
      <c r="A56" s="57" t="s">
        <v>11450</v>
      </c>
      <c r="B56" s="58" t="s">
        <v>11354</v>
      </c>
      <c r="C56" s="58" t="s">
        <v>154</v>
      </c>
      <c r="D56" s="59" t="s">
        <v>5721</v>
      </c>
      <c r="E56" s="58" t="s">
        <v>221</v>
      </c>
      <c r="F56" s="60" t="s">
        <v>11451</v>
      </c>
      <c r="G56" s="58" t="s">
        <v>11452</v>
      </c>
      <c r="H56" s="58" t="s">
        <v>9678</v>
      </c>
      <c r="I56" s="58" t="s">
        <v>11391</v>
      </c>
      <c r="J56" s="58" t="s">
        <v>11331</v>
      </c>
      <c r="K56" s="58"/>
      <c r="L56" s="58" t="s">
        <v>11453</v>
      </c>
      <c r="M56" s="58"/>
      <c r="N56" s="61" t="s">
        <v>91</v>
      </c>
      <c r="O56" s="58" t="s">
        <v>6131</v>
      </c>
      <c r="P56" s="61" t="n">
        <v>436</v>
      </c>
    </row>
    <row r="57" customFormat="false" ht="22.35" hidden="false" customHeight="false" outlineLevel="0" collapsed="false">
      <c r="A57" s="22" t="s">
        <v>11454</v>
      </c>
      <c r="B57" s="17" t="s">
        <v>11354</v>
      </c>
      <c r="C57" s="17" t="s">
        <v>154</v>
      </c>
      <c r="D57" s="55" t="s">
        <v>5727</v>
      </c>
      <c r="E57" s="17" t="s">
        <v>221</v>
      </c>
      <c r="F57" s="56" t="s">
        <v>11455</v>
      </c>
      <c r="G57" s="17" t="s">
        <v>11456</v>
      </c>
      <c r="H57" s="17" t="s">
        <v>9678</v>
      </c>
      <c r="I57" s="17" t="s">
        <v>11391</v>
      </c>
      <c r="J57" s="17" t="s">
        <v>11331</v>
      </c>
      <c r="K57" s="17"/>
      <c r="L57" s="17" t="s">
        <v>11457</v>
      </c>
      <c r="M57" s="17"/>
      <c r="N57" s="15" t="s">
        <v>91</v>
      </c>
      <c r="O57" s="17" t="s">
        <v>6131</v>
      </c>
      <c r="P57" s="15" t="n">
        <v>441</v>
      </c>
    </row>
    <row r="58" customFormat="false" ht="22.35" hidden="false" customHeight="false" outlineLevel="0" collapsed="false">
      <c r="A58" s="57" t="s">
        <v>11458</v>
      </c>
      <c r="B58" s="58" t="s">
        <v>11354</v>
      </c>
      <c r="C58" s="58" t="s">
        <v>154</v>
      </c>
      <c r="D58" s="59" t="s">
        <v>5733</v>
      </c>
      <c r="E58" s="58" t="s">
        <v>221</v>
      </c>
      <c r="F58" s="60" t="s">
        <v>11459</v>
      </c>
      <c r="G58" s="58" t="s">
        <v>11460</v>
      </c>
      <c r="H58" s="58" t="s">
        <v>9678</v>
      </c>
      <c r="I58" s="58" t="s">
        <v>11391</v>
      </c>
      <c r="J58" s="58" t="s">
        <v>11331</v>
      </c>
      <c r="K58" s="58"/>
      <c r="L58" s="58" t="s">
        <v>11461</v>
      </c>
      <c r="M58" s="58"/>
      <c r="N58" s="61" t="s">
        <v>91</v>
      </c>
      <c r="O58" s="58" t="s">
        <v>6131</v>
      </c>
      <c r="P58" s="61" t="n">
        <v>446</v>
      </c>
    </row>
    <row r="59" customFormat="false" ht="22.35" hidden="false" customHeight="false" outlineLevel="0" collapsed="false">
      <c r="A59" s="22" t="s">
        <v>11462</v>
      </c>
      <c r="B59" s="17" t="s">
        <v>11354</v>
      </c>
      <c r="C59" s="17" t="s">
        <v>154</v>
      </c>
      <c r="D59" s="55" t="s">
        <v>5739</v>
      </c>
      <c r="E59" s="17" t="s">
        <v>221</v>
      </c>
      <c r="F59" s="56" t="s">
        <v>11463</v>
      </c>
      <c r="G59" s="17" t="s">
        <v>11464</v>
      </c>
      <c r="H59" s="17" t="s">
        <v>9678</v>
      </c>
      <c r="I59" s="17" t="s">
        <v>11391</v>
      </c>
      <c r="J59" s="17" t="s">
        <v>11331</v>
      </c>
      <c r="K59" s="17"/>
      <c r="L59" s="17" t="s">
        <v>11465</v>
      </c>
      <c r="M59" s="17"/>
      <c r="N59" s="15" t="s">
        <v>91</v>
      </c>
      <c r="O59" s="17" t="s">
        <v>6131</v>
      </c>
      <c r="P59" s="15" t="n">
        <v>451</v>
      </c>
    </row>
    <row r="60" customFormat="false" ht="22.35" hidden="false" customHeight="false" outlineLevel="0" collapsed="false">
      <c r="A60" s="57" t="s">
        <v>11466</v>
      </c>
      <c r="B60" s="58" t="s">
        <v>11354</v>
      </c>
      <c r="C60" s="58" t="s">
        <v>154</v>
      </c>
      <c r="D60" s="59" t="s">
        <v>5546</v>
      </c>
      <c r="E60" s="58" t="s">
        <v>221</v>
      </c>
      <c r="F60" s="60" t="s">
        <v>11467</v>
      </c>
      <c r="G60" s="58" t="s">
        <v>11468</v>
      </c>
      <c r="H60" s="58" t="s">
        <v>9678</v>
      </c>
      <c r="I60" s="58" t="s">
        <v>6383</v>
      </c>
      <c r="J60" s="58"/>
      <c r="K60" s="58"/>
      <c r="L60" s="58"/>
      <c r="M60" s="58" t="s">
        <v>11469</v>
      </c>
      <c r="N60" s="61" t="s">
        <v>91</v>
      </c>
      <c r="O60" s="58" t="s">
        <v>6131</v>
      </c>
      <c r="P60" s="61" t="n">
        <v>480</v>
      </c>
    </row>
    <row r="61" customFormat="false" ht="32.8" hidden="false" customHeight="false" outlineLevel="0" collapsed="false">
      <c r="A61" s="22" t="s">
        <v>11470</v>
      </c>
      <c r="B61" s="17" t="s">
        <v>11354</v>
      </c>
      <c r="C61" s="17" t="s">
        <v>154</v>
      </c>
      <c r="D61" s="55" t="s">
        <v>5553</v>
      </c>
      <c r="E61" s="17" t="s">
        <v>221</v>
      </c>
      <c r="F61" s="56" t="s">
        <v>11471</v>
      </c>
      <c r="G61" s="17" t="s">
        <v>11472</v>
      </c>
      <c r="H61" s="17" t="s">
        <v>5556</v>
      </c>
      <c r="I61" s="17" t="s">
        <v>11473</v>
      </c>
      <c r="J61" s="17"/>
      <c r="K61" s="17"/>
      <c r="L61" s="17"/>
      <c r="M61" s="17"/>
      <c r="N61" s="15" t="s">
        <v>91</v>
      </c>
      <c r="O61" s="17" t="s">
        <v>6131</v>
      </c>
      <c r="P61" s="15" t="n">
        <v>498</v>
      </c>
    </row>
    <row r="62" customFormat="false" ht="43.25" hidden="false" customHeight="false" outlineLevel="0" collapsed="false">
      <c r="A62" s="57" t="s">
        <v>11474</v>
      </c>
      <c r="B62" s="58" t="s">
        <v>11354</v>
      </c>
      <c r="C62" s="58" t="s">
        <v>154</v>
      </c>
      <c r="D62" s="59" t="s">
        <v>5561</v>
      </c>
      <c r="E62" s="58" t="s">
        <v>221</v>
      </c>
      <c r="F62" s="60" t="s">
        <v>11475</v>
      </c>
      <c r="G62" s="58" t="s">
        <v>11476</v>
      </c>
      <c r="H62" s="58" t="s">
        <v>5564</v>
      </c>
      <c r="I62" s="58" t="s">
        <v>11477</v>
      </c>
      <c r="J62" s="58"/>
      <c r="K62" s="58"/>
      <c r="L62" s="58" t="s">
        <v>11478</v>
      </c>
      <c r="M62" s="58"/>
      <c r="N62" s="61" t="s">
        <v>91</v>
      </c>
      <c r="O62" s="58" t="s">
        <v>6131</v>
      </c>
      <c r="P62" s="61" t="n">
        <v>513</v>
      </c>
    </row>
    <row r="63" customFormat="false" ht="32.8" hidden="false" customHeight="false" outlineLevel="0" collapsed="false">
      <c r="A63" s="22" t="s">
        <v>11479</v>
      </c>
      <c r="B63" s="17" t="s">
        <v>11354</v>
      </c>
      <c r="C63" s="17" t="s">
        <v>154</v>
      </c>
      <c r="D63" s="55" t="s">
        <v>5569</v>
      </c>
      <c r="E63" s="17" t="s">
        <v>221</v>
      </c>
      <c r="F63" s="56" t="s">
        <v>11480</v>
      </c>
      <c r="G63" s="17" t="s">
        <v>11481</v>
      </c>
      <c r="H63" s="17" t="s">
        <v>11482</v>
      </c>
      <c r="I63" s="17" t="s">
        <v>11483</v>
      </c>
      <c r="J63" s="17" t="s">
        <v>11484</v>
      </c>
      <c r="K63" s="17" t="s">
        <v>439</v>
      </c>
      <c r="L63" s="17" t="s">
        <v>11485</v>
      </c>
      <c r="M63" s="17"/>
      <c r="N63" s="15" t="s">
        <v>91</v>
      </c>
      <c r="O63" s="17" t="s">
        <v>6131</v>
      </c>
      <c r="P63" s="15" t="n">
        <v>604</v>
      </c>
    </row>
    <row r="64" customFormat="false" ht="53.7" hidden="false" customHeight="false" outlineLevel="0" collapsed="false">
      <c r="A64" s="57" t="s">
        <v>11486</v>
      </c>
      <c r="B64" s="58" t="s">
        <v>11354</v>
      </c>
      <c r="C64" s="58" t="s">
        <v>154</v>
      </c>
      <c r="D64" s="59" t="s">
        <v>5577</v>
      </c>
      <c r="E64" s="58" t="s">
        <v>221</v>
      </c>
      <c r="F64" s="60" t="s">
        <v>11487</v>
      </c>
      <c r="G64" s="58" t="s">
        <v>11488</v>
      </c>
      <c r="H64" s="58" t="s">
        <v>5564</v>
      </c>
      <c r="I64" s="58" t="s">
        <v>11489</v>
      </c>
      <c r="J64" s="58"/>
      <c r="K64" s="58" t="s">
        <v>656</v>
      </c>
      <c r="L64" s="58" t="s">
        <v>11490</v>
      </c>
      <c r="M64" s="58"/>
      <c r="N64" s="61" t="s">
        <v>91</v>
      </c>
      <c r="O64" s="58" t="s">
        <v>6131</v>
      </c>
      <c r="P64" s="61" t="n">
        <v>648</v>
      </c>
    </row>
    <row r="65" customFormat="false" ht="262.65" hidden="false" customHeight="false" outlineLevel="0" collapsed="false">
      <c r="A65" s="22" t="s">
        <v>11491</v>
      </c>
      <c r="B65" s="17" t="s">
        <v>11354</v>
      </c>
      <c r="C65" s="17" t="s">
        <v>154</v>
      </c>
      <c r="D65" s="55" t="s">
        <v>5764</v>
      </c>
      <c r="E65" s="17" t="s">
        <v>221</v>
      </c>
      <c r="F65" s="56" t="s">
        <v>11492</v>
      </c>
      <c r="G65" s="17" t="s">
        <v>11493</v>
      </c>
      <c r="H65" s="17" t="s">
        <v>11494</v>
      </c>
      <c r="I65" s="17" t="s">
        <v>11495</v>
      </c>
      <c r="J65" s="17"/>
      <c r="K65" s="17"/>
      <c r="L65" s="17" t="s">
        <v>11496</v>
      </c>
      <c r="M65" s="17" t="s">
        <v>11497</v>
      </c>
      <c r="N65" s="15" t="s">
        <v>91</v>
      </c>
      <c r="O65" s="17" t="s">
        <v>6131</v>
      </c>
      <c r="P65" s="15" t="n">
        <v>700</v>
      </c>
    </row>
    <row r="66" customFormat="false" ht="15" hidden="false" customHeight="false" outlineLevel="0" collapsed="false">
      <c r="A66" s="57" t="s">
        <v>11498</v>
      </c>
      <c r="B66" s="58" t="s">
        <v>11354</v>
      </c>
      <c r="C66" s="58" t="s">
        <v>154</v>
      </c>
      <c r="D66" s="59" t="s">
        <v>5745</v>
      </c>
      <c r="E66" s="58" t="s">
        <v>221</v>
      </c>
      <c r="F66" s="60" t="s">
        <v>11499</v>
      </c>
      <c r="G66" s="58" t="s">
        <v>11500</v>
      </c>
      <c r="H66" s="58" t="s">
        <v>9678</v>
      </c>
      <c r="I66" s="58" t="s">
        <v>11391</v>
      </c>
      <c r="J66" s="58" t="s">
        <v>11331</v>
      </c>
      <c r="K66" s="58"/>
      <c r="L66" s="58" t="s">
        <v>11501</v>
      </c>
      <c r="M66" s="58"/>
      <c r="N66" s="61" t="s">
        <v>91</v>
      </c>
      <c r="O66" s="58" t="s">
        <v>6131</v>
      </c>
      <c r="P66" s="61" t="n">
        <v>754</v>
      </c>
    </row>
    <row r="67" customFormat="false" ht="22.35" hidden="false" customHeight="false" outlineLevel="0" collapsed="false">
      <c r="A67" s="22" t="s">
        <v>11502</v>
      </c>
      <c r="B67" s="17" t="s">
        <v>11354</v>
      </c>
      <c r="C67" s="17" t="s">
        <v>154</v>
      </c>
      <c r="D67" s="55" t="s">
        <v>5751</v>
      </c>
      <c r="E67" s="17" t="s">
        <v>221</v>
      </c>
      <c r="F67" s="56" t="s">
        <v>11503</v>
      </c>
      <c r="G67" s="17" t="s">
        <v>11504</v>
      </c>
      <c r="H67" s="17" t="s">
        <v>9678</v>
      </c>
      <c r="I67" s="17" t="s">
        <v>11391</v>
      </c>
      <c r="J67" s="17" t="s">
        <v>11331</v>
      </c>
      <c r="K67" s="17"/>
      <c r="L67" s="17" t="s">
        <v>11505</v>
      </c>
      <c r="M67" s="17"/>
      <c r="N67" s="15" t="s">
        <v>91</v>
      </c>
      <c r="O67" s="17" t="s">
        <v>6131</v>
      </c>
      <c r="P67" s="15" t="n">
        <v>759</v>
      </c>
    </row>
    <row r="68" customFormat="false" ht="32.8" hidden="false" customHeight="false" outlineLevel="0" collapsed="false">
      <c r="A68" s="57" t="s">
        <v>11506</v>
      </c>
      <c r="B68" s="58" t="s">
        <v>11354</v>
      </c>
      <c r="C68" s="58" t="s">
        <v>154</v>
      </c>
      <c r="D68" s="59" t="s">
        <v>5757</v>
      </c>
      <c r="E68" s="58" t="s">
        <v>221</v>
      </c>
      <c r="F68" s="60" t="s">
        <v>11507</v>
      </c>
      <c r="G68" s="58" t="s">
        <v>11508</v>
      </c>
      <c r="H68" s="58" t="s">
        <v>11509</v>
      </c>
      <c r="I68" s="58" t="s">
        <v>11510</v>
      </c>
      <c r="J68" s="58" t="s">
        <v>11511</v>
      </c>
      <c r="K68" s="58"/>
      <c r="L68" s="58" t="s">
        <v>11512</v>
      </c>
      <c r="M68" s="58" t="s">
        <v>11513</v>
      </c>
      <c r="N68" s="61" t="s">
        <v>91</v>
      </c>
      <c r="O68" s="58" t="s">
        <v>6131</v>
      </c>
      <c r="P68" s="61" t="n">
        <v>769</v>
      </c>
    </row>
  </sheetData>
  <autoFilter ref="A4:P68"/>
  <mergeCells count="1">
    <mergeCell ref="A2:J2"/>
  </mergeCells>
  <printOptions headings="false" gridLines="false" gridLinesSet="true" horizontalCentered="true" verticalCentered="false"/>
  <pageMargins left="0.4" right="0.4" top="0.5" bottom="0.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&amp;LiW-ASCEJ-01-API-Reference-R1.0-REL1.0&amp;C&amp;A&amp;RPage &amp;P of &amp;N</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60"/>
    <col collapsed="false" customWidth="true" hidden="false" outlineLevel="0" max="4" min="4" style="0" width="46"/>
    <col collapsed="false" customWidth="true" hidden="false" outlineLevel="0" max="7" min="5" style="0" width="10"/>
    <col collapsed="false" customWidth="true" hidden="false" outlineLevel="0" max="8" min="8" style="0" width="46"/>
  </cols>
  <sheetData>
    <row r="1" customFormat="false" ht="25.5" hidden="false" customHeight="true" outlineLevel="0" collapsed="false">
      <c r="A1" s="12" t="s">
        <v>77</v>
      </c>
    </row>
    <row r="2" customFormat="false" ht="30" hidden="false" customHeight="true" outlineLevel="0" collapsed="false">
      <c r="A2" s="13" t="s">
        <v>11514</v>
      </c>
      <c r="B2" s="13"/>
      <c r="C2" s="13"/>
      <c r="D2" s="13"/>
      <c r="E2" s="13"/>
      <c r="F2" s="13"/>
      <c r="G2" s="13"/>
      <c r="H2" s="13"/>
    </row>
    <row r="4" customFormat="false" ht="30" hidden="false" customHeight="true" outlineLevel="0" collapsed="false">
      <c r="A4" s="14" t="s">
        <v>11515</v>
      </c>
      <c r="B4" s="14" t="s">
        <v>11516</v>
      </c>
      <c r="C4" s="14" t="s">
        <v>11517</v>
      </c>
      <c r="D4" s="14" t="s">
        <v>11518</v>
      </c>
      <c r="E4" s="14" t="s">
        <v>11519</v>
      </c>
      <c r="F4" s="14" t="s">
        <v>11520</v>
      </c>
      <c r="G4" s="14" t="s">
        <v>11521</v>
      </c>
      <c r="H4" s="14" t="s">
        <v>11522</v>
      </c>
    </row>
    <row r="5" customFormat="false" ht="22.35" hidden="false" customHeight="false" outlineLevel="0" collapsed="false">
      <c r="A5" s="17" t="s">
        <v>11523</v>
      </c>
      <c r="B5" s="17" t="s">
        <v>11524</v>
      </c>
      <c r="C5" s="17" t="s">
        <v>11525</v>
      </c>
      <c r="D5" s="17" t="s">
        <v>11526</v>
      </c>
      <c r="E5" s="15" t="n">
        <v>17</v>
      </c>
      <c r="F5" s="15" t="n">
        <v>0</v>
      </c>
      <c r="G5" s="62" t="str">
        <f aca="false">IF(AND(F5=0,E5&gt;0),"PASS","FAIL")</f>
        <v>PASS</v>
      </c>
      <c r="H5" s="17" t="s">
        <v>11527</v>
      </c>
    </row>
    <row r="6" customFormat="false" ht="22.35" hidden="false" customHeight="false" outlineLevel="0" collapsed="false">
      <c r="A6" s="17" t="s">
        <v>11528</v>
      </c>
      <c r="B6" s="17" t="s">
        <v>11529</v>
      </c>
      <c r="C6" s="17" t="s">
        <v>11530</v>
      </c>
      <c r="D6" s="17" t="s">
        <v>11531</v>
      </c>
      <c r="E6" s="15" t="n">
        <v>17</v>
      </c>
      <c r="F6" s="15" t="n">
        <v>0</v>
      </c>
      <c r="G6" s="62" t="str">
        <f aca="false">IF(AND(F6=0,E6&gt;0),"PASS","FAIL")</f>
        <v>PASS</v>
      </c>
      <c r="H6" s="17" t="s">
        <v>11532</v>
      </c>
    </row>
    <row r="7" customFormat="false" ht="15" hidden="false" customHeight="false" outlineLevel="0" collapsed="false">
      <c r="A7" s="17" t="s">
        <v>11533</v>
      </c>
      <c r="B7" s="17" t="s">
        <v>11534</v>
      </c>
      <c r="C7" s="17" t="s">
        <v>11535</v>
      </c>
      <c r="D7" s="17" t="s">
        <v>11536</v>
      </c>
      <c r="E7" s="15" t="n">
        <v>17</v>
      </c>
      <c r="F7" s="15" t="n">
        <v>0</v>
      </c>
      <c r="G7" s="62" t="str">
        <f aca="false">IF(AND(F7=0,E7&gt;0),"PASS","FAIL")</f>
        <v>PASS</v>
      </c>
      <c r="H7" s="17" t="s">
        <v>11537</v>
      </c>
    </row>
    <row r="8" customFormat="false" ht="22.35" hidden="false" customHeight="false" outlineLevel="0" collapsed="false">
      <c r="A8" s="17" t="s">
        <v>11538</v>
      </c>
      <c r="B8" s="17" t="s">
        <v>11539</v>
      </c>
      <c r="C8" s="17" t="s">
        <v>11540</v>
      </c>
      <c r="D8" s="17" t="s">
        <v>11541</v>
      </c>
      <c r="E8" s="15" t="n">
        <v>20</v>
      </c>
      <c r="F8" s="15" t="n">
        <v>0</v>
      </c>
      <c r="G8" s="62" t="str">
        <f aca="false">IF(AND(F8=0,E8&gt;0),"PASS","FAIL")</f>
        <v>PASS</v>
      </c>
      <c r="H8" s="17" t="s">
        <v>11542</v>
      </c>
    </row>
    <row r="9" customFormat="false" ht="15" hidden="false" customHeight="false" outlineLevel="0" collapsed="false">
      <c r="A9" s="17" t="s">
        <v>11543</v>
      </c>
      <c r="B9" s="17" t="s">
        <v>11544</v>
      </c>
      <c r="C9" s="17" t="s">
        <v>11545</v>
      </c>
      <c r="D9" s="17" t="s">
        <v>11546</v>
      </c>
      <c r="E9" s="15" t="n">
        <v>13</v>
      </c>
      <c r="F9" s="15" t="n">
        <v>0</v>
      </c>
      <c r="G9" s="62" t="str">
        <f aca="false">IF(AND(F9=0,E9&gt;0),"PASS","FAIL")</f>
        <v>PASS</v>
      </c>
      <c r="H9" s="17" t="s">
        <v>11547</v>
      </c>
    </row>
    <row r="10" customFormat="false" ht="22.35" hidden="false" customHeight="false" outlineLevel="0" collapsed="false">
      <c r="A10" s="17" t="s">
        <v>11548</v>
      </c>
      <c r="B10" s="17" t="s">
        <v>11549</v>
      </c>
      <c r="C10" s="17" t="s">
        <v>11550</v>
      </c>
      <c r="D10" s="17" t="s">
        <v>11551</v>
      </c>
      <c r="E10" s="15" t="n">
        <v>39</v>
      </c>
      <c r="F10" s="15" t="n">
        <v>0</v>
      </c>
      <c r="G10" s="62" t="str">
        <f aca="false">IF(AND(F10=0,E10&gt;0),"PASS","FAIL")</f>
        <v>PASS</v>
      </c>
      <c r="H10" s="17" t="s">
        <v>11552</v>
      </c>
    </row>
    <row r="11" customFormat="false" ht="22.35" hidden="false" customHeight="false" outlineLevel="0" collapsed="false">
      <c r="A11" s="17" t="s">
        <v>11553</v>
      </c>
      <c r="B11" s="17" t="s">
        <v>11554</v>
      </c>
      <c r="C11" s="17" t="s">
        <v>11555</v>
      </c>
      <c r="D11" s="17" t="s">
        <v>11556</v>
      </c>
      <c r="E11" s="15" t="n">
        <v>4</v>
      </c>
      <c r="F11" s="15" t="n">
        <v>0</v>
      </c>
      <c r="G11" s="62" t="str">
        <f aca="false">IF(AND(F11=0,E11&gt;0),"PASS","FAIL")</f>
        <v>PASS</v>
      </c>
      <c r="H11" s="17" t="s">
        <v>11557</v>
      </c>
    </row>
    <row r="12" customFormat="false" ht="22.35" hidden="false" customHeight="false" outlineLevel="0" collapsed="false">
      <c r="A12" s="17" t="s">
        <v>11558</v>
      </c>
      <c r="B12" s="17" t="s">
        <v>11559</v>
      </c>
      <c r="C12" s="17" t="s">
        <v>11560</v>
      </c>
      <c r="D12" s="17" t="s">
        <v>11561</v>
      </c>
      <c r="E12" s="15" t="n">
        <v>18</v>
      </c>
      <c r="F12" s="15" t="n">
        <v>0</v>
      </c>
      <c r="G12" s="62" t="str">
        <f aca="false">IF(AND(F12=0,E12&gt;0),"PASS","FAIL")</f>
        <v>PASS</v>
      </c>
      <c r="H12" s="17" t="s">
        <v>11562</v>
      </c>
    </row>
    <row r="13" customFormat="false" ht="22.35" hidden="false" customHeight="false" outlineLevel="0" collapsed="false">
      <c r="A13" s="17" t="s">
        <v>11563</v>
      </c>
      <c r="B13" s="17" t="s">
        <v>11564</v>
      </c>
      <c r="C13" s="17" t="s">
        <v>11565</v>
      </c>
      <c r="D13" s="17" t="s">
        <v>11566</v>
      </c>
      <c r="E13" s="15" t="n">
        <v>73</v>
      </c>
      <c r="F13" s="15" t="n">
        <v>0</v>
      </c>
      <c r="G13" s="62" t="str">
        <f aca="false">IF(AND(F13=0,E13&gt;0),"PASS","FAIL")</f>
        <v>PASS</v>
      </c>
      <c r="H13" s="17" t="s">
        <v>11567</v>
      </c>
    </row>
    <row r="14" customFormat="false" ht="22.35" hidden="false" customHeight="false" outlineLevel="0" collapsed="false">
      <c r="A14" s="17" t="s">
        <v>11568</v>
      </c>
      <c r="B14" s="17" t="s">
        <v>11569</v>
      </c>
      <c r="C14" s="17" t="s">
        <v>11570</v>
      </c>
      <c r="D14" s="17" t="s">
        <v>11571</v>
      </c>
      <c r="E14" s="15" t="n">
        <v>26</v>
      </c>
      <c r="F14" s="15" t="n">
        <v>0</v>
      </c>
      <c r="G14" s="62" t="str">
        <f aca="false">IF(AND(F14=0,E14&gt;0),"PASS","FAIL")</f>
        <v>PASS</v>
      </c>
      <c r="H14" s="17" t="s">
        <v>11572</v>
      </c>
    </row>
    <row r="15" customFormat="false" ht="15" hidden="false" customHeight="false" outlineLevel="0" collapsed="false">
      <c r="D15" s="18" t="s">
        <v>11573</v>
      </c>
      <c r="E15" s="18" t="n">
        <f aca="false">SUM(E5:E14)</f>
        <v>244</v>
      </c>
      <c r="F15" s="18" t="n">
        <f aca="false">SUM(F5:F14)</f>
        <v>0</v>
      </c>
      <c r="G15" s="18" t="str">
        <f aca="false">IF(COUNTIF(G5:G14,"PASS")=10,"ALL PASS","CHECK")</f>
        <v>ALL PASS</v>
      </c>
    </row>
    <row r="16" customFormat="false" ht="15" hidden="false" customHeight="false" outlineLevel="0" collapsed="false">
      <c r="B16" s="9" t="s">
        <v>11574</v>
      </c>
    </row>
  </sheetData>
  <mergeCells count="1">
    <mergeCell ref="A2:H2"/>
  </mergeCells>
  <printOptions headings="false" gridLines="false" gridLinesSet="true" horizontalCentered="true" verticalCentered="false"/>
  <pageMargins left="0.4" right="0.4" top="0.5" bottom="0.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&amp;LiW-ASCEJ-01-API-Reference-R1.0-REL1.0&amp;C&amp;A&amp;RPage &amp;P of &amp;N</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B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25.5" hidden="false" customHeight="true" outlineLevel="0" collapsed="false">
      <c r="A1" s="12" t="s">
        <v>79</v>
      </c>
    </row>
    <row r="3" customFormat="false" ht="30" hidden="false" customHeight="true" outlineLevel="0" collapsed="false">
      <c r="A3" s="14" t="s">
        <v>11575</v>
      </c>
      <c r="B3" s="14" t="s">
        <v>253</v>
      </c>
    </row>
    <row r="4" customFormat="false" ht="15" hidden="false" customHeight="false" outlineLevel="0" collapsed="false">
      <c r="A4" s="22" t="s">
        <v>11576</v>
      </c>
      <c r="B4" s="17" t="s">
        <v>11577</v>
      </c>
    </row>
    <row r="5" customFormat="false" ht="15" hidden="false" customHeight="false" outlineLevel="0" collapsed="false">
      <c r="A5" s="22" t="s">
        <v>11578</v>
      </c>
      <c r="B5" s="17" t="s">
        <v>11579</v>
      </c>
    </row>
    <row r="6" customFormat="false" ht="15" hidden="false" customHeight="false" outlineLevel="0" collapsed="false">
      <c r="A6" s="22" t="s">
        <v>11580</v>
      </c>
      <c r="B6" s="17" t="s">
        <v>11581</v>
      </c>
    </row>
    <row r="7" customFormat="false" ht="15" hidden="false" customHeight="false" outlineLevel="0" collapsed="false">
      <c r="A7" s="22" t="s">
        <v>11582</v>
      </c>
      <c r="B7" s="17" t="s">
        <v>11583</v>
      </c>
    </row>
    <row r="8" customFormat="false" ht="15" hidden="false" customHeight="false" outlineLevel="0" collapsed="false">
      <c r="A8" s="22" t="s">
        <v>11584</v>
      </c>
      <c r="B8" s="17" t="s">
        <v>11585</v>
      </c>
    </row>
    <row r="9" customFormat="false" ht="15" hidden="false" customHeight="false" outlineLevel="0" collapsed="false">
      <c r="A9" s="22" t="s">
        <v>11586</v>
      </c>
      <c r="B9" s="17" t="s">
        <v>11587</v>
      </c>
    </row>
    <row r="10" customFormat="false" ht="15" hidden="false" customHeight="false" outlineLevel="0" collapsed="false">
      <c r="A10" s="22" t="s">
        <v>11588</v>
      </c>
      <c r="B10" s="17" t="s">
        <v>11589</v>
      </c>
    </row>
    <row r="11" customFormat="false" ht="15" hidden="false" customHeight="false" outlineLevel="0" collapsed="false">
      <c r="A11" s="22" t="s">
        <v>11590</v>
      </c>
      <c r="B11" s="17" t="s">
        <v>11591</v>
      </c>
    </row>
    <row r="12" customFormat="false" ht="15" hidden="false" customHeight="false" outlineLevel="0" collapsed="false">
      <c r="A12" s="22" t="s">
        <v>11592</v>
      </c>
      <c r="B12" s="17" t="s">
        <v>11593</v>
      </c>
    </row>
    <row r="13" customFormat="false" ht="15" hidden="false" customHeight="false" outlineLevel="0" collapsed="false">
      <c r="A13" s="22" t="s">
        <v>11594</v>
      </c>
      <c r="B13" s="17" t="s">
        <v>11595</v>
      </c>
    </row>
    <row r="14" customFormat="false" ht="15" hidden="false" customHeight="false" outlineLevel="0" collapsed="false">
      <c r="A14" s="22" t="s">
        <v>101</v>
      </c>
      <c r="B14" s="17" t="s">
        <v>11596</v>
      </c>
    </row>
    <row r="15" customFormat="false" ht="15" hidden="false" customHeight="false" outlineLevel="0" collapsed="false">
      <c r="A15" s="22" t="s">
        <v>197</v>
      </c>
      <c r="B15" s="17" t="s">
        <v>11597</v>
      </c>
    </row>
    <row r="16" customFormat="false" ht="15" hidden="false" customHeight="false" outlineLevel="0" collapsed="false">
      <c r="A16" s="22" t="s">
        <v>11598</v>
      </c>
      <c r="B16" s="17" t="s">
        <v>11599</v>
      </c>
    </row>
    <row r="17" customFormat="false" ht="15" hidden="false" customHeight="false" outlineLevel="0" collapsed="false">
      <c r="A17" s="22" t="s">
        <v>11600</v>
      </c>
      <c r="B17" s="17" t="s">
        <v>11601</v>
      </c>
    </row>
    <row r="18" customFormat="false" ht="15" hidden="false" customHeight="false" outlineLevel="0" collapsed="false">
      <c r="A18" s="22" t="s">
        <v>11602</v>
      </c>
      <c r="B18" s="17" t="s">
        <v>11603</v>
      </c>
    </row>
    <row r="19" customFormat="false" ht="15" hidden="false" customHeight="false" outlineLevel="0" collapsed="false">
      <c r="A19" s="22" t="s">
        <v>11604</v>
      </c>
      <c r="B19" s="17" t="s">
        <v>11605</v>
      </c>
    </row>
    <row r="20" customFormat="false" ht="15" hidden="false" customHeight="false" outlineLevel="0" collapsed="false">
      <c r="A20" s="22" t="s">
        <v>862</v>
      </c>
      <c r="B20" s="17" t="s">
        <v>11606</v>
      </c>
    </row>
    <row r="21" customFormat="false" ht="15" hidden="false" customHeight="false" outlineLevel="0" collapsed="false">
      <c r="A21" s="22" t="s">
        <v>11607</v>
      </c>
      <c r="B21" s="17" t="s">
        <v>11608</v>
      </c>
    </row>
    <row r="22" customFormat="false" ht="15" hidden="false" customHeight="false" outlineLevel="0" collapsed="false">
      <c r="A22" s="22" t="s">
        <v>11609</v>
      </c>
      <c r="B22" s="17" t="s">
        <v>11610</v>
      </c>
    </row>
    <row r="23" customFormat="false" ht="15" hidden="false" customHeight="false" outlineLevel="0" collapsed="false">
      <c r="A23" s="22" t="s">
        <v>607</v>
      </c>
      <c r="B23" s="17" t="s">
        <v>11611</v>
      </c>
    </row>
    <row r="24" customFormat="false" ht="15" hidden="false" customHeight="false" outlineLevel="0" collapsed="false">
      <c r="A24" s="22" t="s">
        <v>200</v>
      </c>
      <c r="B24" s="17" t="s">
        <v>11612</v>
      </c>
    </row>
    <row r="25" customFormat="false" ht="15" hidden="false" customHeight="false" outlineLevel="0" collapsed="false">
      <c r="A25" s="22" t="s">
        <v>11613</v>
      </c>
      <c r="B25" s="17" t="s">
        <v>11614</v>
      </c>
    </row>
    <row r="26" customFormat="false" ht="15" hidden="false" customHeight="false" outlineLevel="0" collapsed="false">
      <c r="A26" s="22" t="s">
        <v>11615</v>
      </c>
      <c r="B26" s="17" t="s">
        <v>11616</v>
      </c>
    </row>
    <row r="27" customFormat="false" ht="15" hidden="false" customHeight="false" outlineLevel="0" collapsed="false">
      <c r="A27" s="22" t="s">
        <v>11617</v>
      </c>
      <c r="B27" s="17" t="s">
        <v>11618</v>
      </c>
    </row>
    <row r="28" customFormat="false" ht="15" hidden="false" customHeight="false" outlineLevel="0" collapsed="false">
      <c r="A28" s="22" t="s">
        <v>11619</v>
      </c>
      <c r="B28" s="17" t="s">
        <v>11620</v>
      </c>
    </row>
    <row r="29" customFormat="false" ht="15" hidden="false" customHeight="false" outlineLevel="0" collapsed="false">
      <c r="A29" s="22" t="s">
        <v>11621</v>
      </c>
      <c r="B29" s="17" t="s">
        <v>11622</v>
      </c>
    </row>
    <row r="30" customFormat="false" ht="15" hidden="false" customHeight="false" outlineLevel="0" collapsed="false">
      <c r="A30" s="22" t="s">
        <v>11623</v>
      </c>
      <c r="B30" s="17" t="s">
        <v>11624</v>
      </c>
    </row>
    <row r="31" customFormat="false" ht="15" hidden="false" customHeight="false" outlineLevel="0" collapsed="false">
      <c r="A31" s="22" t="s">
        <v>11625</v>
      </c>
      <c r="B31" s="17" t="s">
        <v>11626</v>
      </c>
    </row>
    <row r="32" customFormat="false" ht="15" hidden="false" customHeight="false" outlineLevel="0" collapsed="false">
      <c r="A32" s="22" t="s">
        <v>11627</v>
      </c>
      <c r="B32" s="17" t="s">
        <v>11628</v>
      </c>
    </row>
  </sheetData>
  <printOptions headings="false" gridLines="false" gridLinesSet="true" horizontalCentered="true" verticalCentered="false"/>
  <pageMargins left="0.4" right="0.4" top="0.5" bottom="0.5"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&amp;LiW-ASCEJ-01-API-Reference-R1.0-REL1.0&amp;C&amp;A&amp;RPage &amp;P of &amp;N</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10"/>
    <col collapsed="false" customWidth="true" hidden="false" outlineLevel="0" max="4" min="4" style="0" width="14"/>
    <col collapsed="false" customWidth="true" hidden="false" outlineLevel="0" max="5" min="5" style="0" width="100"/>
  </cols>
  <sheetData>
    <row r="1" customFormat="false" ht="25.5" hidden="false" customHeight="true" outlineLevel="0" collapsed="false">
      <c r="A1" s="12" t="s">
        <v>81</v>
      </c>
    </row>
    <row r="3" customFormat="false" ht="30" hidden="false" customHeight="true" outlineLevel="0" collapsed="false">
      <c r="A3" s="14" t="s">
        <v>11629</v>
      </c>
      <c r="B3" s="14" t="s">
        <v>9</v>
      </c>
      <c r="C3" s="14" t="s">
        <v>11630</v>
      </c>
      <c r="D3" s="14" t="s">
        <v>17</v>
      </c>
      <c r="E3" s="14" t="s">
        <v>11631</v>
      </c>
    </row>
    <row r="4" customFormat="false" ht="32.8" hidden="false" customHeight="false" outlineLevel="0" collapsed="false">
      <c r="A4" s="17" t="s">
        <v>8</v>
      </c>
      <c r="B4" s="17" t="s">
        <v>11632</v>
      </c>
      <c r="C4" s="17" t="s">
        <v>11633</v>
      </c>
      <c r="D4" s="17" t="s">
        <v>11634</v>
      </c>
      <c r="E4" s="17" t="s">
        <v>11635</v>
      </c>
    </row>
    <row r="6" customFormat="false" ht="15" hidden="false" customHeight="false" outlineLevel="0" collapsed="false">
      <c r="A6" s="9" t="s">
        <v>11636</v>
      </c>
    </row>
  </sheetData>
  <printOptions headings="false" gridLines="false" gridLinesSet="true" horizontalCentered="true" verticalCentered="false"/>
  <pageMargins left="0.4" right="0.4" top="0.5" bottom="0.5"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&amp;LiW-ASCEJ-01-API-Reference-R1.0-REL1.0&amp;C&amp;A&amp;RPage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2026-10-04T18:55:42Z</dcterms:created>
  <dc:creator>iW-ASCEJ-01 project</dc:creator>
  <dc:description/>
  <cp:keywords>API QDMA RFDC DSP GUI firmware PCIe</cp:keywords>
  <dc:language>en-US</dc:language>
  <cp:lastModifiedBy/>
  <dcterms:modified xsi:type="dcterms:W3CDTF">2026-10-04T18:55:43Z</dcterms:modified>
  <cp:revision>0</cp:revision>
  <dc:subject>ZU47DR RFSoC SDR platform - REL1.0 (software 1.2.5)</dc:subject>
  <dc:title>iW-ASCEJ-01 API &amp; Engineering Calculation Reference</dc:title>
</cp:coreProperties>
</file>

<file path=docProps/custom.xml><?xml version="1.0" encoding="utf-8"?>
<Properties xmlns="http://schemas.openxmlformats.org/officeDocument/2006/custom-properties" xmlns:vt="http://schemas.openxmlformats.org/officeDocument/2006/docPropsVTypes"/>
</file>