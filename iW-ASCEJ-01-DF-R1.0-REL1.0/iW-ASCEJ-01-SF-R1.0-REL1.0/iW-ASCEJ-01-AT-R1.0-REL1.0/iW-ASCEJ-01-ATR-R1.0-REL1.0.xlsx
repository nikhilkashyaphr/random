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omated Results" sheetId="2" state="visible" r:id="rId2"/>
    <sheet xmlns:r="http://schemas.openxmlformats.org/officeDocument/2006/relationships" name="Check Detail" sheetId="3" state="visible" r:id="rId3"/>
    <sheet xmlns:r="http://schemas.openxmlformats.org/officeDocument/2006/relationships" name="Bench Record" sheetId="4" state="visible" r:id="rId4"/>
  </sheets>
  <definedNames>
    <definedName name="_xlnm.Print_Titles" localSheetId="1">'Automated Results'!$5:$5</definedName>
    <definedName name="_xlnm._FilterDatabase" localSheetId="2" hidden="1">'Check Detail'!$A$4:$D$248</definedName>
    <definedName name="_xlnm.Print_Titles" localSheetId="2">'Check Detail'!$4:$4</definedName>
    <definedName name="_xlnm.Print_Titles" localSheetId="3">'Bench Record'!$4:$4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40404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3F7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 ht="26" customHeight="1">
      <c r="A1" s="1" t="inlineStr">
        <is>
          <t>Acceptance Test Report — iW-ASCEJ-01-ATR-R1.0-REL1.0</t>
        </is>
      </c>
    </row>
    <row r="2" ht="30" customHeight="1">
      <c r="A2" s="2" t="inlineStr">
        <is>
          <t>Package iW-ASCEJ-01-DF-R1.0-REL1.0 (software 1.2.5). Automated results were recorded from the logs in 01_Logs. Bench results are entered on the Bench Record sheet (yellow cells).</t>
        </is>
      </c>
    </row>
    <row r="4">
      <c r="A4" s="3" t="inlineStr">
        <is>
          <t>Document</t>
        </is>
      </c>
      <c r="B4" s="4" t="inlineStr">
        <is>
          <t>iW-ASCEJ-01-ATR-R1.0-REL1.0</t>
        </is>
      </c>
      <c r="C4" s="5" t="n"/>
      <c r="D4" s="5" t="n"/>
      <c r="E4" s="5" t="n"/>
      <c r="F4" s="6" t="n"/>
    </row>
    <row r="5">
      <c r="A5" s="3" t="inlineStr">
        <is>
          <t>Procedure</t>
        </is>
      </c>
      <c r="B5" s="4" t="inlineStr">
        <is>
          <t>iW-ASCEJ-01-ATP-R1.0-REL1.0</t>
        </is>
      </c>
      <c r="C5" s="5" t="n"/>
      <c r="D5" s="5" t="n"/>
      <c r="E5" s="5" t="n"/>
      <c r="F5" s="6" t="n"/>
    </row>
    <row r="6">
      <c r="A6" s="3" t="inlineStr">
        <is>
          <t>Package</t>
        </is>
      </c>
      <c r="B6" s="4" t="inlineStr">
        <is>
          <t>iW-ASCEJ-01-DF-R1.0-REL1.0 / software 1.2.5</t>
        </is>
      </c>
      <c r="C6" s="5" t="n"/>
      <c r="D6" s="5" t="n"/>
      <c r="E6" s="5" t="n"/>
      <c r="F6" s="6" t="n"/>
    </row>
    <row r="7">
      <c r="A7" s="3" t="inlineStr">
        <is>
          <t>Automated run date</t>
        </is>
      </c>
      <c r="B7" s="4" t="inlineStr">
        <is>
          <t>05-Oct-2026</t>
        </is>
      </c>
      <c r="C7" s="5" t="n"/>
      <c r="D7" s="5" t="n"/>
      <c r="E7" s="5" t="n"/>
      <c r="F7" s="6" t="n"/>
    </row>
    <row r="8">
      <c r="A8" s="3" t="inlineStr">
        <is>
          <t>Automated run host</t>
        </is>
      </c>
      <c r="B8" s="4" t="inlineStr">
        <is>
          <t>Ubuntu 24.04.4 LTS, Linux 6.18 x86-64, gcc 13.3.0, CMake 3.28.3, Qt 5.15.13</t>
        </is>
      </c>
      <c r="C8" s="5" t="n"/>
      <c r="D8" s="5" t="n"/>
      <c r="E8" s="5" t="n"/>
      <c r="F8" s="6" t="n"/>
    </row>
    <row r="11" ht="30" customHeight="1">
      <c r="A11" s="7" t="inlineStr">
        <is>
          <t>Class</t>
        </is>
      </c>
      <c r="B11" s="7" t="inlineStr">
        <is>
          <t>Tests</t>
        </is>
      </c>
      <c r="C11" s="7" t="inlineStr">
        <is>
          <t>PASS</t>
        </is>
      </c>
      <c r="D11" s="7" t="inlineStr">
        <is>
          <t>FAIL</t>
        </is>
      </c>
      <c r="E11" s="7" t="inlineStr">
        <is>
          <t>N/A / open</t>
        </is>
      </c>
      <c r="F11" s="7" t="inlineStr">
        <is>
          <t>Status</t>
        </is>
      </c>
    </row>
    <row r="12">
      <c r="A12" s="4" t="inlineStr">
        <is>
          <t>Automated tests (TS)</t>
        </is>
      </c>
      <c r="B12" s="4">
        <f>COUNTA('Automated Results'!A6:A15)</f>
        <v/>
      </c>
      <c r="C12" s="4">
        <f>COUNTIF('Automated Results'!F6:F15,"PASS")</f>
        <v/>
      </c>
      <c r="D12" s="4">
        <f>COUNTIF('Automated Results'!F6:F15,"FAIL")</f>
        <v/>
      </c>
      <c r="E12" s="4">
        <f>B12-C12-D12</f>
        <v/>
      </c>
      <c r="F12" s="8">
        <f>IF(D12&gt;0,"FAIL",IF(E12&gt;0,"OPEN","PASS"))</f>
        <v/>
      </c>
    </row>
    <row r="13">
      <c r="A13" s="4" t="inlineStr">
        <is>
          <t>Automated checks</t>
        </is>
      </c>
      <c r="B13" s="4">
        <f>COUNTA('Check Detail'!A5:A2000)</f>
        <v/>
      </c>
      <c r="C13" s="4">
        <f>COUNTIF('Check Detail'!D5:D2000,"PASS")</f>
        <v/>
      </c>
      <c r="D13" s="4">
        <f>COUNTIF('Check Detail'!D5:D2000,"FAIL")</f>
        <v/>
      </c>
      <c r="E13" s="4">
        <f>B13-C13-D13</f>
        <v/>
      </c>
      <c r="F13" s="8">
        <f>IF(D13&gt;0,"FAIL",IF(E13&gt;0,"OPEN","PASS"))</f>
        <v/>
      </c>
    </row>
    <row r="14">
      <c r="A14" s="4" t="inlineStr">
        <is>
          <t>Bench tests (BT)</t>
        </is>
      </c>
      <c r="B14" s="4">
        <f>COUNTA('Bench Record'!A5:A24)</f>
        <v/>
      </c>
      <c r="C14" s="4">
        <f>COUNTIF('Bench Record'!H5:H24,"PASS")</f>
        <v/>
      </c>
      <c r="D14" s="4">
        <f>COUNTIF('Bench Record'!H5:H24,"FAIL")</f>
        <v/>
      </c>
      <c r="E14" s="4">
        <f>B14-C14-D14</f>
        <v/>
      </c>
      <c r="F14" s="8">
        <f>IF(D14&gt;0,"FAIL",IF(E14&gt;0,"OPEN","PASS"))</f>
        <v/>
      </c>
    </row>
    <row r="16">
      <c r="A16" s="9" t="inlineStr">
        <is>
          <t>Overall acceptance</t>
        </is>
      </c>
      <c r="F16" s="10">
        <f>IF(COUNTIF(F12:F14,"FAIL")&gt;0,"NOT ACCEPTED",IF(COUNTIF(F12:F14,"OPEN")&gt;0,"PENDING BENCH TESTS","ACCEPTED"))</f>
        <v/>
      </c>
    </row>
    <row r="19">
      <c r="A19" s="10" t="inlineStr">
        <is>
          <t>Sign-off</t>
        </is>
      </c>
    </row>
    <row r="20">
      <c r="A20" s="3" t="inlineStr">
        <is>
          <t>Tested by</t>
        </is>
      </c>
      <c r="B20" s="11" t="n"/>
      <c r="C20" s="5" t="n"/>
      <c r="D20" s="5" t="n"/>
      <c r="E20" s="5" t="n"/>
      <c r="F20" s="6" t="n"/>
    </row>
    <row r="21">
      <c r="A21" s="3" t="inlineStr">
        <is>
          <t>Witnessed by (customer)</t>
        </is>
      </c>
      <c r="B21" s="11" t="n"/>
      <c r="C21" s="5" t="n"/>
      <c r="D21" s="5" t="n"/>
      <c r="E21" s="5" t="n"/>
      <c r="F21" s="6" t="n"/>
    </row>
    <row r="22">
      <c r="A22" s="3" t="inlineStr">
        <is>
          <t>Approved by</t>
        </is>
      </c>
      <c r="B22" s="11" t="n"/>
      <c r="C22" s="5" t="n"/>
      <c r="D22" s="5" t="n"/>
      <c r="E22" s="5" t="n"/>
      <c r="F22" s="6" t="n"/>
    </row>
  </sheetData>
  <mergeCells count="9">
    <mergeCell ref="B4:F4"/>
    <mergeCell ref="A2:F2"/>
    <mergeCell ref="B21:F21"/>
    <mergeCell ref="B7:F7"/>
    <mergeCell ref="B6:F6"/>
    <mergeCell ref="B20:F20"/>
    <mergeCell ref="B5:F5"/>
    <mergeCell ref="B22:F22"/>
    <mergeCell ref="B8:F8"/>
  </mergeCells>
  <conditionalFormatting sqref="F12:F16">
    <cfRule type="cellIs" priority="1" operator="equal" dxfId="0">
      <formula>"PASS"</formula>
    </cfRule>
    <cfRule type="cellIs" priority="2" operator="equal" dxfId="0">
      <formula>"ACCEPTED"</formula>
    </cfRule>
    <cfRule type="cellIs" priority="3" operator="equal" dxfId="1">
      <formula>"FAIL"</formula>
    </cfRule>
    <cfRule type="cellIs" priority="4" operator="equal" dxfId="1">
      <formula>"NOT ACCEPTED"</formula>
    </cfRule>
    <cfRule type="cellIs" priority="5" operator="equal" dxfId="2">
      <formula>"OPEN"</formula>
    </cfRule>
    <cfRule type="cellIs" priority="6" operator="equal" dxfId="2">
      <formula>"PENDING BENCH TESTS"</formula>
    </cfRule>
  </conditionalFormatting>
  <printOptions horizontalCentered="1"/>
  <pageMargins left="0.4" right="0.4" top="0.5" bottom="0.5" header="0.5" footer="0.5"/>
  <pageSetup orientation="portrait" paperSize="9" fitToHeight="0" fitToWidth="1"/>
  <headerFooter>
    <oddHeader/>
    <oddFooter>&amp;LiW-ASCEJ-01-API-Reference-R1.0-REL1.0&amp;C&amp;A&amp;RPage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0" customWidth="1" min="3" max="3"/>
    <col width="12" customWidth="1" min="4" max="4"/>
    <col width="12" customWidth="1" min="5" max="5"/>
    <col width="10" customWidth="1" min="6" max="6"/>
    <col width="44" customWidth="1" min="7" max="7"/>
    <col width="16" customWidth="1" min="8" max="8"/>
  </cols>
  <sheetData>
    <row r="1" ht="26" customHeight="1">
      <c r="A1" s="1" t="inlineStr">
        <is>
          <t>Automated Results (TS)</t>
        </is>
      </c>
    </row>
    <row r="2" ht="30" customHeight="1">
      <c r="A2" s="2" t="inlineStr">
        <is>
          <t>One row per automated test. The check counts come from the log of each test (ctest -V output).</t>
        </is>
      </c>
    </row>
    <row r="5" ht="30" customHeight="1">
      <c r="A5" s="7" t="inlineStr">
        <is>
          <t>ID</t>
        </is>
      </c>
      <c r="B5" s="7" t="inlineStr">
        <is>
          <t>Test</t>
        </is>
      </c>
      <c r="C5" s="7" t="inlineStr">
        <is>
          <t>Suite / ctest name</t>
        </is>
      </c>
      <c r="D5" s="7" t="inlineStr">
        <is>
          <t>Checks PASS</t>
        </is>
      </c>
      <c r="E5" s="7" t="inlineStr">
        <is>
          <t>Checks FAIL</t>
        </is>
      </c>
      <c r="F5" s="7" t="inlineStr">
        <is>
          <t>Result</t>
        </is>
      </c>
      <c r="G5" s="7" t="inlineStr">
        <is>
          <t>Log file (01_Logs)</t>
        </is>
      </c>
      <c r="H5" s="7" t="inlineStr">
        <is>
          <t>ctest / runner reported pass</t>
        </is>
      </c>
    </row>
    <row r="6">
      <c r="A6" s="4" t="inlineStr">
        <is>
          <t>TS-01</t>
        </is>
      </c>
      <c r="B6" s="4" t="inlineStr">
        <is>
          <t>Firmware DAC input routing</t>
        </is>
      </c>
      <c r="C6" s="4" t="inlineStr">
        <is>
          <t>firmware/run_tests.sh</t>
        </is>
      </c>
      <c r="D6" s="4">
        <f>COUNTIFS('Check Detail'!$A$5:$A$2000,A6,'Check Detail'!$D$5:$D$2000,"PASS")</f>
        <v/>
      </c>
      <c r="E6" s="4">
        <f>COUNTIFS('Check Detail'!$A$5:$A$2000,A6,'Check Detail'!$D$5:$D$2000,"FAIL")</f>
        <v/>
      </c>
      <c r="F6" s="8">
        <f>IF(AND(E6=0,D6&gt;0,H6="yes"),"PASS","FAIL")</f>
        <v/>
      </c>
      <c r="G6" s="4" t="inlineStr">
        <is>
          <t>TS-01_firmware_dac_routing.log</t>
        </is>
      </c>
      <c r="H6" s="4" t="inlineStr">
        <is>
          <t>yes</t>
        </is>
      </c>
    </row>
    <row r="7">
      <c r="A7" s="4" t="inlineStr">
        <is>
          <t>TS-02</t>
        </is>
      </c>
      <c r="B7" s="4" t="inlineStr">
        <is>
          <t>PCIe end-to-end, firmware 1.2.1</t>
        </is>
      </c>
      <c r="C7" s="4" t="inlineStr">
        <is>
          <t>pcie_emu / pcie_e2e_fw_1_2_1</t>
        </is>
      </c>
      <c r="D7" s="4">
        <f>COUNTIFS('Check Detail'!$A$5:$A$2000,A7,'Check Detail'!$D$5:$D$2000,"PASS")</f>
        <v/>
      </c>
      <c r="E7" s="4">
        <f>COUNTIFS('Check Detail'!$A$5:$A$2000,A7,'Check Detail'!$D$5:$D$2000,"FAIL")</f>
        <v/>
      </c>
      <c r="F7" s="8">
        <f>IF(AND(E7=0,D7&gt;0,H7="yes"),"PASS","FAIL")</f>
        <v/>
      </c>
      <c r="G7" s="4" t="inlineStr">
        <is>
          <t>TS-02_pcie_emu_pcie_e2e_fw_1_2_1.log</t>
        </is>
      </c>
      <c r="H7" s="4" t="inlineStr">
        <is>
          <t>yes</t>
        </is>
      </c>
    </row>
    <row r="8">
      <c r="A8" s="4" t="inlineStr">
        <is>
          <t>TS-03</t>
        </is>
      </c>
      <c r="B8" s="4" t="inlineStr">
        <is>
          <t>PCIe end-to-end, firmware 1.2.0 (not reflashed)</t>
        </is>
      </c>
      <c r="C8" s="4" t="inlineStr">
        <is>
          <t>pcie_emu / pcie_e2e_fw_1_2_0</t>
        </is>
      </c>
      <c r="D8" s="4">
        <f>COUNTIFS('Check Detail'!$A$5:$A$2000,A8,'Check Detail'!$D$5:$D$2000,"PASS")</f>
        <v/>
      </c>
      <c r="E8" s="4">
        <f>COUNTIFS('Check Detail'!$A$5:$A$2000,A8,'Check Detail'!$D$5:$D$2000,"FAIL")</f>
        <v/>
      </c>
      <c r="F8" s="8">
        <f>IF(AND(E8=0,D8&gt;0,H8="yes"),"PASS","FAIL")</f>
        <v/>
      </c>
      <c r="G8" s="4" t="inlineStr">
        <is>
          <t>TS-03_pcie_emu_pcie_e2e_fw_1_2_0.log</t>
        </is>
      </c>
      <c r="H8" s="4" t="inlineStr">
        <is>
          <t>yes</t>
        </is>
      </c>
    </row>
    <row r="9">
      <c r="A9" s="4" t="inlineStr">
        <is>
          <t>TS-04</t>
        </is>
      </c>
      <c r="B9" s="4" t="inlineStr">
        <is>
          <t>Host transmit path</t>
        </is>
      </c>
      <c r="C9" s="4" t="inlineStr">
        <is>
          <t>gui / tx_path</t>
        </is>
      </c>
      <c r="D9" s="4">
        <f>COUNTIFS('Check Detail'!$A$5:$A$2000,A9,'Check Detail'!$D$5:$D$2000,"PASS")</f>
        <v/>
      </c>
      <c r="E9" s="4">
        <f>COUNTIFS('Check Detail'!$A$5:$A$2000,A9,'Check Detail'!$D$5:$D$2000,"FAIL")</f>
        <v/>
      </c>
      <c r="F9" s="8">
        <f>IF(AND(E9=0,D9&gt;0,H9="yes"),"PASS","FAIL")</f>
        <v/>
      </c>
      <c r="G9" s="4" t="inlineStr">
        <is>
          <t>TS-04_gui_tx_path.log</t>
        </is>
      </c>
      <c r="H9" s="4" t="inlineStr">
        <is>
          <t>yes</t>
        </is>
      </c>
    </row>
    <row r="10">
      <c r="A10" s="4" t="inlineStr">
        <is>
          <t>TS-05</t>
        </is>
      </c>
      <c r="B10" s="4" t="inlineStr">
        <is>
          <t>Simulated RF loopback</t>
        </is>
      </c>
      <c r="C10" s="4" t="inlineStr">
        <is>
          <t>gui / sim_loopback</t>
        </is>
      </c>
      <c r="D10" s="4">
        <f>COUNTIFS('Check Detail'!$A$5:$A$2000,A10,'Check Detail'!$D$5:$D$2000,"PASS")</f>
        <v/>
      </c>
      <c r="E10" s="4">
        <f>COUNTIFS('Check Detail'!$A$5:$A$2000,A10,'Check Detail'!$D$5:$D$2000,"FAIL")</f>
        <v/>
      </c>
      <c r="F10" s="8">
        <f>IF(AND(E10=0,D10&gt;0,H10="yes"),"PASS","FAIL")</f>
        <v/>
      </c>
      <c r="G10" s="4" t="inlineStr">
        <is>
          <t>TS-05_gui_sim_loopback.log</t>
        </is>
      </c>
      <c r="H10" s="4" t="inlineStr">
        <is>
          <t>yes</t>
        </is>
      </c>
    </row>
    <row r="11">
      <c r="A11" s="4" t="inlineStr">
        <is>
          <t>TS-06</t>
        </is>
      </c>
      <c r="B11" s="4" t="inlineStr">
        <is>
          <t>H2C / RFDC control window</t>
        </is>
      </c>
      <c r="C11" s="4" t="inlineStr">
        <is>
          <t>gui / control_window</t>
        </is>
      </c>
      <c r="D11" s="4">
        <f>COUNTIFS('Check Detail'!$A$5:$A$2000,A11,'Check Detail'!$D$5:$D$2000,"PASS")</f>
        <v/>
      </c>
      <c r="E11" s="4">
        <f>COUNTIFS('Check Detail'!$A$5:$A$2000,A11,'Check Detail'!$D$5:$D$2000,"FAIL")</f>
        <v/>
      </c>
      <c r="F11" s="8">
        <f>IF(AND(E11=0,D11&gt;0,H11="yes"),"PASS","FAIL")</f>
        <v/>
      </c>
      <c r="G11" s="4" t="inlineStr">
        <is>
          <t>TS-06_gui_control_window.log</t>
        </is>
      </c>
      <c r="H11" s="4" t="inlineStr">
        <is>
          <t>yes</t>
        </is>
      </c>
    </row>
    <row r="12">
      <c r="A12" s="4" t="inlineStr">
        <is>
          <t>TS-07</t>
        </is>
      </c>
      <c r="B12" s="4" t="inlineStr">
        <is>
          <t>Whole application, simulation</t>
        </is>
      </c>
      <c r="C12" s="4" t="inlineStr">
        <is>
          <t>gui / app_loopback</t>
        </is>
      </c>
      <c r="D12" s="4">
        <f>COUNTIFS('Check Detail'!$A$5:$A$2000,A12,'Check Detail'!$D$5:$D$2000,"PASS")</f>
        <v/>
      </c>
      <c r="E12" s="4">
        <f>COUNTIFS('Check Detail'!$A$5:$A$2000,A12,'Check Detail'!$D$5:$D$2000,"FAIL")</f>
        <v/>
      </c>
      <c r="F12" s="8">
        <f>IF(AND(E12=0,D12&gt;0,H12="yes"),"PASS","FAIL")</f>
        <v/>
      </c>
      <c r="G12" s="4" t="inlineStr">
        <is>
          <t>TS-07_gui_app_loopback.log</t>
        </is>
      </c>
      <c r="H12" s="4" t="inlineStr">
        <is>
          <t>yes</t>
        </is>
      </c>
    </row>
    <row r="13">
      <c r="A13" s="4" t="inlineStr">
        <is>
          <t>TS-08</t>
        </is>
      </c>
      <c r="B13" s="4" t="inlineStr">
        <is>
          <t>Real iwfg_h2c with emulated card</t>
        </is>
      </c>
      <c r="C13" s="4" t="inlineStr">
        <is>
          <t>h2c_emu / h2c_real_helper</t>
        </is>
      </c>
      <c r="D13" s="4">
        <f>COUNTIFS('Check Detail'!$A$5:$A$2000,A13,'Check Detail'!$D$5:$D$2000,"PASS")</f>
        <v/>
      </c>
      <c r="E13" s="4">
        <f>COUNTIFS('Check Detail'!$A$5:$A$2000,A13,'Check Detail'!$D$5:$D$2000,"FAIL")</f>
        <v/>
      </c>
      <c r="F13" s="8">
        <f>IF(AND(E13=0,D13&gt;0,H13="yes"),"PASS","FAIL")</f>
        <v/>
      </c>
      <c r="G13" s="4" t="inlineStr">
        <is>
          <t>TS-08_h2c_emu_h2c_real_helper.log</t>
        </is>
      </c>
      <c r="H13" s="4" t="inlineStr">
        <is>
          <t>yes</t>
        </is>
      </c>
    </row>
    <row r="14">
      <c r="A14" s="4" t="inlineStr">
        <is>
          <t>TS-09</t>
        </is>
      </c>
      <c r="B14" s="4" t="inlineStr">
        <is>
          <t>Send-and-receive chain, fault injection</t>
        </is>
      </c>
      <c r="C14" s="4" t="inlineStr">
        <is>
          <t>h2c_emu / loopback_chain</t>
        </is>
      </c>
      <c r="D14" s="4">
        <f>COUNTIFS('Check Detail'!$A$5:$A$2000,A14,'Check Detail'!$D$5:$D$2000,"PASS")</f>
        <v/>
      </c>
      <c r="E14" s="4">
        <f>COUNTIFS('Check Detail'!$A$5:$A$2000,A14,'Check Detail'!$D$5:$D$2000,"FAIL")</f>
        <v/>
      </c>
      <c r="F14" s="8">
        <f>IF(AND(E14=0,D14&gt;0,H14="yes"),"PASS","FAIL")</f>
        <v/>
      </c>
      <c r="G14" s="4" t="inlineStr">
        <is>
          <t>TS-09_h2c_emu_loopback_chain.log</t>
        </is>
      </c>
      <c r="H14" s="4" t="inlineStr">
        <is>
          <t>yes</t>
        </is>
      </c>
    </row>
    <row r="15">
      <c r="A15" s="4" t="inlineStr">
        <is>
          <t>TS-10</t>
        </is>
      </c>
      <c r="B15" s="4" t="inlineStr">
        <is>
          <t>Whole application, live session, emulated card</t>
        </is>
      </c>
      <c r="C15" s="4" t="inlineStr">
        <is>
          <t>h2c_emu / app_live_session</t>
        </is>
      </c>
      <c r="D15" s="4">
        <f>COUNTIFS('Check Detail'!$A$5:$A$2000,A15,'Check Detail'!$D$5:$D$2000,"PASS")</f>
        <v/>
      </c>
      <c r="E15" s="4">
        <f>COUNTIFS('Check Detail'!$A$5:$A$2000,A15,'Check Detail'!$D$5:$D$2000,"FAIL")</f>
        <v/>
      </c>
      <c r="F15" s="8">
        <f>IF(AND(E15=0,D15&gt;0,H15="yes"),"PASS","FAIL")</f>
        <v/>
      </c>
      <c r="G15" s="4" t="inlineStr">
        <is>
          <t>TS-10_h2c_emu_app_live_session.log</t>
        </is>
      </c>
      <c r="H15" s="4" t="inlineStr">
        <is>
          <t>yes</t>
        </is>
      </c>
    </row>
    <row r="16">
      <c r="C16" s="9" t="inlineStr">
        <is>
          <t>Totals</t>
        </is>
      </c>
      <c r="D16" s="9">
        <f>SUM(D6:D15)</f>
        <v/>
      </c>
      <c r="E16" s="9">
        <f>SUM(E6:E15)</f>
        <v/>
      </c>
    </row>
  </sheetData>
  <mergeCells count="1">
    <mergeCell ref="A2:G2"/>
  </mergeCells>
  <conditionalFormatting sqref="F6:F15">
    <cfRule type="cellIs" priority="1" operator="equal" dxfId="0">
      <formula>"PASS"</formula>
    </cfRule>
    <cfRule type="cellIs" priority="2" operator="equal" dxfId="1">
      <formula>"FAIL"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&amp;LiW-ASCEJ-01-API-Reference-R1.0-REL1.0&amp;C&amp;A&amp;RPage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D2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20" customWidth="1" min="3" max="3"/>
    <col width="10" customWidth="1" min="4" max="4"/>
  </cols>
  <sheetData>
    <row r="1" ht="26" customHeight="1">
      <c r="A1" s="1" t="inlineStr">
        <is>
          <t>Check Detail</t>
        </is>
      </c>
    </row>
    <row r="2" ht="30" customHeight="1">
      <c r="A2" s="2" t="inlineStr">
        <is>
          <t>Every check printed by the automated tests, verbatim from the logs.</t>
        </is>
      </c>
    </row>
    <row r="4" ht="30" customHeight="1">
      <c r="A4" s="7" t="inlineStr">
        <is>
          <t>Test ID</t>
        </is>
      </c>
      <c r="B4" s="7" t="inlineStr">
        <is>
          <t>#</t>
        </is>
      </c>
      <c r="C4" s="7" t="inlineStr">
        <is>
          <t>Check (verbatim)</t>
        </is>
      </c>
      <c r="D4" s="7" t="inlineStr">
        <is>
          <t>Result</t>
        </is>
      </c>
    </row>
    <row r="5">
      <c r="A5" s="4" t="inlineStr">
        <is>
          <t>TS-01</t>
        </is>
      </c>
      <c r="B5" s="4" t="n">
        <v>1</v>
      </c>
      <c r="C5" s="4" t="inlineStr">
        <is>
          <t>refuses to touch the switch before it is initialised</t>
        </is>
      </c>
      <c r="D5" s="8" t="inlineStr">
        <is>
          <t>PASS</t>
        </is>
      </c>
    </row>
    <row r="6">
      <c r="A6" s="12" t="inlineStr">
        <is>
          <t>TS-01</t>
        </is>
      </c>
      <c r="B6" s="12" t="n">
        <v>2</v>
      </c>
      <c r="C6" s="12" t="inlineStr">
        <is>
          <t>...and leaves it untouched</t>
        </is>
      </c>
      <c r="D6" s="13" t="inlineStr">
        <is>
          <t>PASS</t>
        </is>
      </c>
    </row>
    <row r="7">
      <c r="A7" s="4" t="inlineStr">
        <is>
          <t>TS-01</t>
        </is>
      </c>
      <c r="B7" s="4" t="n">
        <v>3</v>
      </c>
      <c r="C7" s="4" t="inlineStr">
        <is>
          <t>boot default routes successfully</t>
        </is>
      </c>
      <c r="D7" s="8" t="inlineStr">
        <is>
          <t>PASS</t>
        </is>
      </c>
    </row>
    <row r="8">
      <c r="A8" s="12" t="inlineStr">
        <is>
          <t>TS-01</t>
        </is>
      </c>
      <c r="B8" s="12" t="n">
        <v>4</v>
      </c>
      <c r="C8" s="12" t="inlineStr">
        <is>
          <t>boot default puts the DDS on the DAC (was: host)</t>
        </is>
      </c>
      <c r="D8" s="13" t="inlineStr">
        <is>
          <t>PASS</t>
        </is>
      </c>
    </row>
    <row r="9">
      <c r="A9" s="4" t="inlineStr">
        <is>
          <t>TS-01</t>
        </is>
      </c>
      <c r="B9" s="4" t="n">
        <v>5</v>
      </c>
      <c r="C9" s="4" t="inlineStr">
        <is>
          <t>select host</t>
        </is>
      </c>
      <c r="D9" s="8" t="inlineStr">
        <is>
          <t>PASS</t>
        </is>
      </c>
    </row>
    <row r="10">
      <c r="A10" s="12" t="inlineStr">
        <is>
          <t>TS-01</t>
        </is>
      </c>
      <c r="B10" s="12" t="n">
        <v>6</v>
      </c>
      <c r="C10" s="12" t="inlineStr">
        <is>
          <t>host selection puts the H2C stream on the DAC</t>
        </is>
      </c>
      <c r="D10" s="13" t="inlineStr">
        <is>
          <t>PASS</t>
        </is>
      </c>
    </row>
    <row r="11">
      <c r="A11" s="4" t="inlineStr">
        <is>
          <t>TS-01</t>
        </is>
      </c>
      <c r="B11" s="4" t="n">
        <v>7</v>
      </c>
      <c r="C11" s="4" t="inlineStr">
        <is>
          <t>readback reports host</t>
        </is>
      </c>
      <c r="D11" s="8" t="inlineStr">
        <is>
          <t>PASS</t>
        </is>
      </c>
    </row>
    <row r="12">
      <c r="A12" s="12" t="inlineStr">
        <is>
          <t>TS-01</t>
        </is>
      </c>
      <c r="B12" s="12" t="n">
        <v>8</v>
      </c>
      <c r="C12" s="12" t="inlineStr">
        <is>
          <t>select DDS</t>
        </is>
      </c>
      <c r="D12" s="13" t="inlineStr">
        <is>
          <t>PASS</t>
        </is>
      </c>
    </row>
    <row r="13">
      <c r="A13" s="4" t="inlineStr">
        <is>
          <t>TS-01</t>
        </is>
      </c>
      <c r="B13" s="4" t="n">
        <v>9</v>
      </c>
      <c r="C13" s="4" t="inlineStr">
        <is>
          <t>DDS selection puts the DDS on the DAC</t>
        </is>
      </c>
      <c r="D13" s="8" t="inlineStr">
        <is>
          <t>PASS</t>
        </is>
      </c>
    </row>
    <row r="14">
      <c r="A14" s="12" t="inlineStr">
        <is>
          <t>TS-01</t>
        </is>
      </c>
      <c r="B14" s="12" t="n">
        <v>10</v>
      </c>
      <c r="C14" s="12" t="inlineStr">
        <is>
          <t>readback reports DDS</t>
        </is>
      </c>
      <c r="D14" s="13" t="inlineStr">
        <is>
          <t>PASS</t>
        </is>
      </c>
    </row>
    <row r="15">
      <c r="A15" s="4" t="inlineStr">
        <is>
          <t>TS-01</t>
        </is>
      </c>
      <c r="B15" s="4" t="n">
        <v>11</v>
      </c>
      <c r="C15" s="4" t="inlineStr">
        <is>
          <t>rejects source 2</t>
        </is>
      </c>
      <c r="D15" s="8" t="inlineStr">
        <is>
          <t>PASS</t>
        </is>
      </c>
    </row>
    <row r="16">
      <c r="A16" s="12" t="inlineStr">
        <is>
          <t>TS-01</t>
        </is>
      </c>
      <c r="B16" s="12" t="n">
        <v>12</v>
      </c>
      <c r="C16" s="12" t="inlineStr">
        <is>
          <t>rejects source -1</t>
        </is>
      </c>
      <c r="D16" s="13" t="inlineStr">
        <is>
          <t>PASS</t>
        </is>
      </c>
    </row>
    <row r="17">
      <c r="A17" s="4" t="inlineStr">
        <is>
          <t>TS-01</t>
        </is>
      </c>
      <c r="B17" s="4" t="n">
        <v>13</v>
      </c>
      <c r="C17" s="4" t="inlineStr">
        <is>
          <t>an invalid request leaves the routing alone</t>
        </is>
      </c>
      <c r="D17" s="8" t="inlineStr">
        <is>
          <t>PASS</t>
        </is>
      </c>
    </row>
    <row r="18">
      <c r="A18" s="12" t="inlineStr">
        <is>
          <t>TS-01</t>
        </is>
      </c>
      <c r="B18" s="12" t="n">
        <v>14</v>
      </c>
      <c r="C18" s="12" t="inlineStr">
        <is>
          <t>disabled switch reads NONE</t>
        </is>
      </c>
      <c r="D18" s="13" t="inlineStr">
        <is>
          <t>PASS</t>
        </is>
      </c>
    </row>
    <row r="19">
      <c r="A19" s="4" t="inlineStr">
        <is>
          <t>TS-01</t>
        </is>
      </c>
      <c r="B19" s="4" t="n">
        <v>15</v>
      </c>
      <c r="C19" s="4" t="inlineStr">
        <is>
          <t>name: DDS</t>
        </is>
      </c>
      <c r="D19" s="8" t="inlineStr">
        <is>
          <t>PASS</t>
        </is>
      </c>
    </row>
    <row r="20">
      <c r="A20" s="12" t="inlineStr">
        <is>
          <t>TS-01</t>
        </is>
      </c>
      <c r="B20" s="12" t="n">
        <v>16</v>
      </c>
      <c r="C20" s="12" t="inlineStr">
        <is>
          <t>name: host</t>
        </is>
      </c>
      <c r="D20" s="13" t="inlineStr">
        <is>
          <t>PASS</t>
        </is>
      </c>
    </row>
    <row r="21">
      <c r="A21" s="4" t="inlineStr">
        <is>
          <t>TS-01</t>
        </is>
      </c>
      <c r="B21" s="4" t="n">
        <v>17</v>
      </c>
      <c r="C21" s="4" t="inlineStr">
        <is>
          <t>exactly one register commit per change</t>
        </is>
      </c>
      <c r="D21" s="8" t="inlineStr">
        <is>
          <t>PASS</t>
        </is>
      </c>
    </row>
    <row r="22">
      <c r="A22" s="12" t="inlineStr">
        <is>
          <t>TS-02</t>
        </is>
      </c>
      <c r="B22" s="12" t="n">
        <v>18</v>
      </c>
      <c r="C22" s="12" t="inlineStr">
        <is>
          <t>boot: the DAC plays the DDS</t>
        </is>
      </c>
      <c r="D22" s="13" t="inlineStr">
        <is>
          <t>PASS</t>
        </is>
      </c>
    </row>
    <row r="23">
      <c r="A23" s="4" t="inlineStr">
        <is>
          <t>TS-02</t>
        </is>
      </c>
      <c r="B23" s="4" t="n">
        <v>19</v>
      </c>
      <c r="C23" s="4" t="inlineStr">
        <is>
          <t>GUI attached to the emulated BAR</t>
        </is>
      </c>
      <c r="D23" s="8" t="inlineStr">
        <is>
          <t>PASS</t>
        </is>
      </c>
    </row>
    <row r="24">
      <c r="A24" s="12" t="inlineStr">
        <is>
          <t>TS-02</t>
        </is>
      </c>
      <c r="B24" s="12" t="n">
        <v>20</v>
      </c>
      <c r="C24" s="12" t="inlineStr">
        <is>
          <t>full sync: ping, identity, every register read back</t>
        </is>
      </c>
      <c r="D24" s="13" t="inlineStr">
        <is>
          <t>PASS</t>
        </is>
      </c>
    </row>
    <row r="25">
      <c r="A25" s="4" t="inlineStr">
        <is>
          <t>TS-02</t>
        </is>
      </c>
      <c r="B25" s="4" t="n">
        <v>21</v>
      </c>
      <c r="C25" s="4" t="inlineStr">
        <is>
          <t>snapshot returned 19 values</t>
        </is>
      </c>
      <c r="D25" s="8" t="inlineStr">
        <is>
          <t>PASS</t>
        </is>
      </c>
    </row>
    <row r="26">
      <c r="A26" s="12" t="inlineStr">
        <is>
          <t>TS-02</t>
        </is>
      </c>
      <c r="B26" s="12" t="n">
        <v>22</v>
      </c>
      <c r="C26" s="12" t="inlineStr">
        <is>
          <t>DAC stream clock read back: 200000 kHz (the generator's sample rate)</t>
        </is>
      </c>
      <c r="D26" s="13" t="inlineStr">
        <is>
          <t>PASS</t>
        </is>
      </c>
    </row>
    <row r="27">
      <c r="A27" s="4" t="inlineStr">
        <is>
          <t>TS-02</t>
        </is>
      </c>
      <c r="B27" s="4" t="n">
        <v>23</v>
      </c>
      <c r="C27" s="4" t="inlineStr">
        <is>
          <t>current firmware: no compensation</t>
        </is>
      </c>
      <c r="D27" s="8" t="inlineStr">
        <is>
          <t>PASS</t>
        </is>
      </c>
    </row>
    <row r="28">
      <c r="A28" s="12" t="inlineStr">
        <is>
          <t>TS-02</t>
        </is>
      </c>
      <c r="B28" s="12" t="n">
        <v>24</v>
      </c>
      <c r="C28" s="12" t="inlineStr">
        <is>
          <t>readback: DDS</t>
        </is>
      </c>
      <c r="D28" s="13" t="inlineStr">
        <is>
          <t>PASS</t>
        </is>
      </c>
    </row>
    <row r="29">
      <c r="A29" s="4" t="inlineStr">
        <is>
          <t>TS-02</t>
        </is>
      </c>
      <c r="B29" s="4" t="n">
        <v>25</v>
      </c>
      <c r="C29" s="4" t="inlineStr">
        <is>
          <t>GUI selects Host / GNU Radio stream</t>
        </is>
      </c>
      <c r="D29" s="8" t="inlineStr">
        <is>
          <t>PASS</t>
        </is>
      </c>
    </row>
    <row r="30">
      <c r="A30" s="12" t="inlineStr">
        <is>
          <t>TS-02</t>
        </is>
      </c>
      <c r="B30" s="12" t="n">
        <v>26</v>
      </c>
      <c r="C30" s="12" t="inlineStr">
        <is>
          <t>-&gt; the DAC plays the host stream</t>
        </is>
      </c>
      <c r="D30" s="13" t="inlineStr">
        <is>
          <t>PASS</t>
        </is>
      </c>
    </row>
    <row r="31">
      <c r="A31" s="4" t="inlineStr">
        <is>
          <t>TS-02</t>
        </is>
      </c>
      <c r="B31" s="4" t="n">
        <v>27</v>
      </c>
      <c r="C31" s="4" t="inlineStr">
        <is>
          <t>-&gt; the device confirms host</t>
        </is>
      </c>
      <c r="D31" s="8" t="inlineStr">
        <is>
          <t>PASS</t>
        </is>
      </c>
    </row>
    <row r="32">
      <c r="A32" s="12" t="inlineStr">
        <is>
          <t>TS-02</t>
        </is>
      </c>
      <c r="B32" s="12" t="n">
        <v>28</v>
      </c>
      <c r="C32" s="12" t="inlineStr">
        <is>
          <t>GUI selects DDS compiler</t>
        </is>
      </c>
      <c r="D32" s="13" t="inlineStr">
        <is>
          <t>PASS</t>
        </is>
      </c>
    </row>
    <row r="33">
      <c r="A33" s="4" t="inlineStr">
        <is>
          <t>TS-02</t>
        </is>
      </c>
      <c r="B33" s="4" t="n">
        <v>29</v>
      </c>
      <c r="C33" s="4" t="inlineStr">
        <is>
          <t>-&gt; the DAC plays the DDS</t>
        </is>
      </c>
      <c r="D33" s="8" t="inlineStr">
        <is>
          <t>PASS</t>
        </is>
      </c>
    </row>
    <row r="34">
      <c r="A34" s="12" t="inlineStr">
        <is>
          <t>TS-02</t>
        </is>
      </c>
      <c r="B34" s="12" t="n">
        <v>30</v>
      </c>
      <c r="C34" s="12" t="inlineStr">
        <is>
          <t>-&gt; the device confirms DDS</t>
        </is>
      </c>
      <c r="D34" s="13" t="inlineStr">
        <is>
          <t>PASS</t>
        </is>
      </c>
    </row>
    <row r="35">
      <c r="A35" s="4" t="inlineStr">
        <is>
          <t>TS-02</t>
        </is>
      </c>
      <c r="B35" s="4" t="n">
        <v>31</v>
      </c>
      <c r="C35" s="4" t="inlineStr">
        <is>
          <t>restore defaults</t>
        </is>
      </c>
      <c r="D35" s="8" t="inlineStr">
        <is>
          <t>PASS</t>
        </is>
      </c>
    </row>
    <row r="36">
      <c r="A36" s="12" t="inlineStr">
        <is>
          <t>TS-02</t>
        </is>
      </c>
      <c r="B36" s="12" t="n">
        <v>32</v>
      </c>
      <c r="C36" s="12" t="inlineStr">
        <is>
          <t>-&gt; defaults put the DDS on the DAC</t>
        </is>
      </c>
      <c r="D36" s="13" t="inlineStr">
        <is>
          <t>PASS</t>
        </is>
      </c>
    </row>
    <row r="37">
      <c r="A37" s="4" t="inlineStr">
        <is>
          <t>TS-02</t>
        </is>
      </c>
      <c r="B37" s="4" t="n">
        <v>33</v>
      </c>
      <c r="C37" s="4" t="inlineStr">
        <is>
          <t>after defaults the panel shows what the DAC really plays (DDS)</t>
        </is>
      </c>
      <c r="D37" s="8" t="inlineStr">
        <is>
          <t>PASS</t>
        </is>
      </c>
    </row>
    <row r="38">
      <c r="A38" s="12" t="inlineStr">
        <is>
          <t>TS-02</t>
        </is>
      </c>
      <c r="B38" s="12" t="n">
        <v>34</v>
      </c>
      <c r="C38" s="12" t="inlineStr">
        <is>
          <t>DAC source 7 rejected: ACK error 0x5</t>
        </is>
      </c>
      <c r="D38" s="13" t="inlineStr">
        <is>
          <t>PASS</t>
        </is>
      </c>
    </row>
    <row r="39">
      <c r="A39" s="4" t="inlineStr">
        <is>
          <t>TS-03</t>
        </is>
      </c>
      <c r="B39" s="4" t="n">
        <v>35</v>
      </c>
      <c r="C39" s="4" t="inlineStr">
        <is>
          <t>1.2.0 boot: the DAC plays the host stream (the old bug)</t>
        </is>
      </c>
      <c r="D39" s="8" t="inlineStr">
        <is>
          <t>PASS</t>
        </is>
      </c>
    </row>
    <row r="40">
      <c r="A40" s="12" t="inlineStr">
        <is>
          <t>TS-03</t>
        </is>
      </c>
      <c r="B40" s="12" t="n">
        <v>36</v>
      </c>
      <c r="C40" s="12" t="inlineStr">
        <is>
          <t>GUI attached to the emulated BAR</t>
        </is>
      </c>
      <c r="D40" s="13" t="inlineStr">
        <is>
          <t>PASS</t>
        </is>
      </c>
    </row>
    <row r="41">
      <c r="A41" s="4" t="inlineStr">
        <is>
          <t>TS-03</t>
        </is>
      </c>
      <c r="B41" s="4" t="n">
        <v>37</v>
      </c>
      <c r="C41" s="4" t="inlineStr">
        <is>
          <t>full sync: ping, identity, every register read back</t>
        </is>
      </c>
      <c r="D41" s="8" t="inlineStr">
        <is>
          <t>PASS</t>
        </is>
      </c>
    </row>
    <row r="42">
      <c r="A42" s="12" t="inlineStr">
        <is>
          <t>TS-03</t>
        </is>
      </c>
      <c r="B42" s="12" t="n">
        <v>38</v>
      </c>
      <c r="C42" s="12" t="inlineStr">
        <is>
          <t>snapshot returned 19 values</t>
        </is>
      </c>
      <c r="D42" s="13" t="inlineStr">
        <is>
          <t>PASS</t>
        </is>
      </c>
    </row>
    <row r="43">
      <c r="A43" s="4" t="inlineStr">
        <is>
          <t>TS-03</t>
        </is>
      </c>
      <c r="B43" s="4" t="n">
        <v>39</v>
      </c>
      <c r="C43" s="4" t="inlineStr">
        <is>
          <t>DAC stream clock read back: 200000 kHz (the generator's sample rate)</t>
        </is>
      </c>
      <c r="D43" s="8" t="inlineStr">
        <is>
          <t>PASS</t>
        </is>
      </c>
    </row>
    <row r="44">
      <c r="A44" s="12" t="inlineStr">
        <is>
          <t>TS-03</t>
        </is>
      </c>
      <c r="B44" s="12" t="n">
        <v>40</v>
      </c>
      <c r="C44" s="12" t="inlineStr">
        <is>
          <t>old firmware detected from its capability word</t>
        </is>
      </c>
      <c r="D44" s="13" t="inlineStr">
        <is>
          <t>PASS</t>
        </is>
      </c>
    </row>
    <row r="45">
      <c r="A45" s="4" t="inlineStr">
        <is>
          <t>TS-03</t>
        </is>
      </c>
      <c r="B45" s="4" t="n">
        <v>41</v>
      </c>
      <c r="C45" s="4" t="inlineStr">
        <is>
          <t>readback shows the truth: the DAC is on the host stream (firmware itself claims DDS)</t>
        </is>
      </c>
      <c r="D45" s="8" t="inlineStr">
        <is>
          <t>PASS</t>
        </is>
      </c>
    </row>
    <row r="46">
      <c r="A46" s="12" t="inlineStr">
        <is>
          <t>TS-03</t>
        </is>
      </c>
      <c r="B46" s="12" t="n">
        <v>42</v>
      </c>
      <c r="C46" s="12" t="inlineStr">
        <is>
          <t>GUI selects Host / GNU Radio stream</t>
        </is>
      </c>
      <c r="D46" s="13" t="inlineStr">
        <is>
          <t>PASS</t>
        </is>
      </c>
    </row>
    <row r="47">
      <c r="A47" s="4" t="inlineStr">
        <is>
          <t>TS-03</t>
        </is>
      </c>
      <c r="B47" s="4" t="n">
        <v>43</v>
      </c>
      <c r="C47" s="4" t="inlineStr">
        <is>
          <t>-&gt; the DAC plays the host stream</t>
        </is>
      </c>
      <c r="D47" s="8" t="inlineStr">
        <is>
          <t>PASS</t>
        </is>
      </c>
    </row>
    <row r="48">
      <c r="A48" s="12" t="inlineStr">
        <is>
          <t>TS-03</t>
        </is>
      </c>
      <c r="B48" s="12" t="n">
        <v>44</v>
      </c>
      <c r="C48" s="12" t="inlineStr">
        <is>
          <t>-&gt; the device confirms host</t>
        </is>
      </c>
      <c r="D48" s="13" t="inlineStr">
        <is>
          <t>PASS</t>
        </is>
      </c>
    </row>
    <row r="49">
      <c r="A49" s="4" t="inlineStr">
        <is>
          <t>TS-03</t>
        </is>
      </c>
      <c r="B49" s="4" t="n">
        <v>45</v>
      </c>
      <c r="C49" s="4" t="inlineStr">
        <is>
          <t>GUI selects DDS compiler</t>
        </is>
      </c>
      <c r="D49" s="8" t="inlineStr">
        <is>
          <t>PASS</t>
        </is>
      </c>
    </row>
    <row r="50">
      <c r="A50" s="12" t="inlineStr">
        <is>
          <t>TS-03</t>
        </is>
      </c>
      <c r="B50" s="12" t="n">
        <v>46</v>
      </c>
      <c r="C50" s="12" t="inlineStr">
        <is>
          <t>-&gt; the DAC plays the DDS</t>
        </is>
      </c>
      <c r="D50" s="13" t="inlineStr">
        <is>
          <t>PASS</t>
        </is>
      </c>
    </row>
    <row r="51">
      <c r="A51" s="4" t="inlineStr">
        <is>
          <t>TS-03</t>
        </is>
      </c>
      <c r="B51" s="4" t="n">
        <v>47</v>
      </c>
      <c r="C51" s="4" t="inlineStr">
        <is>
          <t>-&gt; the device confirms DDS</t>
        </is>
      </c>
      <c r="D51" s="8" t="inlineStr">
        <is>
          <t>PASS</t>
        </is>
      </c>
    </row>
    <row r="52">
      <c r="A52" s="12" t="inlineStr">
        <is>
          <t>TS-03</t>
        </is>
      </c>
      <c r="B52" s="12" t="n">
        <v>48</v>
      </c>
      <c r="C52" s="12" t="inlineStr">
        <is>
          <t>restore defaults</t>
        </is>
      </c>
      <c r="D52" s="13" t="inlineStr">
        <is>
          <t>PASS</t>
        </is>
      </c>
    </row>
    <row r="53">
      <c r="A53" s="4" t="inlineStr">
        <is>
          <t>TS-03</t>
        </is>
      </c>
      <c r="B53" s="4" t="n">
        <v>49</v>
      </c>
      <c r="C53" s="4" t="inlineStr">
        <is>
          <t>-&gt; 1.2.0 defaults put the host stream on the DAC (its bug), and the GUI will show that</t>
        </is>
      </c>
      <c r="D53" s="8" t="inlineStr">
        <is>
          <t>PASS</t>
        </is>
      </c>
    </row>
    <row r="54">
      <c r="A54" s="12" t="inlineStr">
        <is>
          <t>TS-03</t>
        </is>
      </c>
      <c r="B54" s="12" t="n">
        <v>50</v>
      </c>
      <c r="C54" s="12" t="inlineStr">
        <is>
          <t>after defaults the panel shows what the DAC really plays (host stream)</t>
        </is>
      </c>
      <c r="D54" s="13" t="inlineStr">
        <is>
          <t>PASS</t>
        </is>
      </c>
    </row>
    <row r="55">
      <c r="A55" s="4" t="inlineStr">
        <is>
          <t>TS-03</t>
        </is>
      </c>
      <c r="B55" s="4" t="n">
        <v>51</v>
      </c>
      <c r="C55" s="4" t="inlineStr">
        <is>
          <t>DAC source 7 rejected: ACK error 0x5</t>
        </is>
      </c>
      <c r="D55" s="8" t="inlineStr">
        <is>
          <t>PASS</t>
        </is>
      </c>
    </row>
    <row r="56">
      <c r="A56" s="12" t="inlineStr">
        <is>
          <t>TS-04</t>
        </is>
      </c>
      <c r="B56" s="12" t="n">
        <v>52</v>
      </c>
      <c r="C56" s="12" t="inlineStr">
        <is>
          <t>DAC packing: bits[1:0] == 00 in every word (all waveforms)</t>
        </is>
      </c>
      <c r="D56" s="13" t="inlineStr">
        <is>
          <t>PASS</t>
        </is>
      </c>
    </row>
    <row r="57">
      <c r="A57" s="4" t="inlineStr">
        <is>
          <t>TS-04</t>
        </is>
      </c>
      <c r="B57" s="4" t="n">
        <v>53</v>
      </c>
      <c r="C57" s="4" t="inlineStr">
        <is>
          <t>DAC packing: |sample| &lt;= 8191&lt;&lt;2 = 32764</t>
        </is>
      </c>
      <c r="D57" s="8" t="inlineStr">
        <is>
          <t>PASS</t>
        </is>
      </c>
    </row>
    <row r="58">
      <c r="A58" s="12" t="inlineStr">
        <is>
          <t>TS-04</t>
        </is>
      </c>
      <c r="B58" s="12" t="n">
        <v>54</v>
      </c>
      <c r="C58" s="12" t="inlineStr">
        <is>
          <t>10 MHz @ 200 MSPS, 4096-sample loop -&gt; 10.009766 MHz (205 cycles)</t>
        </is>
      </c>
      <c r="D58" s="13" t="inlineStr">
        <is>
          <t>PASS</t>
        </is>
      </c>
    </row>
    <row r="59">
      <c r="A59" s="4" t="inlineStr">
        <is>
          <t>TS-04</t>
        </is>
      </c>
      <c r="B59" s="4" t="n">
        <v>55</v>
      </c>
      <c r="C59" s="4" t="inlineStr">
        <is>
          <t>12.5 MHz fits the loop exactly -&gt; unchanged</t>
        </is>
      </c>
      <c r="D59" s="8" t="inlineStr">
        <is>
          <t>PASS</t>
        </is>
      </c>
    </row>
    <row r="60">
      <c r="A60" s="12" t="inlineStr">
        <is>
          <t>TS-04</t>
        </is>
      </c>
      <c r="B60" s="12" t="n">
        <v>56</v>
      </c>
      <c r="C60" s="12" t="inlineStr">
        <is>
          <t>negative frequencies keep their sign (-7.324219 MHz)</t>
        </is>
      </c>
      <c r="D60" s="13" t="inlineStr">
        <is>
          <t>PASS</t>
        </is>
      </c>
    </row>
    <row r="61">
      <c r="A61" s="4" t="inlineStr">
        <is>
          <t>TS-04</t>
        </is>
      </c>
      <c r="B61" s="4" t="n">
        <v>57</v>
      </c>
      <c r="C61" s="4" t="inlineStr">
        <is>
          <t>coherence off -&gt; exact request</t>
        </is>
      </c>
      <c r="D61" s="8" t="inlineStr">
        <is>
          <t>PASS</t>
        </is>
      </c>
    </row>
    <row r="62">
      <c r="A62" s="12" t="inlineStr">
        <is>
          <t>TS-04</t>
        </is>
      </c>
      <c r="B62" s="12" t="n">
        <v>58</v>
      </c>
      <c r="C62" s="12" t="inlineStr">
        <is>
          <t>looped chunk: tone at 10.009766 MHz</t>
        </is>
      </c>
      <c r="D62" s="13" t="inlineStr">
        <is>
          <t>PASS</t>
        </is>
      </c>
    </row>
    <row r="63">
      <c r="A63" s="4" t="inlineStr">
        <is>
          <t>TS-04</t>
        </is>
      </c>
      <c r="B63" s="4" t="n">
        <v>59</v>
      </c>
      <c r="C63" s="4" t="inlineStr">
        <is>
          <t>looped chunk: SFDR 93.1 dB (14-bit quantisation limited)</t>
        </is>
      </c>
      <c r="D63" s="8" t="inlineStr">
        <is>
          <t>PASS</t>
        </is>
      </c>
    </row>
    <row r="64">
      <c r="A64" s="12" t="inlineStr">
        <is>
          <t>TS-04</t>
        </is>
      </c>
      <c r="B64" s="12" t="n">
        <v>60</v>
      </c>
      <c r="C64" s="12" t="inlineStr">
        <is>
          <t>end to end, coherent: tone at 10.009766 MHz</t>
        </is>
      </c>
      <c r="D64" s="13" t="inlineStr">
        <is>
          <t>PASS</t>
        </is>
      </c>
    </row>
    <row r="65">
      <c r="A65" s="4" t="inlineStr">
        <is>
          <t>TS-04</t>
        </is>
      </c>
      <c r="B65" s="4" t="n">
        <v>61</v>
      </c>
      <c r="C65" s="4" t="inlineStr">
        <is>
          <t>end to end, coherent: SFDR 93.1 dB through the replay</t>
        </is>
      </c>
      <c r="D65" s="8" t="inlineStr">
        <is>
          <t>PASS</t>
        </is>
      </c>
    </row>
    <row r="66">
      <c r="A66" s="12" t="inlineStr">
        <is>
          <t>TS-04</t>
        </is>
      </c>
      <c r="B66" s="12" t="n">
        <v>62</v>
      </c>
      <c r="C66" s="12" t="inlineStr">
        <is>
          <t>end to end, NON-coherent (old behaviour): SFDR only 12.5 dB — the replay seams the test must detect</t>
        </is>
      </c>
      <c r="D66" s="13" t="inlineStr">
        <is>
          <t>PASS</t>
        </is>
      </c>
    </row>
    <row r="67">
      <c r="A67" s="4" t="inlineStr">
        <is>
          <t>TS-04</t>
        </is>
      </c>
      <c r="B67" s="4" t="n">
        <v>63</v>
      </c>
      <c r="C67" s="4" t="inlineStr">
        <is>
          <t>live update while running: now 20.019531 MHz (20 MHz requested)</t>
        </is>
      </c>
      <c r="D67" s="8" t="inlineStr">
        <is>
          <t>PASS</t>
        </is>
      </c>
    </row>
    <row r="68">
      <c r="A68" s="12" t="inlineStr">
        <is>
          <t>TS-04</t>
        </is>
      </c>
      <c r="B68" s="12" t="n">
        <v>64</v>
      </c>
      <c r="C68" s="12" t="inlineStr">
        <is>
          <t>transmitting() reports the new frequency</t>
        </is>
      </c>
      <c r="D68" s="13" t="inlineStr">
        <is>
          <t>PASS</t>
        </is>
      </c>
    </row>
    <row r="69">
      <c r="A69" s="4" t="inlineStr">
        <is>
          <t>TS-04</t>
        </is>
      </c>
      <c r="B69" s="4" t="n">
        <v>65</v>
      </c>
      <c r="C69" s="4" t="inlineStr">
        <is>
          <t>stop honoured in 10 ms</t>
        </is>
      </c>
      <c r="D69" s="8" t="inlineStr">
        <is>
          <t>PASS</t>
        </is>
      </c>
    </row>
    <row r="70">
      <c r="A70" s="12" t="inlineStr">
        <is>
          <t>TS-04</t>
        </is>
      </c>
      <c r="B70" s="12" t="n">
        <v>66</v>
      </c>
      <c r="C70" s="12" t="inlineStr">
        <is>
          <t>restart without recreating the generator</t>
        </is>
      </c>
      <c r="D70" s="13" t="inlineStr">
        <is>
          <t>PASS</t>
        </is>
      </c>
    </row>
    <row r="71">
      <c r="A71" s="4" t="inlineStr">
        <is>
          <t>TS-04</t>
        </is>
      </c>
      <c r="B71" s="4" t="n">
        <v>67</v>
      </c>
      <c r="C71" s="4" t="inlineStr">
        <is>
          <t>non-FIFO path: generator stops with an error</t>
        </is>
      </c>
      <c r="D71" s="8" t="inlineStr">
        <is>
          <t>PASS</t>
        </is>
      </c>
    </row>
    <row r="72">
      <c r="A72" s="12" t="inlineStr">
        <is>
          <t>TS-04</t>
        </is>
      </c>
      <c r="B72" s="12" t="n">
        <v>68</v>
      </c>
      <c r="C72" s="12" t="inlineStr">
        <is>
          <t>...and is not left marked as running</t>
        </is>
      </c>
      <c r="D72" s="13" t="inlineStr">
        <is>
          <t>PASS</t>
        </is>
      </c>
    </row>
    <row r="73">
      <c r="A73" s="4" t="inlineStr">
        <is>
          <t>TS-04</t>
        </is>
      </c>
      <c r="B73" s="4" t="n">
        <v>69</v>
      </c>
      <c r="C73" s="4" t="inlineStr">
        <is>
          <t>...and a second start is accepted (not silently ignored)</t>
        </is>
      </c>
      <c r="D73" s="8" t="inlineStr">
        <is>
          <t>PASS</t>
        </is>
      </c>
    </row>
    <row r="74">
      <c r="A74" s="12" t="inlineStr">
        <is>
          <t>TS-04</t>
        </is>
      </c>
      <c r="B74" s="12" t="n">
        <v>70</v>
      </c>
      <c r="C74" s="12" t="inlineStr">
        <is>
          <t>coherent loop written once (1 chunk(s) after 1 s) — nothing more for iwfg_h2c to copy</t>
        </is>
      </c>
      <c r="D74" s="13" t="inlineStr">
        <is>
          <t>PASS</t>
        </is>
      </c>
    </row>
    <row r="75">
      <c r="A75" s="4" t="inlineStr">
        <is>
          <t>TS-04</t>
        </is>
      </c>
      <c r="B75" s="4" t="n">
        <v>71</v>
      </c>
      <c r="C75" s="4" t="inlineStr">
        <is>
          <t>Stop sends a zero chunk: the replayed chunk is silence</t>
        </is>
      </c>
      <c r="D75" s="8" t="inlineStr">
        <is>
          <t>PASS</t>
        </is>
      </c>
    </row>
    <row r="76">
      <c r="A76" s="12" t="inlineStr">
        <is>
          <t>TS-05</t>
        </is>
      </c>
      <c r="B76" s="12" t="n">
        <v>72</v>
      </c>
      <c r="C76" s="12" t="inlineStr">
        <is>
          <t>DDS selected: tone at +9.9994 MHz (DDS 10 MHz, positive frequency)</t>
        </is>
      </c>
      <c r="D76" s="13" t="inlineStr">
        <is>
          <t>PASS</t>
        </is>
      </c>
    </row>
    <row r="77">
      <c r="A77" s="4" t="inlineStr">
        <is>
          <t>TS-05</t>
        </is>
      </c>
      <c r="B77" s="4" t="n">
        <v>73</v>
      </c>
      <c r="C77" s="4" t="inlineStr">
        <is>
          <t>DDS selected: tone 68.3 dB above the floor</t>
        </is>
      </c>
      <c r="D77" s="8" t="inlineStr">
        <is>
          <t>PASS</t>
        </is>
      </c>
    </row>
    <row r="78">
      <c r="A78" s="12" t="inlineStr">
        <is>
          <t>TS-05</t>
        </is>
      </c>
      <c r="B78" s="12" t="n">
        <v>74</v>
      </c>
      <c r="C78" s="12" t="inlineStr">
        <is>
          <t>DDS selected, generator running: DDS wins (+15.0000 MHz)</t>
        </is>
      </c>
      <c r="D78" s="13" t="inlineStr">
        <is>
          <t>PASS</t>
        </is>
      </c>
    </row>
    <row r="79">
      <c r="A79" s="4" t="inlineStr">
        <is>
          <t>TS-05</t>
        </is>
      </c>
      <c r="B79" s="4" t="n">
        <v>75</v>
      </c>
      <c r="C79" s="4" t="inlineStr">
        <is>
          <t>Host + generator: tone at +6.9825 MHz (generator transmits 6.982422 MHz)</t>
        </is>
      </c>
      <c r="D79" s="8" t="inlineStr">
        <is>
          <t>PASS</t>
        </is>
      </c>
    </row>
    <row r="80">
      <c r="A80" s="12" t="inlineStr">
        <is>
          <t>TS-05</t>
        </is>
      </c>
      <c r="B80" s="12" t="n">
        <v>76</v>
      </c>
      <c r="C80" s="12" t="inlineStr">
        <is>
          <t>Host + generator: tone 67.8 dB above the floor</t>
        </is>
      </c>
      <c r="D80" s="13" t="inlineStr">
        <is>
          <t>PASS</t>
        </is>
      </c>
    </row>
    <row r="81">
      <c r="A81" s="4" t="inlineStr">
        <is>
          <t>TS-05</t>
        </is>
      </c>
      <c r="B81" s="4" t="n">
        <v>77</v>
      </c>
      <c r="C81" s="4" t="inlineStr">
        <is>
          <t>Host + generator, 16 MiB loop: tone at +9.9994 MHz</t>
        </is>
      </c>
      <c r="D81" s="8" t="inlineStr">
        <is>
          <t>PASS</t>
        </is>
      </c>
    </row>
    <row r="82">
      <c r="A82" s="12" t="inlineStr">
        <is>
          <t>TS-05</t>
        </is>
      </c>
      <c r="B82" s="12" t="n">
        <v>78</v>
      </c>
      <c r="C82" s="12" t="inlineStr">
        <is>
          <t>Host + generator, negative tone: -4.9800 MHz</t>
        </is>
      </c>
      <c r="D82" s="13" t="inlineStr">
        <is>
          <t>PASS</t>
        </is>
      </c>
    </row>
    <row r="83">
      <c r="A83" s="4" t="inlineStr">
        <is>
          <t>TS-05</t>
        </is>
      </c>
      <c r="B83" s="4" t="n">
        <v>79</v>
      </c>
      <c r="C83" s="4" t="inlineStr">
        <is>
          <t>Host + square wave: fundamental at +4.0031 MHz</t>
        </is>
      </c>
      <c r="D83" s="8" t="inlineStr">
        <is>
          <t>PASS</t>
        </is>
      </c>
    </row>
    <row r="84">
      <c r="A84" s="12" t="inlineStr">
        <is>
          <t>TS-05</t>
        </is>
      </c>
      <c r="B84" s="12" t="n">
        <v>80</v>
      </c>
      <c r="C84" s="12" t="inlineStr">
        <is>
          <t>Host + square wave: harmonics present (SFDR 9.3 dB, a sine would be &gt;40)</t>
        </is>
      </c>
      <c r="D84" s="13" t="inlineStr">
        <is>
          <t>PASS</t>
        </is>
      </c>
    </row>
    <row r="85">
      <c r="A85" s="4" t="inlineStr">
        <is>
          <t>TS-05</t>
        </is>
      </c>
      <c r="B85" s="4" t="n">
        <v>81</v>
      </c>
      <c r="C85" s="4" t="inlineStr">
        <is>
          <t>Host, nothing transmitting: no carrier (peak 34.4 dB over floor at +0.000 MHz — DC offset only)</t>
        </is>
      </c>
      <c r="D85" s="8" t="inlineStr">
        <is>
          <t>PASS</t>
        </is>
      </c>
    </row>
    <row r="86">
      <c r="A86" s="12" t="inlineStr">
        <is>
          <t>TS-05</t>
        </is>
      </c>
      <c r="B86" s="12" t="n">
        <v>82</v>
      </c>
      <c r="C86" s="12" t="inlineStr">
        <is>
          <t>DDS outside the displayed band: not aliased into view</t>
        </is>
      </c>
      <c r="D86" s="13" t="inlineStr">
        <is>
          <t>PASS</t>
        </is>
      </c>
    </row>
    <row r="87">
      <c r="A87" s="4" t="inlineStr">
        <is>
          <t>TS-05</t>
        </is>
      </c>
      <c r="B87" s="4" t="n">
        <v>83</v>
      </c>
      <c r="C87" s="4" t="inlineStr">
        <is>
          <t>...and the status bar says why: "Simulated loopback: DDS 70.000 MHz is outside the displayed ±61.440 MHz band"</t>
        </is>
      </c>
      <c r="D87" s="8" t="inlineStr">
        <is>
          <t>PASS</t>
        </is>
      </c>
    </row>
    <row r="88">
      <c r="A88" s="12" t="inlineStr">
        <is>
          <t>TS-05</t>
        </is>
      </c>
      <c r="B88" s="12" t="n">
        <v>84</v>
      </c>
      <c r="C88" s="12" t="inlineStr">
        <is>
          <t>loopback off: modem demo still produced (mean power 0.246)</t>
        </is>
      </c>
      <c r="D88" s="13" t="inlineStr">
        <is>
          <t>PASS</t>
        </is>
      </c>
    </row>
    <row r="89">
      <c r="A89" s="4" t="inlineStr">
        <is>
          <t>TS-06</t>
        </is>
      </c>
      <c r="B89" s="4" t="n">
        <v>85</v>
      </c>
      <c r="C89" s="4" t="inlineStr">
        <is>
          <t>widgets found</t>
        </is>
      </c>
      <c r="D89" s="8" t="inlineStr">
        <is>
          <t>PASS</t>
        </is>
      </c>
    </row>
    <row r="90">
      <c r="A90" s="12" t="inlineStr">
        <is>
          <t>TS-06</t>
        </is>
      </c>
      <c r="B90" s="12" t="n">
        <v>86</v>
      </c>
      <c r="C90" s="12" t="inlineStr">
        <is>
          <t>combo items carry the logical PCIE_DAC_SRC_* values</t>
        </is>
      </c>
      <c r="D90" s="13" t="inlineStr">
        <is>
          <t>PASS</t>
        </is>
      </c>
    </row>
    <row r="91">
      <c r="A91" s="4" t="inlineStr">
        <is>
          <t>TS-06</t>
        </is>
      </c>
      <c r="B91" s="4" t="n">
        <v>87</v>
      </c>
      <c r="C91" s="4" t="inlineStr">
        <is>
          <t>simulation box shown in simulation mode</t>
        </is>
      </c>
      <c r="D91" s="8" t="inlineStr">
        <is>
          <t>PASS</t>
        </is>
      </c>
    </row>
    <row r="92">
      <c r="A92" s="12" t="inlineStr">
        <is>
          <t>TS-06</t>
        </is>
      </c>
      <c r="B92" s="12" t="n">
        <v>88</v>
      </c>
      <c r="C92" s="12" t="inlineStr">
        <is>
          <t>DAC input source usable with no device in simulation</t>
        </is>
      </c>
      <c r="D92" s="13" t="inlineStr">
        <is>
          <t>PASS</t>
        </is>
      </c>
    </row>
    <row r="93">
      <c r="A93" s="4" t="inlineStr">
        <is>
          <t>TS-06</t>
        </is>
      </c>
      <c r="B93" s="4" t="n">
        <v>89</v>
      </c>
      <c r="C93" s="4" t="inlineStr">
        <is>
          <t>select Host: loopback on, host source, nothing transmitting yet</t>
        </is>
      </c>
      <c r="D93" s="8" t="inlineStr">
        <is>
          <t>PASS</t>
        </is>
      </c>
    </row>
    <row r="94">
      <c r="A94" s="12" t="inlineStr">
        <is>
          <t>TS-06</t>
        </is>
      </c>
      <c r="B94" s="12" t="n">
        <v>90</v>
      </c>
      <c r="C94" s="12" t="inlineStr">
        <is>
          <t>Start generator (simulated): host running</t>
        </is>
      </c>
      <c r="D94" s="13" t="inlineStr">
        <is>
          <t>PASS</t>
        </is>
      </c>
    </row>
    <row r="95">
      <c r="A95" s="4" t="inlineStr">
        <is>
          <t>TS-06</t>
        </is>
      </c>
      <c r="B95" s="4" t="n">
        <v>91</v>
      </c>
      <c r="C95" s="4" t="inlineStr">
        <is>
          <t>tone 10 MHz -&gt; published 9.999847 MHz with the 1024 KiB loop (what is really sent, within 381 Hz)</t>
        </is>
      </c>
      <c r="D95" s="8" t="inlineStr">
        <is>
          <t>PASS</t>
        </is>
      </c>
    </row>
    <row r="96">
      <c r="A96" s="12" t="inlineStr">
        <is>
          <t>TS-06</t>
        </is>
      </c>
      <c r="B96" s="12" t="n">
        <v>92</v>
      </c>
      <c r="C96" s="12" t="inlineStr">
        <is>
          <t>loop length = H2C buffer / 4 (262144 samples)</t>
        </is>
      </c>
      <c r="D96" s="13" t="inlineStr">
        <is>
          <t>PASS</t>
        </is>
      </c>
    </row>
    <row r="97">
      <c r="A97" s="4" t="inlineStr">
        <is>
          <t>TS-06</t>
        </is>
      </c>
      <c r="B97" s="4" t="n">
        <v>93</v>
      </c>
      <c r="C97" s="4" t="inlineStr">
        <is>
          <t>backend on 16 KiB: loop follows (4096 samples, 10.009766 MHz)</t>
        </is>
      </c>
      <c r="D97" s="8" t="inlineStr">
        <is>
          <t>PASS</t>
        </is>
      </c>
    </row>
    <row r="98">
      <c r="A98" s="12" t="inlineStr">
        <is>
          <t>TS-06</t>
        </is>
      </c>
      <c r="B98" s="12" t="n">
        <v>94</v>
      </c>
      <c r="C98" s="12" t="inlineStr">
        <is>
          <t>H2C link monitor present</t>
        </is>
      </c>
      <c r="D98" s="13" t="inlineStr">
        <is>
          <t>PASS</t>
        </is>
      </c>
    </row>
    <row r="99">
      <c r="A99" s="4" t="inlineStr">
        <is>
          <t>TS-06</t>
        </is>
      </c>
      <c r="B99" s="4" t="n">
        <v>95</v>
      </c>
      <c r="C99" s="4" t="inlineStr">
        <is>
          <t>640.58 MiB/s flagged: "⚠ H2C link 640.6 MiB/s, but the DAC reads 762.9 MiB/s: it runs dry about 16% of the time a"</t>
        </is>
      </c>
      <c r="D99" s="8" t="inlineStr">
        <is>
          <t>PASS</t>
        </is>
      </c>
    </row>
    <row r="100">
      <c r="A100" s="12" t="inlineStr">
        <is>
          <t>TS-06</t>
        </is>
      </c>
      <c r="B100" s="12" t="n">
        <v>96</v>
      </c>
      <c r="C100" s="12" t="inlineStr">
        <is>
          <t>762.9 MiB/s reported as keeping the DAC full</t>
        </is>
      </c>
      <c r="D100" s="13" t="inlineStr">
        <is>
          <t>PASS</t>
        </is>
      </c>
    </row>
    <row r="101">
      <c r="A101" s="4" t="inlineStr">
        <is>
          <t>TS-06</t>
        </is>
      </c>
      <c r="B101" s="4" t="n">
        <v>97</v>
      </c>
      <c r="C101" s="4" t="inlineStr">
        <is>
          <t>select DDS: published</t>
        </is>
      </c>
      <c r="D101" s="8" t="inlineStr">
        <is>
          <t>PASS</t>
        </is>
      </c>
    </row>
    <row r="102">
      <c r="A102" s="12" t="inlineStr">
        <is>
          <t>TS-06</t>
        </is>
      </c>
      <c r="B102" s="12" t="n">
        <v>98</v>
      </c>
      <c r="C102" s="12" t="inlineStr">
        <is>
          <t>Stop generator (simulated)</t>
        </is>
      </c>
      <c r="D102" s="13" t="inlineStr">
        <is>
          <t>PASS</t>
        </is>
      </c>
    </row>
    <row r="103">
      <c r="A103" s="4" t="inlineStr">
        <is>
          <t>TS-06</t>
        </is>
      </c>
      <c r="B103" s="4" t="n">
        <v>99</v>
      </c>
      <c r="C103" s="4" t="inlineStr">
        <is>
          <t>starting the generator in simulation routes the DAC to Host</t>
        </is>
      </c>
      <c r="D103" s="8" t="inlineStr">
        <is>
          <t>PASS</t>
        </is>
      </c>
    </row>
    <row r="104">
      <c r="A104" s="12" t="inlineStr">
        <is>
          <t>TS-06</t>
        </is>
      </c>
      <c r="B104" s="12" t="n">
        <v>100</v>
      </c>
      <c r="C104" s="12" t="inlineStr">
        <is>
          <t>leaving simulation stops the modelled generator</t>
        </is>
      </c>
      <c r="D104" s="13" t="inlineStr">
        <is>
          <t>PASS</t>
        </is>
      </c>
    </row>
    <row r="105">
      <c r="A105" s="4" t="inlineStr">
        <is>
          <t>TS-06</t>
        </is>
      </c>
      <c r="B105" s="4" t="n">
        <v>101</v>
      </c>
      <c r="C105" s="4" t="inlineStr">
        <is>
          <t>simulation box hidden in live mode</t>
        </is>
      </c>
      <c r="D105" s="8" t="inlineStr">
        <is>
          <t>PASS</t>
        </is>
      </c>
    </row>
    <row r="106">
      <c r="A106" s="12" t="inlineStr">
        <is>
          <t>TS-06</t>
        </is>
      </c>
      <c r="B106" s="12" t="n">
        <v>102</v>
      </c>
      <c r="C106" s="12" t="inlineStr">
        <is>
          <t>live, no device: DAC input source disabled (nothing to send to)</t>
        </is>
      </c>
      <c r="D106" s="13" t="inlineStr">
        <is>
          <t>PASS</t>
        </is>
      </c>
    </row>
    <row r="107">
      <c r="A107" s="4" t="inlineStr">
        <is>
          <t>TS-06</t>
        </is>
      </c>
      <c r="B107" s="4" t="n">
        <v>103</v>
      </c>
      <c r="C107" s="4" t="inlineStr">
        <is>
          <t>rdma_tx control block hidden outside RoCEv2</t>
        </is>
      </c>
      <c r="D107" s="8" t="inlineStr">
        <is>
          <t>PASS</t>
        </is>
      </c>
    </row>
    <row r="108">
      <c r="A108" s="12" t="inlineStr">
        <is>
          <t>TS-06</t>
        </is>
      </c>
      <c r="B108" s="12" t="n">
        <v>104</v>
      </c>
      <c r="C108" s="12" t="inlineStr">
        <is>
          <t>...and shown for RoCEv2</t>
        </is>
      </c>
      <c r="D108" s="13" t="inlineStr">
        <is>
          <t>PASS</t>
        </is>
      </c>
    </row>
    <row r="109">
      <c r="A109" s="4" t="inlineStr">
        <is>
          <t>TS-06</t>
        </is>
      </c>
      <c r="B109" s="4" t="n">
        <v>105</v>
      </c>
      <c r="C109" s="4" t="inlineStr">
        <is>
          <t>Verify loopback button present</t>
        </is>
      </c>
      <c r="D109" s="8" t="inlineStr">
        <is>
          <t>PASS</t>
        </is>
      </c>
    </row>
    <row r="110">
      <c r="A110" s="12" t="inlineStr">
        <is>
          <t>TS-06</t>
        </is>
      </c>
      <c r="B110" s="12" t="n">
        <v>106</v>
      </c>
      <c r="C110" s="12" t="inlineStr">
        <is>
          <t>loopback follows the generator -&gt; verified (inversion reported)</t>
        </is>
      </c>
      <c r="D110" s="13" t="inlineStr">
        <is>
          <t>PASS</t>
        </is>
      </c>
    </row>
    <row r="111">
      <c r="A111" s="4" t="inlineStr">
        <is>
          <t>TS-06</t>
        </is>
      </c>
      <c r="B111" s="4" t="n">
        <v>107</v>
      </c>
      <c r="C111" s="4" t="inlineStr">
        <is>
          <t>tone restored after the check (10.000000 MHz)</t>
        </is>
      </c>
      <c r="D111" s="8" t="inlineStr">
        <is>
          <t>PASS</t>
        </is>
      </c>
    </row>
    <row r="112">
      <c r="A112" s="12" t="inlineStr">
        <is>
          <t>TS-06</t>
        </is>
      </c>
      <c r="B112" s="12" t="n">
        <v>108</v>
      </c>
      <c r="C112" s="12" t="inlineStr">
        <is>
          <t>Received row: identifies the generator's tone</t>
        </is>
      </c>
      <c r="D112" s="13" t="inlineStr">
        <is>
          <t>PASS</t>
        </is>
      </c>
    </row>
    <row r="113">
      <c r="A113" s="4" t="inlineStr">
        <is>
          <t>TS-06</t>
        </is>
      </c>
      <c r="B113" s="4" t="n">
        <v>109</v>
      </c>
      <c r="C113" s="4" t="inlineStr">
        <is>
          <t>receiver stuck on the DDS -&gt; NOT verified, cause named: "✗ The received tone did NOT move (it stayed at 10.000 MHz) when the generator mo"</t>
        </is>
      </c>
      <c r="D113" s="8" t="inlineStr">
        <is>
          <t>PASS</t>
        </is>
      </c>
    </row>
    <row r="114">
      <c r="A114" s="12" t="inlineStr">
        <is>
          <t>TS-06</t>
        </is>
      </c>
      <c r="B114" s="12" t="n">
        <v>110</v>
      </c>
      <c r="C114" s="12" t="inlineStr">
        <is>
          <t>display at the wrong rate -&gt; reported as scaling, not as a transmit failure</t>
        </is>
      </c>
      <c r="D114" s="13" t="inlineStr">
        <is>
          <t>PASS</t>
        </is>
      </c>
    </row>
    <row r="115">
      <c r="A115" s="4" t="inlineStr">
        <is>
          <t>TS-06</t>
        </is>
      </c>
      <c r="B115" s="4" t="n">
        <v>111</v>
      </c>
      <c r="C115" s="4" t="inlineStr">
        <is>
          <t>live, not attached: says the DAC input could not be set (does not pretend)</t>
        </is>
      </c>
      <c r="D115" s="8" t="inlineStr">
        <is>
          <t>PASS</t>
        </is>
      </c>
    </row>
    <row r="116">
      <c r="A116" s="12" t="inlineStr">
        <is>
          <t>TS-06</t>
        </is>
      </c>
      <c r="B116" s="12" t="n">
        <v>112</v>
      </c>
      <c r="C116" s="12" t="inlineStr">
        <is>
          <t>live, no reader: state is "Waiting for iwfg_h2c…", not "Running"</t>
        </is>
      </c>
      <c r="D116" s="13" t="inlineStr">
        <is>
          <t>PASS</t>
        </is>
      </c>
    </row>
    <row r="117">
      <c r="A117" s="4" t="inlineStr">
        <is>
          <t>TS-06</t>
        </is>
      </c>
      <c r="B117" s="4" t="n">
        <v>113</v>
      </c>
      <c r="C117" s="4" t="inlineStr">
        <is>
          <t>stopped cleanly</t>
        </is>
      </c>
      <c r="D117" s="8" t="inlineStr">
        <is>
          <t>PASS</t>
        </is>
      </c>
    </row>
    <row r="118">
      <c r="A118" s="12" t="inlineStr">
        <is>
          <t>TS-06</t>
        </is>
      </c>
      <c r="B118" s="12" t="n">
        <v>114</v>
      </c>
      <c r="C118" s="12" t="inlineStr">
        <is>
          <t>Retry transmit and Capture 1 channel buttons exist</t>
        </is>
      </c>
      <c r="D118" s="13" t="inlineStr">
        <is>
          <t>PASS</t>
        </is>
      </c>
    </row>
    <row r="119">
      <c r="A119" s="4" t="inlineStr">
        <is>
          <t>TS-06</t>
        </is>
      </c>
      <c r="B119" s="4" t="n">
        <v>115</v>
      </c>
      <c r="C119" s="4" t="inlineStr">
        <is>
          <t>no backend: Retry transmit hidden</t>
        </is>
      </c>
      <c r="D119" s="8" t="inlineStr">
        <is>
          <t>PASS</t>
        </is>
      </c>
    </row>
    <row r="120">
      <c r="A120" s="12" t="inlineStr">
        <is>
          <t>TS-06</t>
        </is>
      </c>
      <c r="B120" s="12" t="n">
        <v>116</v>
      </c>
      <c r="C120" s="12" t="inlineStr">
        <is>
          <t>H2C playback row shows the helper state and why</t>
        </is>
      </c>
      <c r="D120" s="13" t="inlineStr">
        <is>
          <t>PASS</t>
        </is>
      </c>
    </row>
    <row r="121">
      <c r="A121" s="4" t="inlineStr">
        <is>
          <t>TS-06</t>
        </is>
      </c>
      <c r="B121" s="4" t="n">
        <v>117</v>
      </c>
      <c r="C121" s="4" t="inlineStr">
        <is>
          <t>backend running: Retry transmit offered</t>
        </is>
      </c>
      <c r="D121" s="8" t="inlineStr">
        <is>
          <t>PASS</t>
        </is>
      </c>
    </row>
    <row r="122">
      <c r="A122" s="12" t="inlineStr">
        <is>
          <t>TS-06</t>
        </is>
      </c>
      <c r="B122" s="12" t="n">
        <v>118</v>
      </c>
      <c r="C122" s="12" t="inlineStr">
        <is>
          <t>Retry transmit asks the main window to relaunch iwfg_h2c</t>
        </is>
      </c>
      <c r="D122" s="13" t="inlineStr">
        <is>
          <t>PASS</t>
        </is>
      </c>
    </row>
    <row r="123">
      <c r="A123" s="4" t="inlineStr">
        <is>
          <t>TS-06</t>
        </is>
      </c>
      <c r="B123" s="4" t="n">
        <v>119</v>
      </c>
      <c r="C123" s="4" t="inlineStr">
        <is>
          <t>C2H row: 2417 of 3052 MiB/s -&gt; OVERLOADED, says it interrupts H2C</t>
        </is>
      </c>
      <c r="D123" s="8" t="inlineStr">
        <is>
          <t>PASS</t>
        </is>
      </c>
    </row>
    <row r="124">
      <c r="A124" s="12" t="inlineStr">
        <is>
          <t>TS-06</t>
        </is>
      </c>
      <c r="B124" s="12" t="n">
        <v>120</v>
      </c>
      <c r="C124" s="12" t="inlineStr">
        <is>
          <t>Capture 1 channel offered, disabled until RFDC attached</t>
        </is>
      </c>
      <c r="D124" s="13" t="inlineStr">
        <is>
          <t>PASS</t>
        </is>
      </c>
    </row>
    <row r="125">
      <c r="A125" s="4" t="inlineStr">
        <is>
          <t>TS-06</t>
        </is>
      </c>
      <c r="B125" s="4" t="n">
        <v>121</v>
      </c>
      <c r="C125" s="4" t="inlineStr">
        <is>
          <t>not attached: channel count left alone (PL GPIO cannot be set)</t>
        </is>
      </c>
      <c r="D125" s="8" t="inlineStr">
        <is>
          <t>PASS</t>
        </is>
      </c>
    </row>
    <row r="126">
      <c r="A126" s="12" t="inlineStr">
        <is>
          <t>TS-06</t>
        </is>
      </c>
      <c r="B126" s="12" t="n">
        <v>122</v>
      </c>
      <c r="C126" s="12" t="inlineStr">
        <is>
          <t>1 channel, 760 of 763 MiB/s: no overload, button hidden</t>
        </is>
      </c>
      <c r="D126" s="13" t="inlineStr">
        <is>
          <t>PASS</t>
        </is>
      </c>
    </row>
    <row r="127">
      <c r="A127" s="4" t="inlineStr">
        <is>
          <t>TS-06</t>
        </is>
      </c>
      <c r="B127" s="4" t="n">
        <v>123</v>
      </c>
      <c r="C127" s="4" t="inlineStr">
        <is>
          <t>not live: C2H row says so</t>
        </is>
      </c>
      <c r="D127" s="8" t="inlineStr">
        <is>
          <t>PASS</t>
        </is>
      </c>
    </row>
    <row r="128">
      <c r="A128" s="12" t="inlineStr">
        <is>
          <t>TS-07</t>
        </is>
      </c>
      <c r="B128" s="12" t="n">
        <v>124</v>
      </c>
      <c r="C128" s="12" t="inlineStr">
        <is>
          <t>H2C CONTROL action present</t>
        </is>
      </c>
      <c r="D128" s="13" t="inlineStr">
        <is>
          <t>PASS</t>
        </is>
      </c>
    </row>
    <row r="129">
      <c r="A129" s="4" t="inlineStr">
        <is>
          <t>TS-07</t>
        </is>
      </c>
      <c r="B129" s="4" t="n">
        <v>125</v>
      </c>
      <c r="C129" s="4" t="inlineStr">
        <is>
          <t>control window opened</t>
        </is>
      </c>
      <c r="D129" s="8" t="inlineStr">
        <is>
          <t>PASS</t>
        </is>
      </c>
    </row>
    <row r="130">
      <c r="A130" s="12" t="inlineStr">
        <is>
          <t>TS-07</t>
        </is>
      </c>
      <c r="B130" s="12" t="n">
        <v>126</v>
      </c>
      <c r="C130" s="12" t="inlineStr">
        <is>
          <t>Host + generator: the received tone follows it -&gt; "✓ Loopback verified. The generator moved 7.300 MHz and the tone received through the ADC moved 7.300"</t>
        </is>
      </c>
      <c r="D130" s="13" t="inlineStr">
        <is>
          <t>PASS</t>
        </is>
      </c>
    </row>
    <row r="131">
      <c r="A131" s="4" t="inlineStr">
        <is>
          <t>TS-07</t>
        </is>
      </c>
      <c r="B131" s="4" t="n">
        <v>127</v>
      </c>
      <c r="C131" s="4" t="inlineStr">
        <is>
          <t>DAC on the DDS: the check says the ADC is not seeing the generator, and why</t>
        </is>
      </c>
      <c r="D131" s="8" t="inlineStr">
        <is>
          <t>PASS</t>
        </is>
      </c>
    </row>
    <row r="132">
      <c r="A132" s="12" t="inlineStr">
        <is>
          <t>TS-08</t>
        </is>
      </c>
      <c r="B132" s="12" t="n">
        <v>128</v>
      </c>
      <c r="C132" s="12" t="inlineStr">
        <is>
          <t>16 KiB chunks, 5 us per transfer: 593.4 MiB/s &lt; 762.9 MiB/s the DAC reads — starved (the bench symptom)</t>
        </is>
      </c>
      <c r="D132" s="13" t="inlineStr">
        <is>
          <t>PASS</t>
        </is>
      </c>
    </row>
    <row r="133">
      <c r="A133" s="4" t="inlineStr">
        <is>
          <t>TS-08</t>
        </is>
      </c>
      <c r="B133" s="4" t="n">
        <v>129</v>
      </c>
      <c r="C133" s="4" t="inlineStr">
        <is>
          <t>1 MiB chunks (the 1.2.4 default), same cost: 753.0 MiB/s — the DAC is kept fed</t>
        </is>
      </c>
      <c r="D133" s="8" t="inlineStr">
        <is>
          <t>PASS</t>
        </is>
      </c>
    </row>
    <row r="134">
      <c r="A134" s="12" t="inlineStr">
        <is>
          <t>TS-08</t>
        </is>
      </c>
      <c r="B134" s="12" t="n">
        <v>130</v>
      </c>
      <c r="C134" s="12" t="inlineStr">
        <is>
          <t>16 MiB chunks, same cost: 768.0 MiB/s</t>
        </is>
      </c>
      <c r="D134" s="13" t="inlineStr">
        <is>
          <t>PASS</t>
        </is>
      </c>
    </row>
    <row r="135">
      <c r="A135" s="4" t="inlineStr">
        <is>
          <t>TS-08</t>
        </is>
      </c>
      <c r="B135" s="4" t="n">
        <v>131</v>
      </c>
      <c r="C135" s="4" t="inlineStr">
        <is>
          <t>DAC stream captured (3 loops, 284 ms from start incl. building the loop)</t>
        </is>
      </c>
      <c r="D135" s="8" t="inlineStr">
        <is>
          <t>PASS</t>
        </is>
      </c>
    </row>
    <row r="136">
      <c r="A136" s="12" t="inlineStr">
        <is>
          <t>TS-08</t>
        </is>
      </c>
      <c r="B136" s="12" t="n">
        <v>132</v>
      </c>
      <c r="C136" s="12" t="inlineStr">
        <is>
          <t>tone at 10.000038 MHz (requested 10 MHz, transmitted 9.999990)</t>
        </is>
      </c>
      <c r="D136" s="13" t="inlineStr">
        <is>
          <t>PASS</t>
        </is>
      </c>
    </row>
    <row r="137">
      <c r="A137" s="4" t="inlineStr">
        <is>
          <t>TS-08</t>
        </is>
      </c>
      <c r="B137" s="4" t="n">
        <v>133</v>
      </c>
      <c r="C137" s="4" t="inlineStr">
        <is>
          <t>across a loop seam: SFDR 90.8 dB — seamless, no interference</t>
        </is>
      </c>
      <c r="D137" s="8" t="inlineStr">
        <is>
          <t>PASS</t>
        </is>
      </c>
    </row>
    <row r="138">
      <c r="A138" s="12" t="inlineStr">
        <is>
          <t>TS-08</t>
        </is>
      </c>
      <c r="B138" s="12" t="n">
        <v>134</v>
      </c>
      <c r="C138" s="12" t="inlineStr">
        <is>
          <t>16 MiB loop: 10 MHz lands within 9.5 Hz</t>
        </is>
      </c>
      <c r="D138" s="13" t="inlineStr">
        <is>
          <t>PASS</t>
        </is>
      </c>
    </row>
    <row r="139">
      <c r="A139" s="4" t="inlineStr">
        <is>
          <t>TS-08</t>
        </is>
      </c>
      <c r="B139" s="4" t="n">
        <v>135</v>
      </c>
      <c r="C139" s="4" t="inlineStr">
        <is>
          <t>written once: iwfg_h2c reports GR_updates=0/s after loading</t>
        </is>
      </c>
      <c r="D139" s="8" t="inlineStr">
        <is>
          <t>PASS</t>
        </is>
      </c>
    </row>
    <row r="140">
      <c r="A140" s="12" t="inlineStr">
        <is>
          <t>TS-08</t>
        </is>
      </c>
      <c r="B140" s="12" t="n">
        <v>136</v>
      </c>
      <c r="C140" s="12" t="inlineStr">
        <is>
          <t>tone changed to 23.450089 MHz while running</t>
        </is>
      </c>
      <c r="D140" s="13" t="inlineStr">
        <is>
          <t>PASS</t>
        </is>
      </c>
    </row>
    <row r="141">
      <c r="A141" s="4" t="inlineStr">
        <is>
          <t>TS-08</t>
        </is>
      </c>
      <c r="B141" s="4" t="n">
        <v>137</v>
      </c>
      <c r="C141" s="4" t="inlineStr">
        <is>
          <t>...and is pure (SFDR 86.4 dB)</t>
        </is>
      </c>
      <c r="D141" s="8" t="inlineStr">
        <is>
          <t>PASS</t>
        </is>
      </c>
    </row>
    <row r="142">
      <c r="A142" s="12" t="inlineStr">
        <is>
          <t>TS-08</t>
        </is>
      </c>
      <c r="B142" s="12" t="n">
        <v>138</v>
      </c>
      <c r="C142" s="12" t="inlineStr">
        <is>
          <t>after Stop the card replays silence (peak 0.000000)</t>
        </is>
      </c>
      <c r="D142" s="13" t="inlineStr">
        <is>
          <t>PASS</t>
        </is>
      </c>
    </row>
    <row r="143">
      <c r="A143" s="4" t="inlineStr">
        <is>
          <t>TS-08</t>
        </is>
      </c>
      <c r="B143" s="4" t="n">
        <v>139</v>
      </c>
      <c r="C143" s="4" t="inlineStr">
        <is>
          <t>driver refuses 16 MiB: iwfg_h2c exits (code 1) without a rate line — launcher steps down</t>
        </is>
      </c>
      <c r="D143" s="8" t="inlineStr">
        <is>
          <t>PASS</t>
        </is>
      </c>
    </row>
    <row r="144">
      <c r="A144" s="12" t="inlineStr">
        <is>
          <t>TS-08</t>
        </is>
      </c>
      <c r="B144" s="12" t="n">
        <v>140</v>
      </c>
      <c r="C144" s="12" t="inlineStr">
        <is>
          <t>step-down ladder: 16 MiB -&gt; 4 MiB -&gt; ... -&gt; 16 KiB -&gt; stop</t>
        </is>
      </c>
      <c r="D144" s="13" t="inlineStr">
        <is>
          <t>PASS</t>
        </is>
      </c>
    </row>
    <row r="145">
      <c r="A145" s="4" t="inlineStr">
        <is>
          <t>TS-08</t>
        </is>
      </c>
      <c r="B145" s="4" t="n">
        <v>141</v>
      </c>
      <c r="C145" s="4" t="inlineStr">
        <is>
          <t>parses the bench line: 640.58 MiB/s, 48 updates/s</t>
        </is>
      </c>
      <c r="D145" s="8" t="inlineStr">
        <is>
          <t>PASS</t>
        </is>
      </c>
    </row>
    <row r="146">
      <c r="A146" s="12" t="inlineStr">
        <is>
          <t>TS-08</t>
        </is>
      </c>
      <c r="B146" s="12" t="n">
        <v>142</v>
      </c>
      <c r="C146" s="12" t="inlineStr">
        <is>
          <t>ignores other lines</t>
        </is>
      </c>
      <c r="D146" s="13" t="inlineStr">
        <is>
          <t>PASS</t>
        </is>
      </c>
    </row>
    <row r="147">
      <c r="A147" s="4" t="inlineStr">
        <is>
          <t>TS-08</t>
        </is>
      </c>
      <c r="B147" s="4" t="n">
        <v>143</v>
      </c>
      <c r="C147" s="4" t="inlineStr">
        <is>
          <t>default H2C buffer is 1 MiB</t>
        </is>
      </c>
      <c r="D147" s="8" t="inlineStr">
        <is>
          <t>PASS</t>
        </is>
      </c>
    </row>
    <row r="148">
      <c r="A148" s="12" t="inlineStr">
        <is>
          <t>TS-08</t>
        </is>
      </c>
      <c r="B148" s="12" t="n">
        <v>144</v>
      </c>
      <c r="C148" s="12" t="inlineStr">
        <is>
          <t>IWFG_H2C_CHUNK_BYTES overrides it</t>
        </is>
      </c>
      <c r="D148" s="13" t="inlineStr">
        <is>
          <t>PASS</t>
        </is>
      </c>
    </row>
    <row r="149">
      <c r="A149" s="4" t="inlineStr">
        <is>
          <t>TS-08</t>
        </is>
      </c>
      <c r="B149" s="4" t="n">
        <v>145</v>
      </c>
      <c r="C149" s="4" t="inlineStr">
        <is>
          <t>an invalid override is ignored</t>
        </is>
      </c>
      <c r="D149" s="8" t="inlineStr">
        <is>
          <t>PASS</t>
        </is>
      </c>
    </row>
    <row r="150">
      <c r="A150" s="12" t="inlineStr">
        <is>
          <t>TS-09</t>
        </is>
      </c>
      <c r="B150" s="12" t="n">
        <v>146</v>
      </c>
      <c r="C150" s="12" t="inlineStr">
        <is>
          <t>G  both helpers load (c2h_stream: ok, iwfg_h2c: ok)</t>
        </is>
      </c>
      <c r="D150" s="13" t="inlineStr">
        <is>
          <t>PASS</t>
        </is>
      </c>
    </row>
    <row r="151">
      <c r="A151" s="4" t="inlineStr">
        <is>
          <t>TS-09</t>
        </is>
      </c>
      <c r="B151" s="4" t="n">
        <v>147</v>
      </c>
      <c r="C151" s="4" t="inlineStr">
        <is>
          <t>G  pre-flight took 3 ms (1.2.3: ~6000 ms with the window frozen)</t>
        </is>
      </c>
      <c r="D151" s="8" t="inlineStr">
        <is>
          <t>PASS</t>
        </is>
      </c>
    </row>
    <row r="152">
      <c r="A152" s="12" t="inlineStr">
        <is>
          <t>TS-09</t>
        </is>
      </c>
      <c r="B152" s="12" t="n">
        <v>148</v>
      </c>
      <c r="C152" s="12" t="inlineStr">
        <is>
          <t>G  pre-flight opened no device node</t>
        </is>
      </c>
      <c r="D152" s="13" t="inlineStr">
        <is>
          <t>PASS</t>
        </is>
      </c>
    </row>
    <row r="153">
      <c r="A153" s="4" t="inlineStr">
        <is>
          <t>TS-09</t>
        </is>
      </c>
      <c r="B153" s="4" t="n">
        <v>149</v>
      </c>
      <c r="C153" s="4" t="inlineStr">
        <is>
          <t>A  backend ready (capture FIFO /tmp/loopback_emu_3881/c2h.fifo)</t>
        </is>
      </c>
      <c r="D153" s="8" t="inlineStr">
        <is>
          <t>PASS</t>
        </is>
      </c>
    </row>
    <row r="154">
      <c r="A154" s="12" t="inlineStr">
        <is>
          <t>TS-09</t>
        </is>
      </c>
      <c r="B154" s="12" t="n">
        <v>150</v>
      </c>
      <c r="C154" s="12" t="inlineStr">
        <is>
          <t>A  iwfg_h2c launched with the 1 MiB default buffer (got 1048576)</t>
        </is>
      </c>
      <c r="D154" s="13" t="inlineStr">
        <is>
          <t>PASS</t>
        </is>
      </c>
    </row>
    <row r="155">
      <c r="A155" s="4" t="inlineStr">
        <is>
          <t>TS-09</t>
        </is>
      </c>
      <c r="B155" s="4" t="n">
        <v>151</v>
      </c>
      <c r="C155" s="4" t="inlineStr">
        <is>
          <t>A  H2C playback reports Streaming</t>
        </is>
      </c>
      <c r="D155" s="8" t="inlineStr">
        <is>
          <t>PASS</t>
        </is>
      </c>
    </row>
    <row r="156">
      <c r="A156" s="12" t="inlineStr">
        <is>
          <t>TS-09</t>
        </is>
      </c>
      <c r="B156" s="12" t="n">
        <v>152</v>
      </c>
      <c r="C156" s="12" t="inlineStr">
        <is>
          <t>A  iwfg_h2c's delivery reported to the GUI: 761.0 MiB/s (the DAC needs 762.9)</t>
        </is>
      </c>
      <c r="D156" s="13" t="inlineStr">
        <is>
          <t>PASS</t>
        </is>
      </c>
    </row>
    <row r="157">
      <c r="A157" s="4" t="inlineStr">
        <is>
          <t>TS-09</t>
        </is>
      </c>
      <c r="B157" s="4" t="n">
        <v>153</v>
      </c>
      <c r="C157" s="4" t="inlineStr">
        <is>
          <t>A  46137344 samples received through the loopback</t>
        </is>
      </c>
      <c r="D157" s="8" t="inlineStr">
        <is>
          <t>PASS</t>
        </is>
      </c>
    </row>
    <row r="158">
      <c r="A158" s="12" t="inlineStr">
        <is>
          <t>TS-09</t>
        </is>
      </c>
      <c r="B158" s="12" t="n">
        <v>154</v>
      </c>
      <c r="C158" s="12" t="inlineStr">
        <is>
          <t>A  received tone 9.999847 MHz = transmitted 9.999847 MHz</t>
        </is>
      </c>
      <c r="D158" s="13" t="inlineStr">
        <is>
          <t>PASS</t>
        </is>
      </c>
    </row>
    <row r="159">
      <c r="A159" s="4" t="inlineStr">
        <is>
          <t>TS-09</t>
        </is>
      </c>
      <c r="B159" s="4" t="n">
        <v>155</v>
      </c>
      <c r="C159" s="4" t="inlineStr">
        <is>
          <t>A  received tone is clean: SFDR 82.3 dB</t>
        </is>
      </c>
      <c r="D159" s="8" t="inlineStr">
        <is>
          <t>PASS</t>
        </is>
      </c>
    </row>
    <row r="160">
      <c r="A160" s="12" t="inlineStr">
        <is>
          <t>TS-09</t>
        </is>
      </c>
      <c r="B160" s="12" t="n">
        <v>156</v>
      </c>
      <c r="C160" s="12" t="inlineStr">
        <is>
          <t>A  c2h_stream's own rate arrives live (160.0 MiB/s; stdbuf line buffering)</t>
        </is>
      </c>
      <c r="D160" s="13" t="inlineStr">
        <is>
          <t>PASS</t>
        </is>
      </c>
    </row>
    <row r="161">
      <c r="A161" s="4" t="inlineStr">
        <is>
          <t>TS-09</t>
        </is>
      </c>
      <c r="B161" s="4" t="n">
        <v>157</v>
      </c>
      <c r="C161" s="4" t="inlineStr">
        <is>
          <t>A  no failure reported</t>
        </is>
      </c>
      <c r="D161" s="8" t="inlineStr">
        <is>
          <t>PASS</t>
        </is>
      </c>
    </row>
    <row r="162">
      <c r="A162" s="12" t="inlineStr">
        <is>
          <t>TS-09</t>
        </is>
      </c>
      <c r="B162" s="12" t="n">
        <v>158</v>
      </c>
      <c r="C162" s="12" t="inlineStr">
        <is>
          <t>H  backend stopped (asynchronously)</t>
        </is>
      </c>
      <c r="D162" s="13" t="inlineStr">
        <is>
          <t>PASS</t>
        </is>
      </c>
    </row>
    <row r="163">
      <c r="A163" s="4" t="inlineStr">
        <is>
          <t>TS-09</t>
        </is>
      </c>
      <c r="B163" s="4" t="n">
        <v>159</v>
      </c>
      <c r="C163" s="4" t="inlineStr">
        <is>
          <t>H  reader with no writer used 0.05 s CPU in 1.5 s (1.2.3 spun a whole core)</t>
        </is>
      </c>
      <c r="D163" s="8" t="inlineStr">
        <is>
          <t>PASS</t>
        </is>
      </c>
    </row>
    <row r="164">
      <c r="A164" s="12" t="inlineStr">
        <is>
          <t>TS-09</t>
        </is>
      </c>
      <c r="B164" s="12" t="n">
        <v>160</v>
      </c>
      <c r="C164" s="12" t="inlineStr">
        <is>
          <t>H  the reader says it is waiting for the capture helper</t>
        </is>
      </c>
      <c r="D164" s="13" t="inlineStr">
        <is>
          <t>PASS</t>
        </is>
      </c>
    </row>
    <row r="165">
      <c r="A165" s="4" t="inlineStr">
        <is>
          <t>TS-09</t>
        </is>
      </c>
      <c r="B165" s="4" t="n">
        <v>161</v>
      </c>
      <c r="C165" s="4" t="inlineStr">
        <is>
          <t>B  the launcher saw c2h_stream end and restarted it</t>
        </is>
      </c>
      <c r="D165" s="8" t="inlineStr">
        <is>
          <t>PASS</t>
        </is>
      </c>
    </row>
    <row r="166">
      <c r="A166" s="12" t="inlineStr">
        <is>
          <t>TS-09</t>
        </is>
      </c>
      <c r="B166" s="12" t="n">
        <v>162</v>
      </c>
      <c r="C166" s="12" t="inlineStr">
        <is>
          <t>B  the reason is named (not just "exit 0")</t>
        </is>
      </c>
      <c r="D166" s="13" t="inlineStr">
        <is>
          <t>PASS</t>
        </is>
      </c>
    </row>
    <row r="167">
      <c r="A167" s="4" t="inlineStr">
        <is>
          <t>TS-09</t>
        </is>
      </c>
      <c r="B167" s="4" t="n">
        <v>163</v>
      </c>
      <c r="C167" s="4" t="inlineStr">
        <is>
          <t>B  the reader re-attached to the new FIFO by itself</t>
        </is>
      </c>
      <c r="D167" s="8" t="inlineStr">
        <is>
          <t>PASS</t>
        </is>
      </c>
    </row>
    <row r="168">
      <c r="A168" s="12" t="inlineStr">
        <is>
          <t>TS-09</t>
        </is>
      </c>
      <c r="B168" s="12" t="n">
        <v>164</v>
      </c>
      <c r="C168" s="12" t="inlineStr">
        <is>
          <t>B  data flows again after the restart (2818048 new samples)</t>
        </is>
      </c>
      <c r="D168" s="13" t="inlineStr">
        <is>
          <t>PASS</t>
        </is>
      </c>
    </row>
    <row r="169">
      <c r="A169" s="4" t="inlineStr">
        <is>
          <t>TS-09</t>
        </is>
      </c>
      <c r="B169" s="4" t="n">
        <v>165</v>
      </c>
      <c r="C169" s="4" t="inlineStr">
        <is>
          <t>B  and it is the transmitted tone (9.999847 MHz, SFDR 82.3 dB)</t>
        </is>
      </c>
      <c r="D169" s="8" t="inlineStr">
        <is>
          <t>PASS</t>
        </is>
      </c>
    </row>
    <row r="170">
      <c r="A170" s="12" t="inlineStr">
        <is>
          <t>TS-09</t>
        </is>
      </c>
      <c r="B170" s="12" t="n">
        <v>166</v>
      </c>
      <c r="C170" s="12" t="inlineStr">
        <is>
          <t>B  no fatal failure, no dialog</t>
        </is>
      </c>
      <c r="D170" s="13" t="inlineStr">
        <is>
          <t>PASS</t>
        </is>
      </c>
    </row>
    <row r="171">
      <c r="A171" s="4" t="inlineStr">
        <is>
          <t>TS-09</t>
        </is>
      </c>
      <c r="B171" s="4" t="n">
        <v>167</v>
      </c>
      <c r="C171" s="4" t="inlineStr">
        <is>
          <t>B  transmit was not disturbed (iwfg_h2c launched once)</t>
        </is>
      </c>
      <c r="D171" s="8" t="inlineStr">
        <is>
          <t>PASS</t>
        </is>
      </c>
    </row>
    <row r="172">
      <c r="A172" s="12" t="inlineStr">
        <is>
          <t>TS-09</t>
        </is>
      </c>
      <c r="B172" s="12" t="n">
        <v>168</v>
      </c>
      <c r="C172" s="12" t="inlineStr">
        <is>
          <t>C  stepped down 1 MiB -&gt; 256 KiB and streams (state streaming)</t>
        </is>
      </c>
      <c r="D172" s="13" t="inlineStr">
        <is>
          <t>PASS</t>
        </is>
      </c>
    </row>
    <row r="173">
      <c r="A173" s="4" t="inlineStr">
        <is>
          <t>TS-09</t>
        </is>
      </c>
      <c r="B173" s="4" t="n">
        <v>169</v>
      </c>
      <c r="C173" s="4" t="inlineStr">
        <is>
          <t>C  the step-down was reported</t>
        </is>
      </c>
      <c r="D173" s="8" t="inlineStr">
        <is>
          <t>PASS</t>
        </is>
      </c>
    </row>
    <row r="174">
      <c r="A174" s="12" t="inlineStr">
        <is>
          <t>TS-09</t>
        </is>
      </c>
      <c r="B174" s="12" t="n">
        <v>170</v>
      </c>
      <c r="C174" s="12" t="inlineStr">
        <is>
          <t>C  it first reopened at the same size, and stepped down only when that stalled too</t>
        </is>
      </c>
      <c r="D174" s="13" t="inlineStr">
        <is>
          <t>PASS</t>
        </is>
      </c>
    </row>
    <row r="175">
      <c r="A175" s="4" t="inlineStr">
        <is>
          <t>TS-09</t>
        </is>
      </c>
      <c r="B175" s="4" t="n">
        <v>171</v>
      </c>
      <c r="C175" s="4" t="inlineStr">
        <is>
          <t>C  the generator followed the new loop length; tone received 10.000610 MHz, SFDR 82.3 dB</t>
        </is>
      </c>
      <c r="D175" s="8" t="inlineStr">
        <is>
          <t>PASS</t>
        </is>
      </c>
    </row>
    <row r="176">
      <c r="A176" s="12" t="inlineStr">
        <is>
          <t>TS-09</t>
        </is>
      </c>
      <c r="B176" s="12" t="n">
        <v>172</v>
      </c>
      <c r="C176" s="12" t="inlineStr">
        <is>
          <t>C  no failure dialog</t>
        </is>
      </c>
      <c r="D176" s="13" t="inlineStr">
        <is>
          <t>PASS</t>
        </is>
      </c>
    </row>
    <row r="177">
      <c r="A177" s="4" t="inlineStr">
        <is>
          <t>TS-09</t>
        </is>
      </c>
      <c r="B177" s="4" t="n">
        <v>173</v>
      </c>
      <c r="C177" s="4" t="inlineStr">
        <is>
          <t>D  steps down to 16 KiB, then reports Stalled (not a size problem)</t>
        </is>
      </c>
      <c r="D177" s="8" t="inlineStr">
        <is>
          <t>PASS</t>
        </is>
      </c>
    </row>
    <row r="178">
      <c r="A178" s="12" t="inlineStr">
        <is>
          <t>TS-09</t>
        </is>
      </c>
      <c r="B178" s="12" t="n">
        <v>174</v>
      </c>
      <c r="C178" s="12" t="inlineStr">
        <is>
          <t>D  iwfg_h2c is left running: it resumes by itself when the card consumes</t>
        </is>
      </c>
      <c r="D178" s="13" t="inlineStr">
        <is>
          <t>PASS</t>
        </is>
      </c>
    </row>
    <row r="179">
      <c r="A179" s="4" t="inlineStr">
        <is>
          <t>TS-09</t>
        </is>
      </c>
      <c r="B179" s="4" t="n">
        <v>175</v>
      </c>
      <c r="C179" s="4" t="inlineStr">
        <is>
          <t>D  the operator is told what to check</t>
        </is>
      </c>
      <c r="D179" s="8" t="inlineStr">
        <is>
          <t>PASS</t>
        </is>
      </c>
    </row>
    <row r="180">
      <c r="A180" s="12" t="inlineStr">
        <is>
          <t>TS-09</t>
        </is>
      </c>
      <c r="B180" s="12" t="n">
        <v>176</v>
      </c>
      <c r="C180" s="12" t="inlineStr">
        <is>
          <t>D  capture keeps running meanwhile (41943040 samples in 1 s)</t>
        </is>
      </c>
      <c r="D180" s="13" t="inlineStr">
        <is>
          <t>PASS</t>
        </is>
      </c>
    </row>
    <row r="181">
      <c r="A181" s="4" t="inlineStr">
        <is>
          <t>TS-09</t>
        </is>
      </c>
      <c r="B181" s="4" t="n">
        <v>177</v>
      </c>
      <c r="C181" s="4" t="inlineStr">
        <is>
          <t>D  no dialog</t>
        </is>
      </c>
      <c r="D181" s="8" t="inlineStr">
        <is>
          <t>PASS</t>
        </is>
      </c>
    </row>
    <row r="182">
      <c r="A182" s="12" t="inlineStr">
        <is>
          <t>TS-09</t>
        </is>
      </c>
      <c r="B182" s="12" t="n">
        <v>178</v>
      </c>
      <c r="C182" s="12" t="inlineStr">
        <is>
          <t>K  walked down to 16 KiB and reports Stalled</t>
        </is>
      </c>
      <c r="D182" s="13" t="inlineStr">
        <is>
          <t>PASS</t>
        </is>
      </c>
    </row>
    <row r="183">
      <c r="A183" s="4" t="inlineStr">
        <is>
          <t>TS-09</t>
        </is>
      </c>
      <c r="B183" s="4" t="n">
        <v>179</v>
      </c>
      <c r="C183" s="4" t="inlineStr">
        <is>
          <t>K  once the card consumes, transmit is relaunched at the 1 MiB default (not left on 16 KiB)</t>
        </is>
      </c>
      <c r="D183" s="8" t="inlineStr">
        <is>
          <t>PASS</t>
        </is>
      </c>
    </row>
    <row r="184">
      <c r="A184" s="12" t="inlineStr">
        <is>
          <t>TS-09</t>
        </is>
      </c>
      <c r="B184" s="12" t="n">
        <v>180</v>
      </c>
      <c r="C184" s="12" t="inlineStr">
        <is>
          <t>K  tone received 9.999847 MHz, SFDR 82.3 dB</t>
        </is>
      </c>
      <c r="D184" s="13" t="inlineStr">
        <is>
          <t>PASS</t>
        </is>
      </c>
    </row>
    <row r="185">
      <c r="A185" s="4" t="inlineStr">
        <is>
          <t>TS-09</t>
        </is>
      </c>
      <c r="B185" s="4" t="n">
        <v>181</v>
      </c>
      <c r="C185" s="4" t="inlineStr">
        <is>
          <t>K  no dialog</t>
        </is>
      </c>
      <c r="D185" s="8" t="inlineStr">
        <is>
          <t>PASS</t>
        </is>
      </c>
    </row>
    <row r="186">
      <c r="A186" s="12" t="inlineStr">
        <is>
          <t>TS-09</t>
        </is>
      </c>
      <c r="B186" s="12" t="n">
        <v>182</v>
      </c>
      <c r="C186" s="12" t="inlineStr">
        <is>
          <t>P  streaming again at 1 MiB after one same-size reopen (buffer 1024 KiB)</t>
        </is>
      </c>
      <c r="D186" s="13" t="inlineStr">
        <is>
          <t>PASS</t>
        </is>
      </c>
    </row>
    <row r="187">
      <c r="A187" s="4" t="inlineStr">
        <is>
          <t>TS-09</t>
        </is>
      </c>
      <c r="B187" s="4" t="n">
        <v>183</v>
      </c>
      <c r="C187" s="4" t="inlineStr">
        <is>
          <t>P  no step-down (1.2.4 walked straight down the ladder)</t>
        </is>
      </c>
      <c r="D187" s="8" t="inlineStr">
        <is>
          <t>PASS</t>
        </is>
      </c>
    </row>
    <row r="188">
      <c r="A188" s="12" t="inlineStr">
        <is>
          <t>TS-09</t>
        </is>
      </c>
      <c r="B188" s="12" t="n">
        <v>184</v>
      </c>
      <c r="C188" s="12" t="inlineStr">
        <is>
          <t>P  tone received 9.999847 MHz</t>
        </is>
      </c>
      <c r="D188" s="13" t="inlineStr">
        <is>
          <t>PASS</t>
        </is>
      </c>
    </row>
    <row r="189">
      <c r="A189" s="4" t="inlineStr">
        <is>
          <t>TS-09</t>
        </is>
      </c>
      <c r="B189" s="4" t="n">
        <v>185</v>
      </c>
      <c r="C189" s="4" t="inlineStr">
        <is>
          <t>N  capture FIFO pipe buffer 1024 KiB (default 64 KiB; max allowed 1024 KiB)</t>
        </is>
      </c>
      <c r="D189" s="8" t="inlineStr">
        <is>
          <t>PASS</t>
        </is>
      </c>
    </row>
    <row r="190">
      <c r="A190" s="12" t="inlineStr">
        <is>
          <t>TS-09</t>
        </is>
      </c>
      <c r="B190" s="12" t="n">
        <v>186</v>
      </c>
      <c r="C190" s="12" t="inlineStr">
        <is>
          <t>M  /dev/iwfg1 closed before /dev/iwfg0 (so the driver's QDMA reset runs on the last close)</t>
        </is>
      </c>
      <c r="D190" s="13" t="inlineStr">
        <is>
          <t>PASS</t>
        </is>
      </c>
    </row>
    <row r="191">
      <c r="A191" s="4" t="inlineStr">
        <is>
          <t>TS-09</t>
        </is>
      </c>
      <c r="B191" s="4" t="n">
        <v>187</v>
      </c>
      <c r="C191" s="4" t="inlineStr">
        <is>
          <t>O  the capture stalled (c2h_stream waits in the driver)</t>
        </is>
      </c>
      <c r="D191" s="8" t="inlineStr">
        <is>
          <t>PASS</t>
        </is>
      </c>
    </row>
    <row r="192">
      <c r="A192" s="12" t="inlineStr">
        <is>
          <t>TS-09</t>
        </is>
      </c>
      <c r="B192" s="12" t="n">
        <v>188</v>
      </c>
      <c r="C192" s="12" t="inlineStr">
        <is>
          <t>O  nothing arrives meanwhile (0 samples in 2 s)</t>
        </is>
      </c>
      <c r="D192" s="13" t="inlineStr">
        <is>
          <t>PASS</t>
        </is>
      </c>
    </row>
    <row r="193">
      <c r="A193" s="4" t="inlineStr">
        <is>
          <t>TS-09</t>
        </is>
      </c>
      <c r="B193" s="4" t="n">
        <v>189</v>
      </c>
      <c r="C193" s="4" t="inlineStr">
        <is>
          <t>O  resetDevice() reported as begun</t>
        </is>
      </c>
      <c r="D193" s="8" t="inlineStr">
        <is>
          <t>PASS</t>
        </is>
      </c>
    </row>
    <row r="194">
      <c r="A194" s="12" t="inlineStr">
        <is>
          <t>TS-09</t>
        </is>
      </c>
      <c r="B194" s="12" t="n">
        <v>190</v>
      </c>
      <c r="C194" s="12" t="inlineStr">
        <is>
          <t>O  ... and finished: capture and transmit restarted</t>
        </is>
      </c>
      <c r="D194" s="13" t="inlineStr">
        <is>
          <t>PASS</t>
        </is>
      </c>
    </row>
    <row r="195">
      <c r="A195" s="4" t="inlineStr">
        <is>
          <t>TS-09</t>
        </is>
      </c>
      <c r="B195" s="4" t="n">
        <v>191</v>
      </c>
      <c r="C195" s="4" t="inlineStr">
        <is>
          <t>O  the reason is logged</t>
        </is>
      </c>
      <c r="D195" s="8" t="inlineStr">
        <is>
          <t>PASS</t>
        </is>
      </c>
    </row>
    <row r="196">
      <c r="A196" s="12" t="inlineStr">
        <is>
          <t>TS-09</t>
        </is>
      </c>
      <c r="B196" s="12" t="n">
        <v>192</v>
      </c>
      <c r="C196" s="12" t="inlineStr">
        <is>
          <t>O  data flows again and it is the transmitted tone (9.999847 MHz)</t>
        </is>
      </c>
      <c r="D196" s="13" t="inlineStr">
        <is>
          <t>PASS</t>
        </is>
      </c>
    </row>
    <row r="197">
      <c r="A197" s="4" t="inlineStr">
        <is>
          <t>TS-09</t>
        </is>
      </c>
      <c r="B197" s="4" t="n">
        <v>193</v>
      </c>
      <c r="C197" s="4" t="inlineStr">
        <is>
          <t>O  transmit streaming again</t>
        </is>
      </c>
      <c r="D197" s="8" t="inlineStr">
        <is>
          <t>PASS</t>
        </is>
      </c>
    </row>
    <row r="198">
      <c r="A198" s="12" t="inlineStr">
        <is>
          <t>TS-09</t>
        </is>
      </c>
      <c r="B198" s="12" t="n">
        <v>194</v>
      </c>
      <c r="C198" s="12" t="inlineStr">
        <is>
          <t>O  no fatal failure</t>
        </is>
      </c>
      <c r="D198" s="13" t="inlineStr">
        <is>
          <t>PASS</t>
        </is>
      </c>
    </row>
    <row r="199">
      <c r="A199" s="4" t="inlineStr">
        <is>
          <t>TS-09</t>
        </is>
      </c>
      <c r="B199" s="4" t="n">
        <v>195</v>
      </c>
      <c r="C199" s="4" t="inlineStr">
        <is>
          <t>E  backend ready</t>
        </is>
      </c>
      <c r="D199" s="8" t="inlineStr">
        <is>
          <t>PASS</t>
        </is>
      </c>
    </row>
    <row r="200">
      <c r="A200" s="12" t="inlineStr">
        <is>
          <t>TS-09</t>
        </is>
      </c>
      <c r="B200" s="12" t="n">
        <v>196</v>
      </c>
      <c r="C200" s="12" t="inlineStr">
        <is>
          <t>E  stop() returned in 0 ms (1.2.3 blocked up to 10 s)</t>
        </is>
      </c>
      <c r="D200" s="13" t="inlineStr">
        <is>
          <t>PASS</t>
        </is>
      </c>
    </row>
    <row r="201">
      <c r="A201" s="4" t="inlineStr">
        <is>
          <t>TS-09</t>
        </is>
      </c>
      <c r="B201" s="4" t="n">
        <v>197</v>
      </c>
      <c r="C201" s="4" t="inlineStr">
        <is>
          <t>E  stopped() after 5590 ms: SIGINT, SIGTERM ignored, SIGKILL worked</t>
        </is>
      </c>
      <c r="D201" s="8" t="inlineStr">
        <is>
          <t>PASS</t>
        </is>
      </c>
    </row>
    <row r="202">
      <c r="A202" s="12" t="inlineStr">
        <is>
          <t>TS-09</t>
        </is>
      </c>
      <c r="B202" s="12" t="n">
        <v>198</v>
      </c>
      <c r="C202" s="12" t="inlineStr">
        <is>
          <t>E  the event loop kept running throughout (longest gap 49 ms)</t>
        </is>
      </c>
      <c r="D202" s="13" t="inlineStr">
        <is>
          <t>PASS</t>
        </is>
      </c>
    </row>
    <row r="203">
      <c r="A203" s="4" t="inlineStr">
        <is>
          <t>TS-09</t>
        </is>
      </c>
      <c r="B203" s="4" t="n">
        <v>199</v>
      </c>
      <c r="C203" s="4" t="inlineStr">
        <is>
          <t>E  nothing left behind</t>
        </is>
      </c>
      <c r="D203" s="8" t="inlineStr">
        <is>
          <t>PASS</t>
        </is>
      </c>
    </row>
    <row r="204">
      <c r="A204" s="12" t="inlineStr">
        <is>
          <t>TS-09</t>
        </is>
      </c>
      <c r="B204" s="12" t="n">
        <v>200</v>
      </c>
      <c r="C204" s="12" t="inlineStr">
        <is>
          <t>F  not refused</t>
        </is>
      </c>
      <c r="D204" s="13" t="inlineStr">
        <is>
          <t>PASS</t>
        </is>
      </c>
    </row>
    <row r="205">
      <c r="A205" s="4" t="inlineStr">
        <is>
          <t>TS-09</t>
        </is>
      </c>
      <c r="B205" s="4" t="n">
        <v>201</v>
      </c>
      <c r="C205" s="4" t="inlineStr">
        <is>
          <t>F  the queued start ran after the stop completed (ready 2 times)</t>
        </is>
      </c>
      <c r="D205" s="8" t="inlineStr">
        <is>
          <t>PASS</t>
        </is>
      </c>
    </row>
    <row r="206">
      <c r="A206" s="12" t="inlineStr">
        <is>
          <t>TS-09</t>
        </is>
      </c>
      <c r="B206" s="12" t="n">
        <v>202</v>
      </c>
      <c r="C206" s="12" t="inlineStr">
        <is>
          <t>I  the capture starts anyway (1.2.3 refused to start at all)</t>
        </is>
      </c>
      <c r="D206" s="13" t="inlineStr">
        <is>
          <t>PASS</t>
        </is>
      </c>
    </row>
    <row r="207">
      <c r="A207" s="4" t="inlineStr">
        <is>
          <t>TS-09</t>
        </is>
      </c>
      <c r="B207" s="4" t="n">
        <v>203</v>
      </c>
      <c r="C207" s="4" t="inlineStr">
        <is>
          <t>I  transmit reported as unavailable, non-fatal: "H2C playback: the device node /tmp/loopback_emu_3881/no_such_iwfg1 doe"</t>
        </is>
      </c>
      <c r="D207" s="8" t="inlineStr">
        <is>
          <t>PASS</t>
        </is>
      </c>
    </row>
    <row r="208">
      <c r="A208" s="12" t="inlineStr">
        <is>
          <t>TS-09</t>
        </is>
      </c>
      <c r="B208" s="12" t="n">
        <v>204</v>
      </c>
      <c r="C208" s="12" t="inlineStr">
        <is>
          <t>I  capture delivers (29360128 samples)</t>
        </is>
      </c>
      <c r="D208" s="13" t="inlineStr">
        <is>
          <t>PASS</t>
        </is>
      </c>
    </row>
    <row r="209">
      <c r="A209" s="4" t="inlineStr">
        <is>
          <t>TS-09</t>
        </is>
      </c>
      <c r="B209" s="4" t="n">
        <v>205</v>
      </c>
      <c r="C209" s="4" t="inlineStr">
        <is>
          <t>J  no transmit helper at first</t>
        </is>
      </c>
      <c r="D209" s="8" t="inlineStr">
        <is>
          <t>PASS</t>
        </is>
      </c>
    </row>
    <row r="210">
      <c r="A210" s="12" t="inlineStr">
        <is>
          <t>TS-09</t>
        </is>
      </c>
      <c r="B210" s="12" t="n">
        <v>206</v>
      </c>
      <c r="C210" s="12" t="inlineStr">
        <is>
          <t>J  ensureH2c() starts iwfg_h2c on demand</t>
        </is>
      </c>
      <c r="D210" s="13" t="inlineStr">
        <is>
          <t>PASS</t>
        </is>
      </c>
    </row>
    <row r="211">
      <c r="A211" s="4" t="inlineStr">
        <is>
          <t>TS-09</t>
        </is>
      </c>
      <c r="B211" s="4" t="n">
        <v>207</v>
      </c>
      <c r="C211" s="4" t="inlineStr">
        <is>
          <t>J  and it streams</t>
        </is>
      </c>
      <c r="D211" s="8" t="inlineStr">
        <is>
          <t>PASS</t>
        </is>
      </c>
    </row>
    <row r="212">
      <c r="A212" s="12" t="inlineStr">
        <is>
          <t>TS-09</t>
        </is>
      </c>
      <c r="B212" s="12" t="n">
        <v>208</v>
      </c>
      <c r="C212" s="12" t="inlineStr">
        <is>
          <t>J  tone received 9.999847 MHz</t>
        </is>
      </c>
      <c r="D212" s="13" t="inlineStr">
        <is>
          <t>PASS</t>
        </is>
      </c>
    </row>
    <row r="213">
      <c r="A213" s="4" t="inlineStr">
        <is>
          <t>TS-09</t>
        </is>
      </c>
      <c r="B213" s="4" t="n">
        <v>209</v>
      </c>
      <c r="C213" s="4" t="inlineStr">
        <is>
          <t>c2h exit: driver error recognised</t>
        </is>
      </c>
      <c r="D213" s="8" t="inlineStr">
        <is>
          <t>PASS</t>
        </is>
      </c>
    </row>
    <row r="214">
      <c r="A214" s="12" t="inlineStr">
        <is>
          <t>TS-09</t>
        </is>
      </c>
      <c r="B214" s="12" t="n">
        <v>210</v>
      </c>
      <c r="C214" s="12" t="inlineStr">
        <is>
          <t>c2h exit: reader closed recognised</t>
        </is>
      </c>
      <c r="D214" s="13" t="inlineStr">
        <is>
          <t>PASS</t>
        </is>
      </c>
    </row>
    <row r="215">
      <c r="A215" s="4" t="inlineStr">
        <is>
          <t>TS-09</t>
        </is>
      </c>
      <c r="B215" s="4" t="n">
        <v>211</v>
      </c>
      <c r="C215" s="4" t="inlineStr">
        <is>
          <t>c2h exit: signal recognised</t>
        </is>
      </c>
      <c r="D215" s="8" t="inlineStr">
        <is>
          <t>PASS</t>
        </is>
      </c>
    </row>
    <row r="216">
      <c r="A216" s="12" t="inlineStr">
        <is>
          <t>TS-09</t>
        </is>
      </c>
      <c r="B216" s="12" t="n">
        <v>212</v>
      </c>
      <c r="C216" s="12" t="inlineStr">
        <is>
          <t>c2h exit: start-up failure recognised (not restarted)</t>
        </is>
      </c>
      <c r="D216" s="13" t="inlineStr">
        <is>
          <t>PASS</t>
        </is>
      </c>
    </row>
    <row r="217">
      <c r="A217" s="4" t="inlineStr">
        <is>
          <t>TS-09</t>
        </is>
      </c>
      <c r="B217" s="4" t="n">
        <v>213</v>
      </c>
      <c r="C217" s="4" t="inlineStr">
        <is>
          <t>c2h rate line parsed: 2416.93 MiB/s</t>
        </is>
      </c>
      <c r="D217" s="8" t="inlineStr">
        <is>
          <t>PASS</t>
        </is>
      </c>
    </row>
    <row r="218">
      <c r="A218" s="12" t="inlineStr">
        <is>
          <t>TS-09</t>
        </is>
      </c>
      <c r="B218" s="12" t="n">
        <v>214</v>
      </c>
      <c r="C218" s="12" t="inlineStr">
        <is>
          <t>H2C stall lines recognised</t>
        </is>
      </c>
      <c r="D218" s="13" t="inlineStr">
        <is>
          <t>PASS</t>
        </is>
      </c>
    </row>
    <row r="219">
      <c r="A219" s="4" t="inlineStr">
        <is>
          <t>TS-09</t>
        </is>
      </c>
      <c r="B219" s="4" t="n">
        <v>215</v>
      </c>
      <c r="C219" s="4" t="inlineStr">
        <is>
          <t>ladder: 1 MiB default -&gt; 256 KiB -&gt; 64 KiB -&gt; 16 KiB -&gt; stop</t>
        </is>
      </c>
      <c r="D219" s="8" t="inlineStr">
        <is>
          <t>PASS</t>
        </is>
      </c>
    </row>
    <row r="220">
      <c r="A220" s="12" t="inlineStr">
        <is>
          <t>TS-09</t>
        </is>
      </c>
      <c r="B220" s="12" t="n">
        <v>216</v>
      </c>
      <c r="C220" s="12" t="inlineStr">
        <is>
          <t>transmit guard: 4 ch x 200 MSPS -&gt; 2 ch; 2 and 1 left alone; 4 x 250 MSPS -&gt; 1 ch</t>
        </is>
      </c>
      <c r="D220" s="13" t="inlineStr">
        <is>
          <t>PASS</t>
        </is>
      </c>
    </row>
    <row r="221">
      <c r="A221" s="4" t="inlineStr">
        <is>
          <t>TS-09</t>
        </is>
      </c>
      <c r="B221" s="4" t="n">
        <v>217</v>
      </c>
      <c r="C221" s="4" t="inlineStr">
        <is>
          <t>PL GPIO modes: 1 ch -&gt; 1, 2 ch -&gt; 2, 4 ch -&gt; 3</t>
        </is>
      </c>
      <c r="D221" s="8" t="inlineStr">
        <is>
          <t>PASS</t>
        </is>
      </c>
    </row>
    <row r="222">
      <c r="A222" s="12" t="inlineStr">
        <is>
          <t>TS-09</t>
        </is>
      </c>
      <c r="B222" s="12" t="n">
        <v>218</v>
      </c>
      <c r="C222" s="12" t="inlineStr">
        <is>
          <t>measured rate -&gt; channels: 1500 -&gt; 2, 760 -&gt; 1, 3040 -&gt; 4; an overloaded 2417 is not read as a count</t>
        </is>
      </c>
      <c r="D222" s="13" t="inlineStr">
        <is>
          <t>PASS</t>
        </is>
      </c>
    </row>
    <row r="223">
      <c r="A223" s="4" t="inlineStr">
        <is>
          <t>TS-10</t>
        </is>
      </c>
      <c r="B223" s="4" t="n">
        <v>219</v>
      </c>
      <c r="C223" s="4" t="inlineStr">
        <is>
          <t>H2C CONTROL action present</t>
        </is>
      </c>
      <c r="D223" s="8" t="inlineStr">
        <is>
          <t>PASS</t>
        </is>
      </c>
    </row>
    <row r="224">
      <c r="A224" s="12" t="inlineStr">
        <is>
          <t>TS-10</t>
        </is>
      </c>
      <c r="B224" s="12" t="n">
        <v>220</v>
      </c>
      <c r="C224" s="12" t="inlineStr">
        <is>
          <t>control window opened</t>
        </is>
      </c>
      <c r="D224" s="13" t="inlineStr">
        <is>
          <t>PASS</t>
        </is>
      </c>
    </row>
    <row r="225">
      <c r="A225" s="4" t="inlineStr">
        <is>
          <t>TS-10</t>
        </is>
      </c>
      <c r="B225" s="4" t="n">
        <v>221</v>
      </c>
      <c r="C225" s="4" t="inlineStr">
        <is>
          <t>Transmit tab: H2C playback helper running, waiting for the generator</t>
        </is>
      </c>
      <c r="D225" s="8" t="inlineStr">
        <is>
          <t>PASS</t>
        </is>
      </c>
    </row>
    <row r="226">
      <c r="A226" s="12" t="inlineStr">
        <is>
          <t>TS-10</t>
        </is>
      </c>
      <c r="B226" s="12" t="n">
        <v>222</v>
      </c>
      <c r="C226" s="12" t="inlineStr">
        <is>
          <t>generator FIFO follows the backend's (/tmp/app_live_emu_4034/h2c.fifo)</t>
        </is>
      </c>
      <c r="D226" s="13" t="inlineStr">
        <is>
          <t>PASS</t>
        </is>
      </c>
    </row>
    <row r="227">
      <c r="A227" s="4" t="inlineStr">
        <is>
          <t>TS-10</t>
        </is>
      </c>
      <c r="B227" s="4" t="n">
        <v>223</v>
      </c>
      <c r="C227" s="4" t="inlineStr">
        <is>
          <t>Start generator button</t>
        </is>
      </c>
      <c r="D227" s="8" t="inlineStr">
        <is>
          <t>PASS</t>
        </is>
      </c>
    </row>
    <row r="228">
      <c r="A228" s="12" t="inlineStr">
        <is>
          <t>TS-10</t>
        </is>
      </c>
      <c r="B228" s="12" t="n">
        <v>224</v>
      </c>
      <c r="C228" s="12" t="inlineStr">
        <is>
          <t>H2C playback row: streaming</t>
        </is>
      </c>
      <c r="D228" s="13" t="inlineStr">
        <is>
          <t>PASS</t>
        </is>
      </c>
    </row>
    <row r="229">
      <c r="A229" s="4" t="inlineStr">
        <is>
          <t>TS-10</t>
        </is>
      </c>
      <c r="B229" s="4" t="n">
        <v>225</v>
      </c>
      <c r="C229" s="4" t="inlineStr">
        <is>
          <t>H2C to card row: iwfg_h2c's measured rate shown</t>
        </is>
      </c>
      <c r="D229" s="8" t="inlineStr">
        <is>
          <t>PASS</t>
        </is>
      </c>
    </row>
    <row r="230">
      <c r="A230" s="12" t="inlineStr">
        <is>
          <t>TS-10</t>
        </is>
      </c>
      <c r="B230" s="12" t="n">
        <v>226</v>
      </c>
      <c r="C230" s="12" t="inlineStr">
        <is>
          <t>C2H capture row: delivered vs needed shown</t>
        </is>
      </c>
      <c r="D230" s="13" t="inlineStr">
        <is>
          <t>PASS</t>
        </is>
      </c>
    </row>
    <row r="231">
      <c r="A231" s="4" t="inlineStr">
        <is>
          <t>TS-10</t>
        </is>
      </c>
      <c r="B231" s="4" t="n">
        <v>227</v>
      </c>
      <c r="C231" s="4" t="inlineStr">
        <is>
          <t>Received row: the received tone matches the generator's frequency</t>
        </is>
      </c>
      <c r="D231" s="8" t="inlineStr">
        <is>
          <t>PASS</t>
        </is>
      </c>
    </row>
    <row r="232">
      <c r="A232" s="12" t="inlineStr">
        <is>
          <t>TS-10</t>
        </is>
      </c>
      <c r="B232" s="12" t="n">
        <v>228</v>
      </c>
      <c r="C232" s="12" t="inlineStr">
        <is>
          <t>Verify loopback: "✓ Loopback verified. The generator moved 7.300 MHz and the tone received through the ADC moved 7.299 MHz. The "</t>
        </is>
      </c>
      <c r="D232" s="13" t="inlineStr">
        <is>
          <t>PASS</t>
        </is>
      </c>
    </row>
    <row r="233">
      <c r="A233" s="4" t="inlineStr">
        <is>
          <t>TS-10</t>
        </is>
      </c>
      <c r="B233" s="4" t="n">
        <v>229</v>
      </c>
      <c r="C233" s="4" t="inlineStr">
        <is>
          <t>Start/Stop actions present</t>
        </is>
      </c>
      <c r="D233" s="8" t="inlineStr">
        <is>
          <t>PASS</t>
        </is>
      </c>
    </row>
    <row r="234">
      <c r="A234" s="12" t="inlineStr">
        <is>
          <t>TS-10</t>
        </is>
      </c>
      <c r="B234" s="12" t="n">
        <v>230</v>
      </c>
      <c r="C234" s="12" t="inlineStr">
        <is>
          <t>Stop returned in 0 ms</t>
        </is>
      </c>
      <c r="D234" s="13" t="inlineStr">
        <is>
          <t>PASS</t>
        </is>
      </c>
    </row>
    <row r="235">
      <c r="A235" s="4" t="inlineStr">
        <is>
          <t>TS-10</t>
        </is>
      </c>
      <c r="B235" s="4" t="n">
        <v>231</v>
      </c>
      <c r="C235" s="4" t="inlineStr">
        <is>
          <t>Start returned in 7 ms (helper pre-flight no longer freezes)</t>
        </is>
      </c>
      <c r="D235" s="8" t="inlineStr">
        <is>
          <t>PASS</t>
        </is>
      </c>
    </row>
    <row r="236">
      <c r="A236" s="12" t="inlineStr">
        <is>
          <t>TS-10</t>
        </is>
      </c>
      <c r="B236" s="12" t="n">
        <v>232</v>
      </c>
      <c r="C236" s="12" t="inlineStr">
        <is>
          <t>the injected C2H driver error fired</t>
        </is>
      </c>
      <c r="D236" s="13" t="inlineStr">
        <is>
          <t>PASS</t>
        </is>
      </c>
    </row>
    <row r="237">
      <c r="A237" s="4" t="inlineStr">
        <is>
          <t>TS-10</t>
        </is>
      </c>
      <c r="B237" s="4" t="n">
        <v>233</v>
      </c>
      <c r="C237" s="4" t="inlineStr">
        <is>
          <t>no dialog for a recovered capture helper</t>
        </is>
      </c>
      <c r="D237" s="8" t="inlineStr">
        <is>
          <t>PASS</t>
        </is>
      </c>
    </row>
    <row r="238">
      <c r="A238" s="12" t="inlineStr">
        <is>
          <t>TS-10</t>
        </is>
      </c>
      <c r="B238" s="12" t="n">
        <v>234</v>
      </c>
      <c r="C238" s="12" t="inlineStr">
        <is>
          <t>transmit streaming after the restart</t>
        </is>
      </c>
      <c r="D238" s="13" t="inlineStr">
        <is>
          <t>PASS</t>
        </is>
      </c>
    </row>
    <row r="239">
      <c r="A239" s="4" t="inlineStr">
        <is>
          <t>TS-10</t>
        </is>
      </c>
      <c r="B239" s="4" t="n">
        <v>235</v>
      </c>
      <c r="C239" s="4" t="inlineStr">
        <is>
          <t>Verify loopback after the recovery: "✓ Loopback verified. The generator moved 7.300 MHz and the tone received through the ADC moved 7.299 MHz. The "</t>
        </is>
      </c>
      <c r="D239" s="8" t="inlineStr">
        <is>
          <t>PASS</t>
        </is>
      </c>
    </row>
    <row r="240">
      <c r="A240" s="12" t="inlineStr">
        <is>
          <t>TS-10</t>
        </is>
      </c>
      <c r="B240" s="12" t="n">
        <v>236</v>
      </c>
      <c r="C240" s="12" t="inlineStr">
        <is>
          <t>injected: the card stops delivering C2H data (c2h_stream waits in the driver)</t>
        </is>
      </c>
      <c r="D240" s="13" t="inlineStr">
        <is>
          <t>PASS</t>
        </is>
      </c>
    </row>
    <row r="241">
      <c r="A241" s="4" t="inlineStr">
        <is>
          <t>TS-10</t>
        </is>
      </c>
      <c r="B241" s="4" t="n">
        <v>237</v>
      </c>
      <c r="C241" s="4" t="inlineStr">
        <is>
          <t>after ~5 s with no capture data the GUI resets the device by itself</t>
        </is>
      </c>
      <c r="D241" s="8" t="inlineStr">
        <is>
          <t>PASS</t>
        </is>
      </c>
    </row>
    <row r="242">
      <c r="A242" s="12" t="inlineStr">
        <is>
          <t>TS-10</t>
        </is>
      </c>
      <c r="B242" s="12" t="n">
        <v>238</v>
      </c>
      <c r="C242" s="12" t="inlineStr">
        <is>
          <t>the reset finished: transmit closed first, capture after, both restarted</t>
        </is>
      </c>
      <c r="D242" s="13" t="inlineStr">
        <is>
          <t>PASS</t>
        </is>
      </c>
    </row>
    <row r="243">
      <c r="A243" s="4" t="inlineStr">
        <is>
          <t>TS-10</t>
        </is>
      </c>
      <c r="B243" s="4" t="n">
        <v>239</v>
      </c>
      <c r="C243" s="4" t="inlineStr">
        <is>
          <t>transmit streaming after the reset</t>
        </is>
      </c>
      <c r="D243" s="8" t="inlineStr">
        <is>
          <t>PASS</t>
        </is>
      </c>
    </row>
    <row r="244">
      <c r="A244" s="12" t="inlineStr">
        <is>
          <t>TS-10</t>
        </is>
      </c>
      <c r="B244" s="12" t="n">
        <v>240</v>
      </c>
      <c r="C244" s="12" t="inlineStr">
        <is>
          <t>no dialog for a recovered device</t>
        </is>
      </c>
      <c r="D244" s="13" t="inlineStr">
        <is>
          <t>PASS</t>
        </is>
      </c>
    </row>
    <row r="245">
      <c r="A245" s="4" t="inlineStr">
        <is>
          <t>TS-10</t>
        </is>
      </c>
      <c r="B245" s="4" t="n">
        <v>241</v>
      </c>
      <c r="C245" s="4" t="inlineStr">
        <is>
          <t>Verify loopback after the reset: "✓ Loopback verified. The generator moved 7.300 MHz and the tone received through the ADC moved 7.299 MHz. The "</t>
        </is>
      </c>
      <c r="D245" s="8" t="inlineStr">
        <is>
          <t>PASS</t>
        </is>
      </c>
    </row>
    <row r="246">
      <c r="A246" s="12" t="inlineStr">
        <is>
          <t>TS-10</t>
        </is>
      </c>
      <c r="B246" s="12" t="n">
        <v>242</v>
      </c>
      <c r="C246" s="12" t="inlineStr">
        <is>
          <t>sdr_backend.log records the helper output and the recovery reason</t>
        </is>
      </c>
      <c r="D246" s="13" t="inlineStr">
        <is>
          <t>PASS</t>
        </is>
      </c>
    </row>
    <row r="247">
      <c r="A247" s="4" t="inlineStr">
        <is>
          <t>TS-10</t>
        </is>
      </c>
      <c r="B247" s="4" t="n">
        <v>243</v>
      </c>
      <c r="C247" s="4" t="inlineStr">
        <is>
          <t>the GUI thread never froze (longest heartbeat gap 210 ms)</t>
        </is>
      </c>
      <c r="D247" s="8" t="inlineStr">
        <is>
          <t>PASS</t>
        </is>
      </c>
    </row>
    <row r="248">
      <c r="A248" s="12" t="inlineStr">
        <is>
          <t>TS-10</t>
        </is>
      </c>
      <c r="B248" s="12" t="n">
        <v>244</v>
      </c>
      <c r="C248" s="12" t="inlineStr">
        <is>
          <t>closing the window took 160 ms</t>
        </is>
      </c>
      <c r="D248" s="13" t="inlineStr">
        <is>
          <t>PASS</t>
        </is>
      </c>
    </row>
  </sheetData>
  <autoFilter ref="A4:D248"/>
  <mergeCells count="1">
    <mergeCell ref="A2:D2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&amp;LiW-ASCEJ-01-API-Reference-R1.0-REL1.0&amp;C&amp;A&amp;RPage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44" customWidth="1" min="4" max="4"/>
    <col width="50" customWidth="1" min="5" max="5"/>
    <col width="30" customWidth="1" min="6" max="6"/>
    <col width="12" customWidth="1" min="7" max="7"/>
    <col width="9" customWidth="1" min="8" max="8"/>
    <col width="12" customWidth="1" min="9" max="9"/>
    <col width="30" customWidth="1" min="10" max="10"/>
  </cols>
  <sheetData>
    <row r="1" ht="26" customHeight="1">
      <c r="A1" s="1" t="inlineStr">
        <is>
          <t>Bench Record (BT)</t>
        </is>
      </c>
    </row>
    <row r="2" ht="30" customHeight="1">
      <c r="A2" s="2" t="inlineStr">
        <is>
          <t>Fill in the yellow cells on the target board. Result: choose PASS / FAIL / N/A. Example of the expected format: BT-04 Measured = 'Gen3 x8'.</t>
        </is>
      </c>
    </row>
    <row r="4" ht="30" customHeight="1">
      <c r="A4" s="7" t="inlineStr">
        <is>
          <t>ID</t>
        </is>
      </c>
      <c r="B4" s="7" t="inlineStr">
        <is>
          <t>Test</t>
        </is>
      </c>
      <c r="C4" s="7" t="inlineStr">
        <is>
          <t>Objective</t>
        </is>
      </c>
      <c r="D4" s="7" t="inlineStr">
        <is>
          <t>Procedure (summary)</t>
        </is>
      </c>
      <c r="E4" s="7" t="inlineStr">
        <is>
          <t>Expected result</t>
        </is>
      </c>
      <c r="F4" s="7" t="inlineStr">
        <is>
          <t>Measured / observed</t>
        </is>
      </c>
      <c r="G4" s="7" t="inlineStr">
        <is>
          <t>Tester</t>
        </is>
      </c>
      <c r="H4" s="7" t="inlineStr">
        <is>
          <t>Result</t>
        </is>
      </c>
      <c r="I4" s="7" t="inlineStr">
        <is>
          <t>Date</t>
        </is>
      </c>
      <c r="J4" s="7" t="inlineStr">
        <is>
          <t>Remarks</t>
        </is>
      </c>
    </row>
    <row r="5">
      <c r="A5" s="4" t="inlineStr">
        <is>
          <t>BT-01</t>
        </is>
      </c>
      <c r="B5" s="4" t="inlineStr">
        <is>
          <t>Package integrity</t>
        </is>
      </c>
      <c r="C5" s="4" t="inlineStr">
        <is>
          <t>Confirm the delivered package is complete and unmodified.</t>
        </is>
      </c>
      <c r="D5" s="4" t="inlineStr">
        <is>
          <t>Set-up: Host with the package extracted.
1. Run TS/02_Scripts/verify.sh from the package root.</t>
        </is>
      </c>
      <c r="E5" s="4" t="inlineStr">
        <is>
          <t>RESULT: PASS: manifest matches, 37 firmware files, 13 contract checks PASS.</t>
        </is>
      </c>
      <c r="F5" s="11" t="inlineStr"/>
      <c r="G5" s="11" t="inlineStr"/>
      <c r="H5" s="11" t="inlineStr"/>
      <c r="I5" s="11" t="inlineStr"/>
      <c r="J5" s="11" t="inlineStr"/>
    </row>
    <row r="6">
      <c r="A6" s="4" t="inlineStr">
        <is>
          <t>BT-02</t>
        </is>
      </c>
      <c r="B6" s="4" t="inlineStr">
        <is>
          <t>Firmware boot and ABI</t>
        </is>
      </c>
      <c r="C6" s="4" t="inlineStr">
        <is>
          <t>Confirm that the complete firmware set is running.</t>
        </is>
      </c>
      <c r="D6" s="4" t="inlineStr">
        <is>
          <t>Set-up: Board booted from the BOOT.BIN built from FF; UART0 console at 115200 8N1.
1. Power-cycle the board.
2. Capture the console log.</t>
        </is>
      </c>
      <c r="E6" s="4" t="inlineStr">
        <is>
          <t>[init] DAC input = DDS compiler and [pcie] pcie_cfg ABI 4 ... caps 0x7F are printed. There are no init errors.</t>
        </is>
      </c>
      <c r="F6" s="11" t="inlineStr"/>
      <c r="G6" s="11" t="inlineStr"/>
      <c r="H6" s="11" t="inlineStr"/>
      <c r="I6" s="11" t="inlineStr"/>
      <c r="J6" s="11" t="inlineStr"/>
    </row>
    <row r="7">
      <c r="A7" s="4" t="inlineStr">
        <is>
          <t>BT-03</t>
        </is>
      </c>
      <c r="B7" s="4" t="inlineStr">
        <is>
          <t>Driver load and device nodes</t>
        </is>
      </c>
      <c r="C7" s="4" t="inlineStr">
        <is>
          <t>Confirm that the iwfg QDMA driver binds the card.</t>
        </is>
      </c>
      <c r="D7" s="4" t="inlineStr">
        <is>
          <t>Set-up: Host with kernel headers; card enumerated (lspci).
1. make in SC/01_sdr_workstation_GUI/drivers.
2. sudo insmod iwfg.ko.
3. ls -l /dev/iwfg*; dmesg | grep -i iwfg.</t>
        </is>
      </c>
      <c r="E7" s="4" t="inlineStr">
        <is>
          <t>/dev/iwfg0 and /dev/iwfg1 exist. There are no driver errors.</t>
        </is>
      </c>
      <c r="F7" s="11" t="inlineStr"/>
      <c r="G7" s="11" t="inlineStr"/>
      <c r="H7" s="11" t="inlineStr"/>
      <c r="I7" s="11" t="inlineStr"/>
      <c r="J7" s="11" t="inlineStr"/>
    </row>
    <row r="8">
      <c r="A8" s="4" t="inlineStr">
        <is>
          <t>BT-04</t>
        </is>
      </c>
      <c r="B8" s="4" t="inlineStr">
        <is>
          <t>GUI launch and PCIe pre-flight</t>
        </is>
      </c>
      <c r="C8" s="4" t="inlineStr">
        <is>
          <t>Confirm the GUI detects the link.</t>
        </is>
      </c>
      <c r="D8" s="4" t="inlineStr">
        <is>
          <t>Set-up: GUI built from SC (or BN binary).
1. Start sdr_workstation; select Live — PCIe DMA, /dev/iwfg0, cs16, 4 channels, 200 MSPS.</t>
        </is>
      </c>
      <c r="E8" s="4" t="inlineStr">
        <is>
          <t>The link-discovery screen shows the driver, the nodes, and the PCIe link speed and width, then continues on its own. Record the link speed and width.</t>
        </is>
      </c>
      <c r="F8" s="11" t="inlineStr"/>
      <c r="G8" s="11" t="inlineStr"/>
      <c r="H8" s="11" t="inlineStr"/>
      <c r="I8" s="11" t="inlineStr"/>
      <c r="J8" s="11" t="inlineStr"/>
    </row>
    <row r="9">
      <c r="A9" s="4" t="inlineStr">
        <is>
          <t>BT-05</t>
        </is>
      </c>
      <c r="B9" s="4" t="inlineStr">
        <is>
          <t>RFDC attach, ping and register sync</t>
        </is>
      </c>
      <c r="C9" s="4" t="inlineStr">
        <is>
          <t>Confirm the PCIe control mailbox works end to end.</t>
        </is>
      </c>
      <c r="D9" s="4" t="inlineStr">
        <is>
          <t>Set-up: GUI running; H2C CONTROL ▸ RFDC tab.
1. Press Attach.
2. Press Ping.
3. Observe the register readout.</t>
        </is>
      </c>
      <c r="E9" s="4" t="inlineStr">
        <is>
          <t>Ping is acknowledged. Every register is read back, and the readout reports ABI 4.</t>
        </is>
      </c>
      <c r="F9" s="11" t="inlineStr"/>
      <c r="G9" s="11" t="inlineStr"/>
      <c r="H9" s="11" t="inlineStr"/>
      <c r="I9" s="11" t="inlineStr"/>
      <c r="J9" s="11" t="inlineStr"/>
    </row>
    <row r="10">
      <c r="A10" s="4" t="inlineStr">
        <is>
          <t>BT-06</t>
        </is>
      </c>
      <c r="B10" s="4" t="inlineStr">
        <is>
          <t>Boot defaults readback</t>
        </is>
      </c>
      <c r="C10" s="4" t="inlineStr">
        <is>
          <t>Confirm the board boots at the documented operating point.</t>
        </is>
      </c>
      <c r="D10" s="4" t="inlineStr">
        <is>
          <t>Set-up: Freshly powered board; RFDC tab attached.
1. Read the ADC/DAC rates, decimation, interpolation, NCO, DDS, DSA, VOP, DAC source, PL GPIO mode and AXIS routing.</t>
        </is>
      </c>
      <c r="E10" s="4" t="inlineStr">
        <is>
          <t>4800 / 9600 MSPS, ×24 / ×24, NCO 3100 MHz, DDS 10 MHz, DSA 0 dB, VOP 32 mA, DAC source = DDS, GPIO mode 3, routing 0x1237.</t>
        </is>
      </c>
      <c r="F10" s="11" t="inlineStr"/>
      <c r="G10" s="11" t="inlineStr"/>
      <c r="H10" s="11" t="inlineStr"/>
      <c r="I10" s="11" t="inlineStr"/>
      <c r="J10" s="11" t="inlineStr"/>
    </row>
    <row r="11">
      <c r="A11" s="4" t="inlineStr">
        <is>
          <t>BT-07</t>
        </is>
      </c>
      <c r="B11" s="4" t="inlineStr">
        <is>
          <t>DDS tone reception</t>
        </is>
      </c>
      <c r="C11" s="4" t="inlineStr">
        <is>
          <t>Confirm the receive chain with the on-chip source.</t>
        </is>
      </c>
      <c r="D11" s="4" t="inlineStr">
        <is>
          <t>Set-up: DAC output looped back to an ADC input through attenuation; DAC source = DDS.
1. Start capture.
2. Read the peak frequency and level.</t>
        </is>
      </c>
      <c r="E11" s="4" t="inlineStr">
        <is>
          <t>A single tone at the expected baseband frequency (DDS 10 MHz through the 3100 MHz NCOs; see TS-05). Record the level (dBFS).</t>
        </is>
      </c>
      <c r="F11" s="11" t="inlineStr"/>
      <c r="G11" s="11" t="inlineStr"/>
      <c r="H11" s="11" t="inlineStr"/>
      <c r="I11" s="11" t="inlineStr"/>
      <c r="J11" s="11" t="inlineStr"/>
    </row>
    <row r="12">
      <c r="A12" s="4" t="inlineStr">
        <is>
          <t>BT-08</t>
        </is>
      </c>
      <c r="B12" s="4" t="inlineStr">
        <is>
          <t>ADC dynamic performance</t>
        </is>
      </c>
      <c r="C12" s="4" t="inlineStr">
        <is>
          <t>Record the RF metrics at the boot configuration.</t>
        </is>
      </c>
      <c r="D12" s="4" t="inlineStr">
        <is>
          <t>Set-up: As BT-07, with the Blackman-Harris window and FFT 2048 or larger.
1. Read SINAD, SNR, SFDR, THD and ENOB from the Measurements panel.</t>
        </is>
      </c>
      <c r="E12" s="4" t="inlineStr">
        <is>
          <t>Record all values. The acceptance limit is to be agreed with the customer. Reference: about 11 ENOB bits observed on the bench at the correct configuration.</t>
        </is>
      </c>
      <c r="F12" s="11" t="inlineStr"/>
      <c r="G12" s="11" t="inlineStr"/>
      <c r="H12" s="11" t="inlineStr"/>
      <c r="I12" s="11" t="inlineStr"/>
      <c r="J12" s="11" t="inlineStr"/>
    </row>
    <row r="13">
      <c r="A13" s="4" t="inlineStr">
        <is>
          <t>BT-09</t>
        </is>
      </c>
      <c r="B13" s="4" t="inlineStr">
        <is>
          <t>DAC input source switch</t>
        </is>
      </c>
      <c r="C13" s="4" t="inlineStr">
        <is>
          <t>Confirm DDS ↔ host selection and readback.</t>
        </is>
      </c>
      <c r="D13" s="4" t="inlineStr">
        <is>
          <t>Set-up: RFDC tab attached.
1. Set the DAC input to Host, then read back.
2. Set the DAC input to DDS, then read back.
3. Repeat with rfdc_ctl dac-source host|dds.</t>
        </is>
      </c>
      <c r="E13" s="4" t="inlineStr">
        <is>
          <t>The readback matches each selection; the chain view says confirmed by the device.</t>
        </is>
      </c>
      <c r="F13" s="11" t="inlineStr"/>
      <c r="G13" s="11" t="inlineStr"/>
      <c r="H13" s="11" t="inlineStr"/>
      <c r="I13" s="11" t="inlineStr"/>
      <c r="J13" s="11" t="inlineStr"/>
    </row>
    <row r="14">
      <c r="A14" s="4" t="inlineStr">
        <is>
          <t>BT-10</t>
        </is>
      </c>
      <c r="B14" s="4" t="inlineStr">
        <is>
          <t>Host transmit</t>
        </is>
      </c>
      <c r="C14" s="4" t="inlineStr">
        <is>
          <t>Confirm that generator samples reach the DAC continuously.</t>
        </is>
      </c>
      <c r="D14" s="4" t="inlineStr">
        <is>
          <t>Set-up: DAC source = Host; generator: sine, 10 MHz, amplitude 0.9, Loop-coherent on.
1. Start the generator.
2. Read the H2C to card row.
3. Read the received tone.</t>
        </is>
      </c>
      <c r="E14" s="4" t="inlineStr">
        <is>
          <t>H2C rate ≈ 762.9 MiB/s. The received tone sits at the coherent frequency (9 999 847 Hz at 1 MiB). There are no broadband disturbances.</t>
        </is>
      </c>
      <c r="F14" s="11" t="inlineStr"/>
      <c r="G14" s="11" t="inlineStr"/>
      <c r="H14" s="11" t="inlineStr"/>
      <c r="I14" s="11" t="inlineStr"/>
      <c r="J14" s="11" t="inlineStr"/>
    </row>
    <row r="15">
      <c r="A15" s="4" t="inlineStr">
        <is>
          <t>BT-11</t>
        </is>
      </c>
      <c r="B15" s="4" t="inlineStr">
        <is>
          <t>Verify loopback</t>
        </is>
      </c>
      <c r="C15" s="4" t="inlineStr">
        <is>
          <t>Confirm the received tone follows the generator.</t>
        </is>
      </c>
      <c r="D15" s="4" t="inlineStr">
        <is>
          <t>Set-up: As BT-10, with the looped-back ADC routed to AXIS output 0.
1. Press Verify loopback.</t>
        </is>
      </c>
      <c r="E15" s="4" t="inlineStr">
        <is>
          <t>✓ Loopback verified: the received tone moves by the same amount as the generator.</t>
        </is>
      </c>
      <c r="F15" s="11" t="inlineStr"/>
      <c r="G15" s="11" t="inlineStr"/>
      <c r="H15" s="11" t="inlineStr"/>
      <c r="I15" s="11" t="inlineStr"/>
      <c r="J15" s="11" t="inlineStr"/>
    </row>
    <row r="16">
      <c r="A16" s="4" t="inlineStr">
        <is>
          <t>BT-12</t>
        </is>
      </c>
      <c r="B16" s="4" t="inlineStr">
        <is>
          <t>Transmit guard</t>
        </is>
      </c>
      <c r="C16" s="4" t="inlineStr">
        <is>
          <t>Confirm the capture is reduced while transmitting and restored afterwards.</t>
        </is>
      </c>
      <c r="D16" s="4" t="inlineStr">
        <is>
          <t>Set-up: Capture 4 channels at 200 MSPS; RFDC tab attached.
1. Start the generator.
2. Read the PL GPIO mode and the capture rate.
3. Stop the generator.</t>
        </is>
      </c>
      <c r="E16" s="4" t="inlineStr">
        <is>
          <t>While transmitting: GPIO mode 2, capture ≈ 1526 MiB/s. After the stop: mode 3 is restored.</t>
        </is>
      </c>
      <c r="F16" s="11" t="inlineStr"/>
      <c r="G16" s="11" t="inlineStr"/>
      <c r="H16" s="11" t="inlineStr"/>
      <c r="I16" s="11" t="inlineStr"/>
      <c r="J16" s="11" t="inlineStr"/>
    </row>
    <row r="17">
      <c r="A17" s="4" t="inlineStr">
        <is>
          <t>BT-13</t>
        </is>
      </c>
      <c r="B17" s="4" t="inlineStr">
        <is>
          <t>Capture throughput per channel count</t>
        </is>
      </c>
      <c r="C17" s="4" t="inlineStr">
        <is>
          <t>Measure the delivered capture rate.</t>
        </is>
      </c>
      <c r="D17" s="4" t="inlineStr">
        <is>
          <t>Set-up: Capture-only session.
1. Run 1, 2 and 4 channels (GPIO mode 1/2/3) for 60 s each.
2. Record the MB/s value and dmesg overflow messages.</t>
        </is>
      </c>
      <c r="E17" s="4" t="inlineStr">
        <is>
          <t>1 ch ≈ 763 MiB/s and 2 ch ≈ 1526 MiB/s without overflow. Record the 4-channel result (above the host drain on the reference host).</t>
        </is>
      </c>
      <c r="F17" s="11" t="inlineStr"/>
      <c r="G17" s="11" t="inlineStr"/>
      <c r="H17" s="11" t="inlineStr"/>
      <c r="I17" s="11" t="inlineStr"/>
      <c r="J17" s="11" t="inlineStr"/>
    </row>
    <row r="18">
      <c r="A18" s="4" t="inlineStr">
        <is>
          <t>BT-14</t>
        </is>
      </c>
      <c r="B18" s="4" t="inlineStr">
        <is>
          <t>Start / Stop responsiveness</t>
        </is>
      </c>
      <c r="C18" s="4" t="inlineStr">
        <is>
          <t>Confirm the GUI never blocks.</t>
        </is>
      </c>
      <c r="D18" s="4" t="inlineStr">
        <is>
          <t>Set-up: Live session with transmit and capture running.
1. Press Stop, Start and close the window, five times each.</t>
        </is>
      </c>
      <c r="E18" s="4" t="inlineStr">
        <is>
          <t>Each action returns at once (&lt; 1 s). sdr_backend.log shows H2C closed before C2H.</t>
        </is>
      </c>
      <c r="F18" s="11" t="inlineStr"/>
      <c r="G18" s="11" t="inlineStr"/>
      <c r="H18" s="11" t="inlineStr"/>
      <c r="I18" s="11" t="inlineStr"/>
      <c r="J18" s="11" t="inlineStr"/>
    </row>
    <row r="19">
      <c r="A19" s="4" t="inlineStr">
        <is>
          <t>BT-15</t>
        </is>
      </c>
      <c r="B19" s="4" t="inlineStr">
        <is>
          <t>Helper recovery</t>
        </is>
      </c>
      <c r="C19" s="4" t="inlineStr">
        <is>
          <t>Confirm automatic recovery from a helper failure.</t>
        </is>
      </c>
      <c r="D19" s="4" t="inlineStr">
        <is>
          <t>Set-up: Live session with transmit and capture running.
1. pkill c2h_stream.
2. Observe the GUI and sdr_backend.log.</t>
        </is>
      </c>
      <c r="E19" s="4" t="inlineStr">
        <is>
          <t>The capture helper is restarted and the display re-attaches, with no dialog. Transmit is not interrupted.</t>
        </is>
      </c>
      <c r="F19" s="11" t="inlineStr"/>
      <c r="G19" s="11" t="inlineStr"/>
      <c r="H19" s="11" t="inlineStr"/>
      <c r="I19" s="11" t="inlineStr"/>
      <c r="J19" s="11" t="inlineStr"/>
    </row>
    <row r="20">
      <c r="A20" s="4" t="inlineStr">
        <is>
          <t>BT-16</t>
        </is>
      </c>
      <c r="B20" s="4" t="inlineStr">
        <is>
          <t>Command-line client</t>
        </is>
      </c>
      <c r="C20" s="4" t="inlineStr">
        <is>
          <t>Confirm `rfdc_ctl` controls the board.</t>
        </is>
      </c>
      <c r="D20" s="4" t="inlineStr">
        <is>
          <t>Set-up: rfdc_ctl from BN or SC.
1. rfdc_ctl ping
2. rfdc_ctl nco-freq both all both 3100
3. rfdc_ctl dump</t>
        </is>
      </c>
      <c r="E20" s="4" t="inlineStr">
        <is>
          <t>Each command is acknowledged with 0x2A, error 0. dump decodes the last command.</t>
        </is>
      </c>
      <c r="F20" s="11" t="inlineStr"/>
      <c r="G20" s="11" t="inlineStr"/>
      <c r="H20" s="11" t="inlineStr"/>
      <c r="I20" s="11" t="inlineStr"/>
      <c r="J20" s="11" t="inlineStr"/>
    </row>
    <row r="21">
      <c r="A21" s="4" t="inlineStr">
        <is>
          <t>BT-17</t>
        </is>
      </c>
      <c r="B21" s="4" t="inlineStr">
        <is>
          <t>Reset all to defaults</t>
        </is>
      </c>
      <c r="C21" s="4" t="inlineStr">
        <is>
          <t>Confirm recovery to the baseline.</t>
        </is>
      </c>
      <c r="D21" s="4" t="inlineStr">
        <is>
          <t>Set-up: Change the decimation, NCO and DSA first.
1. RFDC tab ▸ Reset all to defaults.
2. Read back as in BT-06.</t>
        </is>
      </c>
      <c r="E21" s="4" t="inlineStr">
        <is>
          <t>All values return to the BT-06 defaults.</t>
        </is>
      </c>
      <c r="F21" s="11" t="inlineStr"/>
      <c r="G21" s="11" t="inlineStr"/>
      <c r="H21" s="11" t="inlineStr"/>
      <c r="I21" s="11" t="inlineStr"/>
      <c r="J21" s="11" t="inlineStr"/>
    </row>
    <row r="22">
      <c r="A22" s="4" t="inlineStr">
        <is>
          <t>BT-18</t>
        </is>
      </c>
      <c r="B22" s="4" t="inlineStr">
        <is>
          <t>Recording and offline replay</t>
        </is>
      </c>
      <c r="C22" s="4" t="inlineStr">
        <is>
          <t>Confirm that recordings are byte-exact and can be replayed.</t>
        </is>
      </c>
      <c r="D22" s="4" t="inlineStr">
        <is>
          <t>Set-up: Live capture, 2 channels.
1. Record for 10 s.
2. Open the file in offline mode.</t>
        </is>
      </c>
      <c r="E22" s="4" t="inlineStr">
        <is>
          <t>The file size ≈ rate × time. The replay shows the same spectrum, and the .meta sidecar restores the format and channel settings.</t>
        </is>
      </c>
      <c r="F22" s="11" t="inlineStr"/>
      <c r="G22" s="11" t="inlineStr"/>
      <c r="H22" s="11" t="inlineStr"/>
      <c r="I22" s="11" t="inlineStr"/>
      <c r="J22" s="11" t="inlineStr"/>
    </row>
    <row r="23">
      <c r="A23" s="4" t="inlineStr">
        <is>
          <t>BT-19</t>
        </is>
      </c>
      <c r="B23" s="4" t="inlineStr">
        <is>
          <t>Serial menu</t>
        </is>
      </c>
      <c r="C23" s="4" t="inlineStr">
        <is>
          <t>Confirm the console functions.</t>
        </is>
      </c>
      <c r="D23" s="4" t="inlineStr">
        <is>
          <t>Set-up: UART console.
1. Menu 5 (rates), menu 11 (clocks), menu 17 (PCIe diagnostics).</t>
        </is>
      </c>
      <c r="E23" s="4" t="inlineStr">
        <is>
          <t>The rates match BT-06. The stream clocks are reported, and the PCIe diagnostics complete.</t>
        </is>
      </c>
      <c r="F23" s="11" t="inlineStr"/>
      <c r="G23" s="11" t="inlineStr"/>
      <c r="H23" s="11" t="inlineStr"/>
      <c r="I23" s="11" t="inlineStr"/>
      <c r="J23" s="11" t="inlineStr"/>
    </row>
    <row r="24">
      <c r="A24" s="4" t="inlineStr">
        <is>
          <t>BT-20</t>
        </is>
      </c>
      <c r="B24" s="4" t="inlineStr">
        <is>
          <t>Power-cycle persistence</t>
        </is>
      </c>
      <c r="C24" s="4" t="inlineStr">
        <is>
          <t>Confirm the boot defaults return after a power cycle.</t>
        </is>
      </c>
      <c r="D24" s="4" t="inlineStr">
        <is>
          <t>Set-up: Change the settings, then power-cycle.
1. Read back as in BT-06.</t>
        </is>
      </c>
      <c r="E24" s="4" t="inlineStr">
        <is>
          <t>The BT-06 defaults are restored.</t>
        </is>
      </c>
      <c r="F24" s="11" t="inlineStr"/>
      <c r="G24" s="11" t="inlineStr"/>
      <c r="H24" s="11" t="inlineStr"/>
      <c r="I24" s="11" t="inlineStr"/>
      <c r="J24" s="11" t="inlineStr"/>
    </row>
  </sheetData>
  <mergeCells count="1">
    <mergeCell ref="A2:J2"/>
  </mergeCells>
  <conditionalFormatting sqref="H5:H24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H5 H6 H7 H8 H9 H10 H11 H12 H13 H14 H15 H16 H17 H18 H19 H20 H21 H22 H23 H24" showDropDown="0" showInputMessage="0" showErrorMessage="0" allowBlank="1" type="list">
      <formula1>"PASS,FAIL,N/A"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&amp;LiW-ASCEJ-01-API-Reference-R1.0-REL1.0&amp;C&amp;A&amp;RPage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2026-10-04T18:53:05Z</dcterms:created>
  <dcterms:modified xmlns:dcterms="http://purl.org/dc/terms/" xmlns:xsi="http://www.w3.org/2001/XMLSchema-instance" xsi:type="dcterms:W3CDTF">2026-10-04T18:53:05Z</dcterms:modified>
</cp:coreProperties>
</file>